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theme/themeOverride4.xml" ContentType="application/vnd.openxmlformats-officedocument.themeOverride+xml"/>
  <Override PartName="/xl/charts/chart11.xml" ContentType="application/vnd.openxmlformats-officedocument.drawingml.chart+xml"/>
  <Override PartName="/xl/theme/themeOverride5.xml" ContentType="application/vnd.openxmlformats-officedocument.themeOverride+xml"/>
  <Override PartName="/xl/charts/chart12.xml" ContentType="application/vnd.openxmlformats-officedocument.drawingml.chart+xml"/>
  <Override PartName="/xl/theme/themeOverride6.xml" ContentType="application/vnd.openxmlformats-officedocument.themeOverride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switchdrive\HSLU_5_Semester\Industriearbeit PAIND+E1\Projektmanagement\"/>
    </mc:Choice>
  </mc:AlternateContent>
  <bookViews>
    <workbookView xWindow="0" yWindow="0" windowWidth="28800" windowHeight="12210" tabRatio="433" firstSheet="4" activeTab="4" xr2:uid="{00000000-000D-0000-FFFF-FFFF00000000}"/>
  </bookViews>
  <sheets>
    <sheet name="Help" sheetId="2" r:id="rId1"/>
    <sheet name="Project Dashboard" sheetId="6" r:id="rId2"/>
    <sheet name="DashboardTemplate" sheetId="3" state="veryHidden" r:id="rId3"/>
    <sheet name="Template" sheetId="4" state="veryHidden" r:id="rId4"/>
    <sheet name="Projektplan" sheetId="5" r:id="rId5"/>
    <sheet name="Tabelle3" sheetId="7" r:id="rId6"/>
  </sheets>
  <functionGroups builtInGroupCount="18"/>
  <definedNames>
    <definedName name="_xlnm.Print_Area" localSheetId="2">DashboardTemplate!$B$1:$G$69</definedName>
    <definedName name="_xlnm.Print_Area" localSheetId="1">'Project Dashboard'!$B$1:$G$69</definedName>
    <definedName name="_xlnm.Print_Titles" localSheetId="2">DashboardTemplate!$2:$2</definedName>
    <definedName name="_xlnm.Print_Titles" localSheetId="1">'Project Dashboard'!$2:$2</definedName>
  </definedNames>
  <calcPr calcId="171027"/>
  <pivotCaches>
    <pivotCache cacheId="0" r:id="rId7"/>
    <pivotCache cacheId="1" r:id="rId8"/>
    <pivotCache cacheId="2" r:id="rId9"/>
    <pivotCache cacheId="3" r:id="rId10"/>
    <pivotCache cacheId="4" r:id="rId11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3" i="3" l="1"/>
  <c r="Y13" i="3"/>
  <c r="Z12" i="3"/>
  <c r="Y12" i="3"/>
  <c r="E12" i="3"/>
  <c r="Z11" i="3"/>
  <c r="Y11" i="3"/>
  <c r="E11" i="3"/>
  <c r="E10" i="3"/>
  <c r="Z9" i="3"/>
  <c r="Y9" i="3"/>
  <c r="E9" i="3"/>
  <c r="Z8" i="3"/>
  <c r="Y8" i="3"/>
  <c r="E8" i="3"/>
  <c r="Z7" i="3"/>
  <c r="E7" i="3"/>
  <c r="Z6" i="3"/>
  <c r="E6" i="3"/>
  <c r="E4" i="3"/>
  <c r="Y3" i="3"/>
  <c r="X3" i="3"/>
  <c r="Z13" i="6"/>
  <c r="Y13" i="6"/>
  <c r="Z12" i="6"/>
  <c r="Y12" i="6"/>
  <c r="E12" i="6"/>
  <c r="Z11" i="6"/>
  <c r="Y11" i="6"/>
  <c r="E11" i="6"/>
  <c r="E10" i="6"/>
  <c r="Z9" i="6"/>
  <c r="Y9" i="6"/>
  <c r="E9" i="6"/>
  <c r="Z8" i="6"/>
  <c r="Y8" i="6"/>
  <c r="E8" i="6"/>
  <c r="Z7" i="6"/>
  <c r="E7" i="6"/>
  <c r="Z6" i="6"/>
  <c r="E6" i="6"/>
  <c r="E4" i="6"/>
  <c r="Y3" i="6"/>
  <c r="X3" i="6"/>
  <c r="X16" i="3"/>
  <c r="X16" i="6"/>
</calcChain>
</file>

<file path=xl/sharedStrings.xml><?xml version="1.0" encoding="utf-8"?>
<sst xmlns="http://schemas.openxmlformats.org/spreadsheetml/2006/main" count="691" uniqueCount="247">
  <si>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</si>
  <si>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</si>
  <si>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</si>
  <si>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</si>
  <si>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</si>
  <si>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</si>
  <si>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</si>
  <si>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</si>
  <si>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</si>
  <si>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</si>
  <si>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</si>
  <si>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</si>
  <si>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</si>
  <si>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</si>
  <si>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</si>
  <si>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</si>
  <si>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</si>
  <si>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</si>
  <si>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</si>
  <si>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</si>
  <si>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</si>
  <si>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</si>
  <si>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</si>
  <si>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</si>
  <si>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</si>
  <si>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</si>
  <si>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</si>
  <si>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</si>
  <si>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</si>
  <si>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</si>
  <si>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</si>
  <si>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</si>
  <si>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</si>
  <si>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</si>
  <si>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</si>
  <si>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</si>
  <si>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</si>
  <si>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</si>
  <si>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</si>
  <si>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</si>
  <si>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</si>
  <si>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</si>
  <si>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</si>
  <si>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</si>
  <si>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</si>
  <si>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</si>
  <si>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</si>
  <si>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</si>
  <si>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</si>
  <si>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</si>
  <si>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</si>
  <si>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</si>
  <si>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</si>
  <si>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</si>
  <si>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</si>
  <si>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</si>
  <si>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</si>
  <si>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</si>
  <si>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</si>
  <si>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</si>
  <si>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</si>
  <si>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</si>
  <si>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</si>
  <si>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</si>
  <si>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</si>
  <si>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</si>
  <si>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</si>
  <si>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</si>
  <si>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</si>
  <si>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</si>
  <si>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</si>
  <si>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</si>
  <si>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</si>
  <si>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</si>
  <si>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</si>
  <si>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</si>
  <si>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</si>
  <si>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</si>
  <si>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</si>
  <si>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</si>
  <si>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</si>
  <si>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</si>
  <si>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</si>
  <si>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</si>
  <si>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</si>
  <si>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</si>
  <si>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</si>
  <si>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</si>
  <si>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</si>
  <si>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</si>
  <si>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</si>
  <si>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</si>
  <si>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</si>
  <si>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</si>
  <si>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</si>
  <si>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</si>
  <si>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</si>
  <si>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</si>
  <si>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</si>
  <si>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</si>
  <si>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</si>
  <si>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</si>
  <si>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</si>
  <si>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</si>
  <si>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</si>
  <si>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</si>
  <si>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</si>
  <si>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</si>
  <si>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</si>
  <si>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</si>
  <si>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</si>
  <si>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</si>
  <si>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</si>
  <si>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</si>
  <si>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</si>
  <si>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</si>
  <si>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</si>
  <si>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</si>
  <si>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</si>
  <si>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</si>
  <si>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</si>
  <si>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</si>
  <si>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</si>
  <si>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</si>
  <si>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</si>
  <si>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</si>
  <si>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</si>
  <si>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</si>
  <si>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</si>
  <si>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</si>
  <si>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</si>
  <si>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</si>
  <si>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</si>
  <si>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</si>
  <si>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</si>
  <si>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</si>
  <si>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</si>
  <si>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</si>
  <si>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</si>
  <si>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</si>
  <si>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</si>
  <si>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</si>
  <si>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</si>
  <si>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</si>
  <si>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</si>
  <si>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</si>
  <si>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</si>
  <si>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</si>
  <si>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</si>
  <si>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</si>
  <si>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</si>
  <si>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</si>
  <si>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</si>
  <si>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</si>
  <si>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</si>
  <si>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</si>
  <si>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</si>
  <si>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</si>
  <si>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</si>
  <si>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</si>
  <si>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</si>
  <si>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</si>
  <si>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</si>
  <si>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</si>
  <si>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</si>
  <si>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</si>
  <si>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</si>
  <si>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</si>
  <si>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</si>
  <si>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</si>
  <si>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</si>
  <si>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</si>
  <si>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</si>
  <si>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</si>
  <si>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</si>
  <si>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</si>
  <si>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</si>
  <si>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</si>
  <si>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</si>
  <si>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</si>
  <si>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</si>
  <si>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</si>
  <si>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</si>
  <si>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</si>
  <si>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</si>
  <si>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ENABLE MACROS TO BEGIN</t>
  </si>
  <si>
    <t>PercentageEntryMode</t>
  </si>
  <si>
    <t>PercentageCalculationType</t>
  </si>
  <si>
    <t>manual</t>
  </si>
  <si>
    <t>simple</t>
  </si>
  <si>
    <t>For Windows Excel versions 2007 - 2016 and MAC Excel Version 2016 v15.30 and above</t>
  </si>
  <si>
    <t>Click here for help to Enable Macros</t>
  </si>
  <si>
    <t>OverdueTaskColor</t>
  </si>
  <si>
    <t>ShowOverdueBar</t>
  </si>
  <si>
    <t>2.48.9</t>
  </si>
  <si>
    <t>10E6A</t>
  </si>
  <si>
    <t>TR7){6SL</t>
  </si>
  <si>
    <t>0F7.(HHuQhWwXc(3+4</t>
  </si>
  <si>
    <t>Corsin Obrist</t>
  </si>
  <si>
    <t>UEad66d0b6-d26c-40ed-aeb9-eb7dff56470c</t>
  </si>
  <si>
    <t>e}f*Gtfp^mrxph]sl(xjy"h{f</t>
  </si>
  <si>
    <t xml:space="preserve">Project Lead: 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</si>
  <si>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$0 | Baseline: $0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</si>
  <si>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2</t>
  </si>
  <si>
    <t>Initialisierungsphase</t>
  </si>
  <si>
    <t/>
  </si>
  <si>
    <t>3</t>
  </si>
  <si>
    <t>Normal</t>
  </si>
  <si>
    <t>Industriearbeit PAIND: "3D Laserscanner für mobilen Roboter</t>
  </si>
  <si>
    <t>User</t>
  </si>
  <si>
    <t>Projektplan</t>
  </si>
  <si>
    <t>Zeilenbeschriftungen</t>
  </si>
  <si>
    <t>(Leer)</t>
  </si>
  <si>
    <t>(Alle)</t>
  </si>
  <si>
    <t>(Mehrere Elemente)</t>
  </si>
  <si>
    <t>Dauer</t>
  </si>
  <si>
    <t>Prozentuale Komp</t>
  </si>
  <si>
    <t>Erste Besprechung mit Herr Jensen</t>
  </si>
  <si>
    <t>4</t>
  </si>
  <si>
    <t>Zwischenpräsentation</t>
  </si>
  <si>
    <t>5</t>
  </si>
  <si>
    <t>Abschlusspräsentation</t>
  </si>
  <si>
    <t>Mo.</t>
  </si>
  <si>
    <t>Di.</t>
  </si>
  <si>
    <t>Mi.</t>
  </si>
  <si>
    <t>Do.</t>
  </si>
  <si>
    <t>Fr.</t>
  </si>
  <si>
    <t>Sa.</t>
  </si>
  <si>
    <t>So.</t>
  </si>
  <si>
    <t>Sep-17      [W39]</t>
  </si>
  <si>
    <t>Sep-17      [W40]</t>
  </si>
  <si>
    <t>Okt-17      [W41]</t>
  </si>
  <si>
    <t>Okt-17      [W42]</t>
  </si>
  <si>
    <t>Okt-17      [W43]</t>
  </si>
  <si>
    <t>Okt-17      [W44]</t>
  </si>
  <si>
    <t>Okt-17      [W45]</t>
  </si>
  <si>
    <t>Nov-17      [W46]</t>
  </si>
  <si>
    <t>Informationsbeschaffung</t>
  </si>
  <si>
    <t>6</t>
  </si>
  <si>
    <t>Konzeptionsphase</t>
  </si>
  <si>
    <t>7</t>
  </si>
  <si>
    <t>Realisierungsphase</t>
  </si>
  <si>
    <t>8</t>
  </si>
  <si>
    <t>Testphase</t>
  </si>
  <si>
    <t>9</t>
  </si>
  <si>
    <t>Dokumentation</t>
  </si>
  <si>
    <t>Abschlusspräsentation provisorisch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</si>
</sst>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9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i/>
      <sz val="10"/>
      <color rgb="FF565656"/>
      <name val="Calibri"/>
      <family val="2"/>
      <scheme val="minor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E69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  <border>
      <left/>
      <right/>
      <top/>
      <bottom style="thin">
        <color rgb="FFCCFFFF"/>
      </bottom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9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Border="1" applyAlignment="1">
      <alignment vertical="top" wrapText="1"/>
    </xf>
    <xf numFmtId="0" fontId="0" fillId="4" borderId="0" xfId="0" applyFill="1" applyBorder="1" applyAlignment="1">
      <alignment horizontal="center" vertical="top" wrapText="1"/>
    </xf>
    <xf numFmtId="0" fontId="0" fillId="5" borderId="0" xfId="0" applyFill="1" applyAlignment="1"/>
    <xf numFmtId="0" fontId="5" fillId="5" borderId="0" xfId="2" applyFont="1" applyFill="1" applyAlignment="1" applyProtection="1">
      <protection locked="0"/>
    </xf>
    <xf numFmtId="0" fontId="7" fillId="5" borderId="0" xfId="0" applyFont="1" applyFill="1" applyAlignment="1"/>
    <xf numFmtId="0" fontId="8" fillId="5" borderId="0" xfId="0" applyFont="1" applyFill="1" applyAlignment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9" fontId="0" fillId="0" borderId="0" xfId="0" applyNumberFormat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 applyBorder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 applyBorder="1"/>
    <xf numFmtId="3" fontId="10" fillId="0" borderId="3" xfId="0" applyNumberFormat="1" applyFont="1" applyBorder="1"/>
    <xf numFmtId="9" fontId="0" fillId="0" borderId="0" xfId="0" applyNumberFormat="1" applyBorder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 applyBorder="1"/>
    <xf numFmtId="15" fontId="10" fillId="0" borderId="3" xfId="0" applyNumberFormat="1" applyFont="1" applyBorder="1"/>
    <xf numFmtId="0" fontId="10" fillId="0" borderId="0" xfId="0" applyFont="1" applyBorder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Fill="1" applyBorder="1" applyAlignment="1" applyProtection="1">
      <alignment vertical="top"/>
      <protection locked="0"/>
    </xf>
    <xf numFmtId="0" fontId="12" fillId="0" borderId="0" xfId="4" quotePrefix="1" applyNumberFormat="1" applyFont="1" applyFill="1" applyBorder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Fill="1" applyBorder="1" applyAlignment="1" applyProtection="1">
      <alignment horizontal="right" vertical="top"/>
    </xf>
    <xf numFmtId="165" fontId="12" fillId="0" borderId="0" xfId="4" applyNumberFormat="1" applyFont="1" applyFill="1" applyBorder="1" applyAlignment="1" applyProtection="1">
      <alignment vertical="top"/>
    </xf>
    <xf numFmtId="0" fontId="12" fillId="0" borderId="0" xfId="4" applyFont="1" applyFill="1" applyBorder="1" applyAlignment="1" applyProtection="1">
      <alignment vertical="top"/>
    </xf>
    <xf numFmtId="49" fontId="12" fillId="0" borderId="0" xfId="4" applyNumberFormat="1" applyFont="1" applyFill="1" applyBorder="1" applyAlignment="1" applyProtection="1">
      <alignment horizontal="center" vertical="top"/>
    </xf>
    <xf numFmtId="0" fontId="0" fillId="0" borderId="0" xfId="0" applyBorder="1" applyAlignment="1"/>
    <xf numFmtId="0" fontId="10" fillId="0" borderId="0" xfId="4" applyFont="1" applyAlignment="1" applyProtection="1">
      <alignment horizontal="center" vertical="top"/>
      <protection locked="0"/>
    </xf>
    <xf numFmtId="0" fontId="10" fillId="0" borderId="0" xfId="4" applyNumberFormat="1" applyFont="1" applyFill="1" applyBorder="1" applyAlignment="1" applyProtection="1">
      <alignment horizontal="center" vertical="top"/>
      <protection locked="0"/>
    </xf>
    <xf numFmtId="0" fontId="10" fillId="0" borderId="0" xfId="4" applyFont="1" applyFill="1" applyBorder="1" applyAlignment="1" applyProtection="1">
      <alignment horizontal="center" vertical="top"/>
      <protection locked="0"/>
    </xf>
    <xf numFmtId="0" fontId="10" fillId="0" borderId="0" xfId="4" applyFont="1" applyBorder="1" applyAlignment="1" applyProtection="1">
      <alignment horizontal="center" vertical="top"/>
      <protection locked="0"/>
    </xf>
    <xf numFmtId="0" fontId="12" fillId="0" borderId="0" xfId="4" applyFont="1" applyBorder="1" applyAlignment="1" applyProtection="1">
      <alignment vertical="top"/>
      <protection locked="0"/>
    </xf>
    <xf numFmtId="166" fontId="12" fillId="0" borderId="0" xfId="4" applyNumberFormat="1" applyFont="1" applyBorder="1" applyAlignment="1" applyProtection="1">
      <alignment vertical="top"/>
      <protection locked="0"/>
    </xf>
    <xf numFmtId="49" fontId="12" fillId="0" borderId="0" xfId="4" applyNumberFormat="1" applyFont="1" applyFill="1" applyBorder="1" applyAlignment="1" applyProtection="1">
      <alignment horizontal="right" vertical="top"/>
      <protection locked="0"/>
    </xf>
    <xf numFmtId="0" fontId="9" fillId="0" borderId="0" xfId="4" applyNumberFormat="1" applyFill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0" fillId="5" borderId="0" xfId="0" applyFill="1"/>
    <xf numFmtId="0" fontId="9" fillId="0" borderId="0" xfId="4" applyFill="1" applyBorder="1" applyProtection="1"/>
    <xf numFmtId="0" fontId="9" fillId="0" borderId="0" xfId="4" applyFont="1" applyFill="1" applyBorder="1" applyProtection="1"/>
    <xf numFmtId="0" fontId="12" fillId="0" borderId="0" xfId="4" applyFont="1" applyProtection="1"/>
    <xf numFmtId="0" fontId="10" fillId="0" borderId="0" xfId="4" applyFont="1" applyAlignment="1" applyProtection="1">
      <alignment horizontal="center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NumberFormat="1" applyFont="1" applyFill="1" applyBorder="1" applyAlignment="1" applyProtection="1">
      <alignment horizontal="left" vertical="top" wrapText="1"/>
      <protection locked="0"/>
    </xf>
    <xf numFmtId="0" fontId="9" fillId="0" borderId="0" xfId="4" applyProtection="1"/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indent="1"/>
    </xf>
    <xf numFmtId="0" fontId="12" fillId="0" borderId="0" xfId="4" applyFont="1" applyFill="1" applyBorder="1" applyAlignment="1" applyProtection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3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vertical="top" wrapText="1"/>
      <protection locked="0"/>
    </xf>
    <xf numFmtId="0" fontId="15" fillId="0" borderId="0" xfId="4" applyFont="1" applyFill="1" applyBorder="1" applyAlignment="1" applyProtection="1">
      <alignment vertical="top" wrapText="1"/>
      <protection locked="0"/>
    </xf>
    <xf numFmtId="0" fontId="16" fillId="0" borderId="0" xfId="4" applyFont="1" applyFill="1" applyBorder="1" applyProtection="1"/>
    <xf numFmtId="3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vertical="top" wrapText="1"/>
      <protection locked="0"/>
    </xf>
    <xf numFmtId="0" fontId="12" fillId="0" borderId="0" xfId="4" applyFont="1" applyFill="1" applyBorder="1" applyAlignment="1" applyProtection="1">
      <alignment vertical="top" wrapText="1"/>
      <protection locked="0"/>
    </xf>
    <xf numFmtId="0" fontId="17" fillId="0" borderId="0" xfId="4" applyFont="1" applyFill="1" applyBorder="1" applyAlignment="1" applyProtection="1">
      <alignment horizontal="left" vertical="top" wrapText="1"/>
      <protection locked="0"/>
    </xf>
    <xf numFmtId="15" fontId="0" fillId="0" borderId="0" xfId="0" applyNumberFormat="1"/>
    <xf numFmtId="0" fontId="9" fillId="0" borderId="0" xfId="4" applyFill="1" applyBorder="1" applyAlignment="1" applyProtection="1"/>
    <xf numFmtId="0" fontId="18" fillId="8" borderId="6" xfId="4" applyNumberFormat="1" applyFont="1" applyFill="1" applyBorder="1" applyAlignment="1" applyProtection="1">
      <alignment horizontal="center" vertical="center" shrinkToFit="1"/>
      <protection hidden="1"/>
    </xf>
    <xf numFmtId="0" fontId="18" fillId="0" borderId="6" xfId="4" applyNumberFormat="1" applyFont="1" applyFill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</xf>
    <xf numFmtId="0" fontId="21" fillId="0" borderId="0" xfId="0" applyFont="1" applyBorder="1" applyAlignment="1" applyProtection="1">
      <protection locked="0"/>
    </xf>
    <xf numFmtId="0" fontId="21" fillId="0" borderId="9" xfId="0" applyNumberFormat="1" applyFont="1" applyBorder="1" applyAlignment="1" applyProtection="1">
      <protection locked="0"/>
    </xf>
    <xf numFmtId="0" fontId="21" fillId="0" borderId="9" xfId="0" applyFont="1" applyBorder="1" applyAlignment="1" applyProtection="1">
      <protection locked="0"/>
    </xf>
    <xf numFmtId="0" fontId="21" fillId="0" borderId="9" xfId="0" applyFont="1" applyBorder="1" applyAlignment="1" applyProtection="1">
      <alignment horizontal="left"/>
    </xf>
    <xf numFmtId="0" fontId="22" fillId="10" borderId="0" xfId="4" applyNumberFormat="1" applyFont="1" applyFill="1" applyBorder="1" applyAlignment="1" applyProtection="1">
      <alignment horizontal="left" vertical="center"/>
      <protection hidden="1"/>
    </xf>
    <xf numFmtId="0" fontId="22" fillId="11" borderId="0" xfId="4" applyNumberFormat="1" applyFont="1" applyFill="1" applyBorder="1" applyAlignment="1" applyProtection="1">
      <alignment horizontal="left" vertical="center"/>
      <protection hidden="1"/>
    </xf>
    <xf numFmtId="0" fontId="22" fillId="10" borderId="0" xfId="4" quotePrefix="1" applyNumberFormat="1" applyFont="1" applyFill="1" applyBorder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23" fillId="3" borderId="0" xfId="0" applyNumberFormat="1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Alignment="1" applyProtection="1">
      <protection locked="0"/>
    </xf>
    <xf numFmtId="167" fontId="25" fillId="12" borderId="0" xfId="4" applyNumberFormat="1" applyFont="1" applyFill="1" applyBorder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NumberFormat="1" applyFont="1" applyFill="1" applyAlignment="1" applyProtection="1">
      <alignment vertical="center"/>
      <protection locked="0"/>
    </xf>
    <xf numFmtId="0" fontId="10" fillId="0" borderId="0" xfId="4" applyFont="1" applyAlignment="1" applyProtection="1">
      <alignment horizontal="center" vertical="top"/>
    </xf>
    <xf numFmtId="0" fontId="12" fillId="0" borderId="0" xfId="4" applyNumberFormat="1" applyFont="1" applyAlignment="1" applyProtection="1">
      <alignment vertical="top"/>
    </xf>
    <xf numFmtId="166" fontId="12" fillId="0" borderId="0" xfId="4" applyNumberFormat="1" applyFont="1" applyAlignment="1" applyProtection="1">
      <alignment vertical="top"/>
    </xf>
    <xf numFmtId="0" fontId="12" fillId="0" borderId="0" xfId="4" applyFont="1" applyAlignment="1" applyProtection="1">
      <alignment vertical="top"/>
    </xf>
    <xf numFmtId="0" fontId="12" fillId="0" borderId="0" xfId="4" applyFont="1" applyAlignment="1" applyProtection="1">
      <alignment vertical="top" wrapText="1"/>
    </xf>
    <xf numFmtId="0" fontId="12" fillId="0" borderId="0" xfId="4" applyNumberFormat="1" applyFont="1" applyFill="1" applyBorder="1" applyAlignment="1" applyProtection="1">
      <alignment horizontal="left" vertical="top"/>
    </xf>
    <xf numFmtId="15" fontId="9" fillId="0" borderId="0" xfId="4" applyNumberFormat="1" applyFill="1" applyBorder="1" applyProtection="1"/>
    <xf numFmtId="49" fontId="9" fillId="0" borderId="0" xfId="4" applyNumberFormat="1" applyFill="1" applyBorder="1" applyProtection="1"/>
    <xf numFmtId="0" fontId="9" fillId="0" borderId="0" xfId="4" applyFill="1" applyBorder="1" applyProtection="1">
      <protection locked="0"/>
    </xf>
    <xf numFmtId="4" fontId="9" fillId="0" borderId="0" xfId="4" applyNumberFormat="1" applyFill="1" applyBorder="1" applyProtection="1">
      <protection locked="0"/>
    </xf>
    <xf numFmtId="0" fontId="9" fillId="0" borderId="0" xfId="4" applyNumberFormat="1" applyFill="1" applyBorder="1" applyProtection="1">
      <protection locked="0"/>
    </xf>
    <xf numFmtId="0" fontId="9" fillId="0" borderId="0" xfId="4" quotePrefix="1" applyFill="1" applyBorder="1" applyProtection="1">
      <protection locked="0"/>
    </xf>
    <xf numFmtId="0" fontId="12" fillId="0" borderId="0" xfId="4" applyFont="1" applyAlignment="1" applyProtection="1">
      <alignment horizontal="center" vertical="top"/>
    </xf>
    <xf numFmtId="0" fontId="12" fillId="0" borderId="0" xfId="4" applyNumberFormat="1" applyFont="1" applyFill="1" applyBorder="1" applyAlignment="1" applyProtection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0" fillId="5" borderId="0" xfId="0" applyFill="1" applyAlignment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Border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 applyBorder="1" applyAlignment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Border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Border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164" fontId="12" fillId="0" borderId="0" xfId="4" applyNumberFormat="1" applyFont="1" applyFill="1" applyBorder="1" applyAlignment="1" applyProtection="1">
      <alignment vertical="top"/>
    </xf>
    <xf numFmtId="164" fontId="12" fillId="0" borderId="0" xfId="4" applyNumberFormat="1" applyFont="1" applyFill="1" applyBorder="1" applyAlignment="1" applyProtection="1">
      <alignment horizontal="right" vertical="top"/>
    </xf>
    <xf numFmtId="3" fontId="12" fillId="0" borderId="0" xfId="4" applyNumberFormat="1" applyFont="1" applyFill="1" applyBorder="1" applyAlignment="1" applyProtection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Border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Border="1" applyAlignment="1">
      <alignment horizontal="left"/>
    </xf>
    <xf numFmtId="0" fontId="0" fillId="4" borderId="0" xfId="0" applyFont="1" applyFill="1" applyBorder="1" applyAlignment="1">
      <alignment horizontal="left" vertical="top"/>
    </xf>
    <xf numFmtId="0" fontId="0" fillId="5" borderId="0" xfId="0" applyFill="1" applyBorder="1" applyAlignment="1"/>
    <xf numFmtId="0" fontId="0" fillId="5" borderId="0" xfId="0" applyFill="1" applyBorder="1"/>
    <xf numFmtId="0" fontId="4" fillId="5" borderId="0" xfId="2" applyFill="1" applyBorder="1" applyAlignment="1">
      <alignment horizontal="center"/>
    </xf>
    <xf numFmtId="0" fontId="0" fillId="5" borderId="0" xfId="0" applyFill="1" applyBorder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Border="1" applyAlignment="1">
      <alignment horizontal="left" vertical="center"/>
    </xf>
    <xf numFmtId="0" fontId="0" fillId="4" borderId="0" xfId="0" applyFill="1" applyBorder="1"/>
    <xf numFmtId="0" fontId="0" fillId="2" borderId="0" xfId="0" applyFill="1" applyAlignment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0" fillId="2" borderId="0" xfId="0" applyFill="1" applyBorder="1" applyAlignment="1"/>
    <xf numFmtId="0" fontId="0" fillId="2" borderId="0" xfId="0" applyFill="1" applyBorder="1"/>
    <xf numFmtId="0" fontId="6" fillId="2" borderId="0" xfId="0" applyFont="1" applyFill="1" applyBorder="1" applyAlignment="1">
      <alignment horizontal="left" vertical="center" indent="5"/>
    </xf>
    <xf numFmtId="0" fontId="29" fillId="2" borderId="0" xfId="0" applyFont="1" applyFill="1" applyBorder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 applyProtection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 applyProtection="1">
      <alignment horizontal="center" vertical="top"/>
    </xf>
    <xf numFmtId="9" fontId="12" fillId="0" borderId="0" xfId="4" applyNumberFormat="1" applyFont="1" applyAlignment="1" applyProtection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Alignment="1" applyProtection="1">
      <protection locked="0"/>
    </xf>
    <xf numFmtId="9" fontId="10" fillId="0" borderId="0" xfId="3" applyNumberFormat="1" applyFont="1" applyFill="1" applyBorder="1" applyAlignment="1" applyProtection="1">
      <alignment horizontal="center" vertical="top" wrapText="1"/>
      <protection locked="0"/>
    </xf>
    <xf numFmtId="9" fontId="10" fillId="0" borderId="0" xfId="3" applyNumberFormat="1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12" fillId="0" borderId="0" xfId="4" applyNumberFormat="1" applyFont="1" applyAlignment="1" applyProtection="1">
      <alignment horizontal="right" vertical="top"/>
    </xf>
    <xf numFmtId="0" fontId="26" fillId="12" borderId="0" xfId="4" applyNumberFormat="1" applyFont="1" applyFill="1" applyAlignment="1" applyProtection="1">
      <alignment horizontal="right" vertical="center"/>
      <protection locked="0"/>
    </xf>
    <xf numFmtId="0" fontId="23" fillId="3" borderId="0" xfId="0" applyNumberFormat="1" applyFont="1" applyFill="1" applyAlignment="1" applyProtection="1">
      <alignment horizontal="right"/>
      <protection locked="0"/>
    </xf>
    <xf numFmtId="0" fontId="21" fillId="0" borderId="9" xfId="0" applyNumberFormat="1" applyFont="1" applyBorder="1" applyAlignment="1" applyProtection="1">
      <alignment horizontal="right"/>
      <protection locked="0"/>
    </xf>
    <xf numFmtId="3" fontId="12" fillId="0" borderId="0" xfId="4" applyNumberFormat="1" applyFont="1" applyAlignment="1" applyProtection="1">
      <alignment horizontal="right" vertical="top" wrapText="1"/>
      <protection locked="0"/>
    </xf>
    <xf numFmtId="0" fontId="20" fillId="0" borderId="6" xfId="4" applyNumberFormat="1" applyFont="1" applyFill="1" applyBorder="1" applyAlignment="1" applyProtection="1">
      <alignment horizontal="center"/>
      <protection hidden="1"/>
    </xf>
    <xf numFmtId="168" fontId="10" fillId="0" borderId="0" xfId="3" applyNumberFormat="1" applyFont="1" applyFill="1" applyBorder="1" applyAlignment="1" applyProtection="1">
      <alignment horizontal="right" vertical="top" wrapText="1"/>
      <protection locked="0"/>
    </xf>
    <xf numFmtId="168" fontId="10" fillId="0" borderId="0" xfId="4" applyNumberFormat="1" applyFont="1" applyAlignment="1" applyProtection="1">
      <alignment horizontal="right" vertical="top" wrapText="1"/>
      <protection locked="0"/>
    </xf>
    <xf numFmtId="168" fontId="12" fillId="0" borderId="0" xfId="4" applyNumberFormat="1" applyFont="1" applyFill="1" applyBorder="1" applyAlignment="1" applyProtection="1">
      <alignment vertical="top" wrapText="1"/>
      <protection locked="0"/>
    </xf>
    <xf numFmtId="168" fontId="15" fillId="0" borderId="0" xfId="4" applyNumberFormat="1" applyFont="1" applyFill="1" applyBorder="1" applyAlignment="1" applyProtection="1">
      <alignment vertical="top" wrapText="1"/>
      <protection locked="0"/>
    </xf>
    <xf numFmtId="168" fontId="12" fillId="0" borderId="0" xfId="4" applyNumberFormat="1" applyFont="1" applyAlignment="1" applyProtection="1">
      <alignment vertical="top" wrapText="1"/>
      <protection locked="0"/>
    </xf>
    <xf numFmtId="0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0" fillId="0" borderId="0" xfId="4" applyNumberFormat="1" applyFont="1" applyAlignment="1" applyProtection="1">
      <alignment horizontal="right" vertical="top"/>
    </xf>
    <xf numFmtId="0" fontId="1" fillId="3" borderId="0" xfId="0" applyNumberFormat="1" applyFont="1" applyFill="1" applyAlignment="1" applyProtection="1">
      <alignment horizontal="right"/>
      <protection locked="0"/>
    </xf>
    <xf numFmtId="0" fontId="21" fillId="0" borderId="0" xfId="0" applyNumberFormat="1" applyFont="1" applyBorder="1" applyAlignment="1" applyProtection="1">
      <alignment horizontal="right"/>
      <protection locked="0"/>
    </xf>
    <xf numFmtId="0" fontId="26" fillId="12" borderId="0" xfId="4" applyFont="1" applyFill="1" applyAlignment="1" applyProtection="1">
      <alignment horizontal="left" vertical="center"/>
      <protection locked="0"/>
    </xf>
    <xf numFmtId="0" fontId="21" fillId="3" borderId="0" xfId="4" applyFont="1" applyFill="1" applyAlignment="1" applyProtection="1">
      <alignment horizontal="left" vertical="center"/>
      <protection locked="0"/>
    </xf>
    <xf numFmtId="0" fontId="21" fillId="3" borderId="0" xfId="4" applyFont="1" applyFill="1" applyAlignment="1" applyProtection="1">
      <alignment vertical="center"/>
      <protection locked="0"/>
    </xf>
    <xf numFmtId="0" fontId="24" fillId="3" borderId="0" xfId="4" applyNumberFormat="1" applyFont="1" applyFill="1" applyAlignment="1" applyProtection="1">
      <protection locked="0"/>
    </xf>
    <xf numFmtId="0" fontId="28" fillId="0" borderId="0" xfId="0" applyFont="1" applyAlignment="1">
      <alignment horizontal="center"/>
    </xf>
    <xf numFmtId="0" fontId="38" fillId="0" borderId="0" xfId="4" applyFont="1" applyFill="1" applyBorder="1" applyAlignment="1" applyProtection="1"/>
    <xf numFmtId="0" fontId="37" fillId="0" borderId="11" xfId="4" applyNumberFormat="1" applyFont="1" applyFill="1" applyBorder="1" applyAlignment="1" applyProtection="1">
      <alignment horizontal="center" vertical="center" shrinkToFit="1"/>
      <protection hidden="1"/>
    </xf>
    <xf numFmtId="0" fontId="39" fillId="14" borderId="11" xfId="4" applyNumberFormat="1" applyFont="1" applyFill="1" applyBorder="1" applyAlignment="1" applyProtection="1">
      <alignment horizontal="center" vertical="center" shrinkToFit="1"/>
      <protection hidden="1"/>
    </xf>
    <xf numFmtId="0" fontId="37" fillId="8" borderId="11" xfId="4" applyNumberFormat="1" applyFont="1" applyFill="1" applyBorder="1" applyAlignment="1" applyProtection="1">
      <alignment horizontal="center" vertical="center" shrinkToFit="1"/>
      <protection hidden="1"/>
    </xf>
    <xf numFmtId="49" fontId="12" fillId="0" borderId="0" xfId="4" applyNumberFormat="1" applyFont="1" applyFill="1" applyBorder="1" applyAlignment="1" applyProtection="1">
      <alignment horizontal="left" vertical="top"/>
    </xf>
    <xf numFmtId="49" fontId="26" fillId="12" borderId="0" xfId="4" applyNumberFormat="1" applyFont="1" applyFill="1" applyAlignment="1" applyProtection="1">
      <alignment horizontal="left" vertical="center"/>
      <protection locked="0"/>
    </xf>
    <xf numFmtId="49" fontId="21" fillId="3" borderId="0" xfId="4" applyNumberFormat="1" applyFont="1" applyFill="1" applyAlignment="1" applyProtection="1">
      <alignment horizontal="left" vertical="center"/>
      <protection locked="0"/>
    </xf>
    <xf numFmtId="49" fontId="24" fillId="0" borderId="9" xfId="0" applyNumberFormat="1" applyFont="1" applyBorder="1" applyAlignment="1" applyProtection="1">
      <alignment horizontal="left"/>
    </xf>
    <xf numFmtId="49" fontId="19" fillId="9" borderId="7" xfId="4" applyNumberFormat="1" applyFont="1" applyFill="1" applyBorder="1" applyAlignment="1" applyProtection="1">
      <alignment horizontal="left" vertical="top" wrapText="1"/>
    </xf>
    <xf numFmtId="49" fontId="12" fillId="0" borderId="0" xfId="4" applyNumberFormat="1" applyFont="1" applyFill="1" applyBorder="1" applyAlignment="1" applyProtection="1">
      <alignment horizontal="left" vertical="top" wrapText="1"/>
      <protection locked="0"/>
    </xf>
    <xf numFmtId="0" fontId="36" fillId="0" borderId="13" xfId="0" applyFont="1" applyBorder="1"/>
    <xf numFmtId="49" fontId="40" fillId="0" borderId="13" xfId="4" applyNumberFormat="1" applyFont="1" applyFill="1" applyBorder="1" applyAlignment="1" applyProtection="1">
      <alignment horizontal="left" vertical="top" wrapText="1"/>
      <protection locked="0"/>
    </xf>
    <xf numFmtId="0" fontId="40" fillId="0" borderId="13" xfId="4" applyFont="1" applyFill="1" applyBorder="1" applyAlignment="1" applyProtection="1">
      <alignment vertical="top" wrapText="1"/>
      <protection locked="0"/>
    </xf>
    <xf numFmtId="168" fontId="40" fillId="0" borderId="13" xfId="4" applyNumberFormat="1" applyFont="1" applyFill="1" applyBorder="1" applyAlignment="1" applyProtection="1">
      <alignment vertical="top" wrapText="1"/>
      <protection locked="0"/>
    </xf>
    <xf numFmtId="164" fontId="40" fillId="0" borderId="13" xfId="4" applyNumberFormat="1" applyFont="1" applyFill="1" applyBorder="1" applyAlignment="1" applyProtection="1">
      <alignment horizontal="right" vertical="top" wrapText="1"/>
      <protection locked="0"/>
    </xf>
    <xf numFmtId="3" fontId="40" fillId="0" borderId="13" xfId="4" applyNumberFormat="1" applyFont="1" applyFill="1" applyBorder="1" applyAlignment="1" applyProtection="1">
      <alignment horizontal="right" vertical="top" wrapText="1"/>
      <protection locked="0"/>
    </xf>
    <xf numFmtId="9" fontId="40" fillId="0" borderId="13" xfId="3" applyNumberFormat="1" applyFont="1" applyFill="1" applyBorder="1" applyAlignment="1" applyProtection="1">
      <alignment horizontal="center" vertical="top" wrapText="1"/>
      <protection locked="0"/>
    </xf>
    <xf numFmtId="168" fontId="40" fillId="0" borderId="13" xfId="3" applyNumberFormat="1" applyFont="1" applyFill="1" applyBorder="1" applyAlignment="1" applyProtection="1">
      <alignment horizontal="right" vertical="top" wrapText="1"/>
      <protection locked="0"/>
    </xf>
    <xf numFmtId="9" fontId="40" fillId="0" borderId="13" xfId="3" applyFont="1" applyFill="1" applyBorder="1" applyAlignment="1" applyProtection="1">
      <alignment horizontal="center" vertical="top" wrapText="1"/>
      <protection locked="0"/>
    </xf>
    <xf numFmtId="9" fontId="40" fillId="2" borderId="13" xfId="3" applyFont="1" applyFill="1" applyBorder="1" applyAlignment="1" applyProtection="1">
      <alignment horizontal="center" vertical="top" wrapText="1"/>
      <protection locked="0"/>
    </xf>
    <xf numFmtId="0" fontId="40" fillId="0" borderId="13" xfId="4" applyFont="1" applyFill="1" applyBorder="1" applyAlignment="1" applyProtection="1">
      <alignment horizontal="center" vertical="center"/>
    </xf>
    <xf numFmtId="0" fontId="36" fillId="0" borderId="0" xfId="0" applyFont="1"/>
    <xf numFmtId="0" fontId="41" fillId="0" borderId="0" xfId="4" applyFont="1" applyFill="1" applyBorder="1" applyProtection="1"/>
    <xf numFmtId="0" fontId="36" fillId="0" borderId="0" xfId="0" applyFont="1" applyAlignment="1">
      <alignment horizontal="right"/>
    </xf>
    <xf numFmtId="0" fontId="36" fillId="0" borderId="13" xfId="0" applyFont="1" applyFill="1" applyBorder="1"/>
    <xf numFmtId="15" fontId="36" fillId="0" borderId="13" xfId="0" applyNumberFormat="1" applyFont="1" applyFill="1" applyBorder="1"/>
    <xf numFmtId="9" fontId="40" fillId="15" borderId="13" xfId="3" applyFont="1" applyFill="1" applyBorder="1" applyAlignment="1" applyProtection="1">
      <alignment horizontal="center" vertical="top" wrapText="1"/>
      <protection locked="0"/>
    </xf>
    <xf numFmtId="168" fontId="12" fillId="0" borderId="0" xfId="4" applyNumberFormat="1" applyFont="1" applyFill="1" applyBorder="1" applyAlignment="1" applyProtection="1">
      <alignment vertical="top"/>
    </xf>
    <xf numFmtId="168" fontId="10" fillId="0" borderId="0" xfId="3" applyNumberFormat="1" applyFont="1" applyFill="1" applyBorder="1" applyAlignment="1" applyProtection="1">
      <alignment horizontal="center" vertical="top"/>
    </xf>
    <xf numFmtId="49" fontId="0" fillId="0" borderId="0" xfId="0" applyNumberFormat="1" applyAlignment="1" applyProtection="1">
      <protection locked="0"/>
    </xf>
    <xf numFmtId="168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0" fontId="10" fillId="0" borderId="0" xfId="3" applyNumberFormat="1" applyFont="1" applyFill="1" applyAlignment="1" applyProtection="1">
      <protection locked="0"/>
    </xf>
    <xf numFmtId="0" fontId="10" fillId="0" borderId="0" xfId="3" applyNumberFormat="1" applyFont="1" applyFill="1" applyAlignment="1" applyProtection="1">
      <alignment horizontal="center" vertical="top"/>
      <protection locked="0"/>
    </xf>
    <xf numFmtId="9" fontId="12" fillId="0" borderId="0" xfId="4" applyNumberFormat="1" applyFont="1" applyBorder="1" applyAlignment="1" applyProtection="1">
      <alignment vertical="top"/>
      <protection locked="0"/>
    </xf>
    <xf numFmtId="0" fontId="22" fillId="11" borderId="0" xfId="4" quotePrefix="1" applyNumberFormat="1" applyFont="1" applyFill="1" applyBorder="1" applyAlignment="1" applyProtection="1">
      <alignment horizontal="left" vertical="center"/>
      <protection hidden="1"/>
    </xf>
    <xf numFmtId="0" fontId="36" fillId="0" borderId="14" xfId="0" applyFont="1" applyBorder="1"/>
    <xf numFmtId="49" fontId="40" fillId="0" borderId="14" xfId="4" applyNumberFormat="1" applyFont="1" applyFill="1" applyBorder="1" applyAlignment="1" applyProtection="1">
      <alignment horizontal="left" vertical="top" wrapText="1"/>
      <protection locked="0"/>
    </xf>
    <xf numFmtId="0" fontId="40" fillId="0" borderId="14" xfId="4" applyFont="1" applyFill="1" applyBorder="1" applyAlignment="1" applyProtection="1">
      <alignment vertical="top" wrapText="1"/>
      <protection locked="0"/>
    </xf>
    <xf numFmtId="168" fontId="40" fillId="0" borderId="14" xfId="4" applyNumberFormat="1" applyFont="1" applyFill="1" applyBorder="1" applyAlignment="1" applyProtection="1">
      <alignment vertical="top" wrapText="1"/>
      <protection locked="0"/>
    </xf>
    <xf numFmtId="164" fontId="40" fillId="0" borderId="14" xfId="4" applyNumberFormat="1" applyFont="1" applyFill="1" applyBorder="1" applyAlignment="1" applyProtection="1">
      <alignment horizontal="right" vertical="top" wrapText="1"/>
      <protection locked="0"/>
    </xf>
    <xf numFmtId="3" fontId="40" fillId="0" borderId="14" xfId="4" applyNumberFormat="1" applyFont="1" applyFill="1" applyBorder="1" applyAlignment="1" applyProtection="1">
      <alignment horizontal="right" vertical="top" wrapText="1"/>
      <protection locked="0"/>
    </xf>
    <xf numFmtId="9" fontId="40" fillId="0" borderId="14" xfId="3" applyNumberFormat="1" applyFont="1" applyFill="1" applyBorder="1" applyAlignment="1" applyProtection="1">
      <alignment horizontal="center" vertical="top" wrapText="1"/>
      <protection locked="0"/>
    </xf>
    <xf numFmtId="168" fontId="40" fillId="0" borderId="14" xfId="3" applyNumberFormat="1" applyFont="1" applyFill="1" applyBorder="1" applyAlignment="1" applyProtection="1">
      <alignment horizontal="right" vertical="top" wrapText="1"/>
      <protection locked="0"/>
    </xf>
    <xf numFmtId="9" fontId="40" fillId="0" borderId="14" xfId="3" applyFont="1" applyFill="1" applyBorder="1" applyAlignment="1" applyProtection="1">
      <alignment horizontal="center" vertical="top" wrapText="1"/>
      <protection locked="0"/>
    </xf>
    <xf numFmtId="9" fontId="40" fillId="2" borderId="14" xfId="3" applyFont="1" applyFill="1" applyBorder="1" applyAlignment="1" applyProtection="1">
      <alignment horizontal="center" vertical="top" wrapText="1"/>
      <protection locked="0"/>
    </xf>
    <xf numFmtId="9" fontId="40" fillId="15" borderId="14" xfId="3" applyFont="1" applyFill="1" applyBorder="1" applyAlignment="1" applyProtection="1">
      <alignment horizontal="center" vertical="top" wrapText="1"/>
      <protection locked="0"/>
    </xf>
    <xf numFmtId="0" fontId="40" fillId="0" borderId="14" xfId="4" applyFont="1" applyFill="1" applyBorder="1" applyAlignment="1" applyProtection="1">
      <alignment horizontal="center" vertical="center"/>
    </xf>
    <xf numFmtId="0" fontId="36" fillId="0" borderId="14" xfId="0" applyFont="1" applyFill="1" applyBorder="1"/>
    <xf numFmtId="15" fontId="36" fillId="0" borderId="14" xfId="0" applyNumberFormat="1" applyFont="1" applyFill="1" applyBorder="1"/>
    <xf numFmtId="0" fontId="36" fillId="0" borderId="0" xfId="0" applyFont="1" applyBorder="1"/>
    <xf numFmtId="49" fontId="40" fillId="0" borderId="0" xfId="4" applyNumberFormat="1" applyFont="1" applyFill="1" applyBorder="1" applyAlignment="1" applyProtection="1">
      <alignment horizontal="left" vertical="top" wrapText="1"/>
      <protection locked="0"/>
    </xf>
    <xf numFmtId="0" fontId="40" fillId="0" borderId="0" xfId="4" applyFont="1" applyFill="1" applyBorder="1" applyAlignment="1" applyProtection="1">
      <alignment vertical="top" wrapText="1"/>
      <protection locked="0"/>
    </xf>
    <xf numFmtId="168" fontId="40" fillId="0" borderId="0" xfId="4" applyNumberFormat="1" applyFont="1" applyFill="1" applyBorder="1" applyAlignment="1" applyProtection="1">
      <alignment vertical="top" wrapText="1"/>
      <protection locked="0"/>
    </xf>
    <xf numFmtId="164" fontId="40" fillId="0" borderId="0" xfId="4" applyNumberFormat="1" applyFont="1" applyFill="1" applyBorder="1" applyAlignment="1" applyProtection="1">
      <alignment horizontal="right" vertical="top" wrapText="1"/>
      <protection locked="0"/>
    </xf>
    <xf numFmtId="3" fontId="40" fillId="0" borderId="0" xfId="4" applyNumberFormat="1" applyFont="1" applyFill="1" applyBorder="1" applyAlignment="1" applyProtection="1">
      <alignment horizontal="right" vertical="top" wrapText="1"/>
      <protection locked="0"/>
    </xf>
    <xf numFmtId="9" fontId="40" fillId="0" borderId="0" xfId="3" applyNumberFormat="1" applyFont="1" applyFill="1" applyBorder="1" applyAlignment="1" applyProtection="1">
      <alignment horizontal="center" vertical="top" wrapText="1"/>
      <protection locked="0"/>
    </xf>
    <xf numFmtId="168" fontId="40" fillId="0" borderId="0" xfId="3" applyNumberFormat="1" applyFont="1" applyFill="1" applyBorder="1" applyAlignment="1" applyProtection="1">
      <alignment horizontal="right" vertical="top" wrapText="1"/>
      <protection locked="0"/>
    </xf>
    <xf numFmtId="9" fontId="40" fillId="0" borderId="0" xfId="3" applyFont="1" applyFill="1" applyBorder="1" applyAlignment="1" applyProtection="1">
      <alignment horizontal="center" vertical="top" wrapText="1"/>
      <protection locked="0"/>
    </xf>
    <xf numFmtId="9" fontId="40" fillId="2" borderId="0" xfId="3" applyFont="1" applyFill="1" applyBorder="1" applyAlignment="1" applyProtection="1">
      <alignment horizontal="center" vertical="top" wrapText="1"/>
      <protection locked="0"/>
    </xf>
    <xf numFmtId="9" fontId="40" fillId="15" borderId="0" xfId="3" applyFont="1" applyFill="1" applyBorder="1" applyAlignment="1" applyProtection="1">
      <alignment horizontal="center" vertical="top" wrapText="1"/>
      <protection locked="0"/>
    </xf>
    <xf numFmtId="0" fontId="40" fillId="0" borderId="0" xfId="4" applyFont="1" applyFill="1" applyBorder="1" applyAlignment="1" applyProtection="1">
      <alignment horizontal="center" vertical="center"/>
    </xf>
    <xf numFmtId="0" fontId="36" fillId="0" borderId="0" xfId="0" applyFont="1" applyFill="1" applyBorder="1"/>
    <xf numFmtId="15" fontId="36" fillId="0" borderId="0" xfId="0" applyNumberFormat="1" applyFont="1" applyFill="1" applyBorder="1"/>
    <xf numFmtId="0" fontId="42" fillId="0" borderId="0" xfId="4" applyFont="1" applyFill="1" applyBorder="1" applyAlignment="1" applyProtection="1">
      <alignment horizontal="left" vertical="top" wrapText="1"/>
      <protection locked="0"/>
    </xf>
    <xf numFmtId="0" fontId="36" fillId="0" borderId="12" xfId="0" applyFont="1" applyBorder="1"/>
    <xf numFmtId="49" fontId="40" fillId="0" borderId="12" xfId="4" applyNumberFormat="1" applyFont="1" applyFill="1" applyBorder="1" applyAlignment="1" applyProtection="1">
      <alignment horizontal="left" vertical="top" wrapText="1"/>
      <protection locked="0"/>
    </xf>
    <xf numFmtId="0" fontId="40" fillId="0" borderId="12" xfId="4" applyFont="1" applyFill="1" applyBorder="1" applyAlignment="1" applyProtection="1">
      <alignment vertical="top" wrapText="1"/>
      <protection locked="0"/>
    </xf>
    <xf numFmtId="168" fontId="40" fillId="0" borderId="12" xfId="4" applyNumberFormat="1" applyFont="1" applyFill="1" applyBorder="1" applyAlignment="1" applyProtection="1">
      <alignment vertical="top" wrapText="1"/>
      <protection locked="0"/>
    </xf>
    <xf numFmtId="164" fontId="40" fillId="0" borderId="12" xfId="4" applyNumberFormat="1" applyFont="1" applyFill="1" applyBorder="1" applyAlignment="1" applyProtection="1">
      <alignment horizontal="right" vertical="top" wrapText="1"/>
      <protection locked="0"/>
    </xf>
    <xf numFmtId="3" fontId="40" fillId="0" borderId="12" xfId="4" applyNumberFormat="1" applyFont="1" applyFill="1" applyBorder="1" applyAlignment="1" applyProtection="1">
      <alignment horizontal="right" vertical="top" wrapText="1"/>
      <protection locked="0"/>
    </xf>
    <xf numFmtId="9" fontId="40" fillId="0" borderId="12" xfId="3" applyNumberFormat="1" applyFont="1" applyFill="1" applyBorder="1" applyAlignment="1" applyProtection="1">
      <alignment horizontal="center" vertical="top" wrapText="1"/>
      <protection locked="0"/>
    </xf>
    <xf numFmtId="168" fontId="40" fillId="0" borderId="12" xfId="3" applyNumberFormat="1" applyFont="1" applyFill="1" applyBorder="1" applyAlignment="1" applyProtection="1">
      <alignment horizontal="right" vertical="top" wrapText="1"/>
      <protection locked="0"/>
    </xf>
    <xf numFmtId="9" fontId="40" fillId="0" borderId="12" xfId="3" applyFont="1" applyFill="1" applyBorder="1" applyAlignment="1" applyProtection="1">
      <alignment horizontal="center" vertical="top" wrapText="1"/>
      <protection locked="0"/>
    </xf>
    <xf numFmtId="9" fontId="40" fillId="2" borderId="12" xfId="3" applyFont="1" applyFill="1" applyBorder="1" applyAlignment="1" applyProtection="1">
      <alignment horizontal="center" vertical="top" wrapText="1"/>
      <protection locked="0"/>
    </xf>
    <xf numFmtId="9" fontId="40" fillId="15" borderId="12" xfId="3" applyFont="1" applyFill="1" applyBorder="1" applyAlignment="1" applyProtection="1">
      <alignment horizontal="center" vertical="top" wrapText="1"/>
      <protection locked="0"/>
    </xf>
    <xf numFmtId="0" fontId="40" fillId="0" borderId="12" xfId="4" applyFont="1" applyFill="1" applyBorder="1" applyAlignment="1" applyProtection="1">
      <alignment horizontal="center" vertical="center"/>
    </xf>
    <xf numFmtId="0" fontId="36" fillId="0" borderId="12" xfId="0" applyFont="1" applyFill="1" applyBorder="1"/>
    <xf numFmtId="15" fontId="36" fillId="0" borderId="12" xfId="0" applyNumberFormat="1" applyFont="1" applyFill="1" applyBorder="1"/>
    <xf numFmtId="0" fontId="0" fillId="4" borderId="0" xfId="0" applyFill="1" applyBorder="1" applyAlignment="1">
      <alignment horizontal="left" vertical="top" wrapText="1"/>
    </xf>
    <xf numFmtId="0" fontId="3" fillId="4" borderId="0" xfId="0" applyFont="1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3"/>
    </xf>
    <xf numFmtId="0" fontId="3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0" fontId="33" fillId="5" borderId="0" xfId="0" applyFont="1" applyFill="1" applyBorder="1" applyAlignment="1">
      <alignment horizontal="center" vertical="center"/>
    </xf>
    <xf numFmtId="0" fontId="35" fillId="5" borderId="0" xfId="2" applyFont="1" applyFill="1" applyBorder="1" applyAlignment="1">
      <alignment horizontal="center"/>
    </xf>
    <xf numFmtId="0" fontId="34" fillId="5" borderId="0" xfId="2" applyFont="1" applyFill="1" applyAlignment="1" applyProtection="1">
      <alignment horizontal="center"/>
      <protection locked="0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  <xf numFmtId="0" fontId="28" fillId="0" borderId="0" xfId="0" applyFont="1" applyAlignment="1">
      <alignment horizontal="center"/>
    </xf>
  </cellXfs>
  <cellStyles count="199">
    <cellStyle name="Besuchter Hyperlink" xfId="5" builtinId="9" hidden="1"/>
    <cellStyle name="Besuchter Hyperlink" xfId="6" builtinId="9" hidden="1"/>
    <cellStyle name="Besuchter Hyperlink" xfId="7" builtinId="9" hidden="1"/>
    <cellStyle name="Besuchter Hyperlink" xfId="8" builtinId="9" hidden="1"/>
    <cellStyle name="Besuchter Hyperlink" xfId="9" builtinId="9" hidden="1"/>
    <cellStyle name="Besuchter Hyperlink" xfId="10" builtinId="9" hidden="1"/>
    <cellStyle name="Besuchter Hyperlink" xfId="11" builtinId="9" hidden="1"/>
    <cellStyle name="Besuchter Hyperlink" xfId="12" builtinId="9" hidden="1"/>
    <cellStyle name="Besuchter Hyperlink" xfId="13" builtinId="9" hidden="1"/>
    <cellStyle name="Besuchter Hyperlink" xfId="14" builtinId="9" hidden="1"/>
    <cellStyle name="Besuchter Hyperlink" xfId="15" builtinId="9" hidden="1"/>
    <cellStyle name="Besuchter Hyperlink" xfId="16" builtinId="9" hidden="1"/>
    <cellStyle name="Besuchter Hyperlink" xfId="17" builtinId="9" hidden="1"/>
    <cellStyle name="Besuchter Hyperlink" xfId="18" builtinId="9" hidden="1"/>
    <cellStyle name="Besuchter Hyperlink" xfId="19" builtinId="9" hidden="1"/>
    <cellStyle name="Besuchter Hyperlink" xfId="20" builtinId="9" hidden="1"/>
    <cellStyle name="Besuchter Hyperlink" xfId="21" builtinId="9" hidden="1"/>
    <cellStyle name="Besuchter Hyperlink" xfId="22" builtinId="9" hidden="1"/>
    <cellStyle name="Besuchter Hyperlink" xfId="23" builtinId="9" hidden="1"/>
    <cellStyle name="Besuchter Hyperlink" xfId="24" builtinId="9" hidden="1"/>
    <cellStyle name="Besuchter Hyperlink" xfId="25" builtinId="9" hidden="1"/>
    <cellStyle name="Besuchter Hyperlink" xfId="26" builtinId="9" hidden="1"/>
    <cellStyle name="Besuchter Hyperlink" xfId="27" builtinId="9" hidden="1"/>
    <cellStyle name="Besuchter Hyperlink" xfId="28" builtinId="9" hidden="1"/>
    <cellStyle name="Besuchter Hyperlink" xfId="29" builtinId="9" hidden="1"/>
    <cellStyle name="Besuchter Hyperlink" xfId="30" builtinId="9" hidden="1"/>
    <cellStyle name="Besuchter Hyperlink" xfId="31" builtinId="9" hidden="1"/>
    <cellStyle name="Besuchter Hyperlink" xfId="32" builtinId="9" hidden="1"/>
    <cellStyle name="Besuchter Hyperlink" xfId="33" builtinId="9" hidden="1"/>
    <cellStyle name="Besuchter Hyperlink" xfId="34" builtinId="9" hidden="1"/>
    <cellStyle name="Besuchter Hyperlink" xfId="35" builtinId="9" hidden="1"/>
    <cellStyle name="Besuchter Hyperlink" xfId="36" builtinId="9" hidden="1"/>
    <cellStyle name="Besuchter Hyperlink" xfId="37" builtinId="9" hidden="1"/>
    <cellStyle name="Besuchter Hyperlink" xfId="38" builtinId="9" hidden="1"/>
    <cellStyle name="Besuchter Hyperlink" xfId="39" builtinId="9" hidden="1"/>
    <cellStyle name="Besuchter Hyperlink" xfId="40" builtinId="9" hidden="1"/>
    <cellStyle name="Besuchter Hyperlink" xfId="41" builtinId="9" hidden="1"/>
    <cellStyle name="Besuchter Hyperlink" xfId="42" builtinId="9" hidden="1"/>
    <cellStyle name="Besuchter Hyperlink" xfId="43" builtinId="9" hidden="1"/>
    <cellStyle name="Besuchter Hyperlink" xfId="44" builtinId="9" hidden="1"/>
    <cellStyle name="Besuchter Hyperlink" xfId="45" builtinId="9" hidden="1"/>
    <cellStyle name="Besuchter Hyperlink" xfId="46" builtinId="9" hidden="1"/>
    <cellStyle name="Besuchter Hyperlink" xfId="47" builtinId="9" hidden="1"/>
    <cellStyle name="Besuchter Hyperlink" xfId="48" builtinId="9" hidden="1"/>
    <cellStyle name="Besuchter Hyperlink" xfId="49" builtinId="9" hidden="1"/>
    <cellStyle name="Besuchter Hyperlink" xfId="50" builtinId="9" hidden="1"/>
    <cellStyle name="Besuchter Hyperlink" xfId="51" builtinId="9" hidden="1"/>
    <cellStyle name="Besuchter Hyperlink" xfId="52" builtinId="9" hidden="1"/>
    <cellStyle name="Besuchter Hyperlink" xfId="53" builtinId="9" hidden="1"/>
    <cellStyle name="Besuchter Hyperlink" xfId="54" builtinId="9" hidden="1"/>
    <cellStyle name="Besuchter Hyperlink" xfId="55" builtinId="9" hidden="1"/>
    <cellStyle name="Besuchter Hyperlink" xfId="56" builtinId="9" hidden="1"/>
    <cellStyle name="Besuchter Hyperlink" xfId="57" builtinId="9" hidden="1"/>
    <cellStyle name="Besuchter Hyperlink" xfId="58" builtinId="9" hidden="1"/>
    <cellStyle name="Besuchter Hyperlink" xfId="59" builtinId="9" hidden="1"/>
    <cellStyle name="Besuchter Hyperlink" xfId="60" builtinId="9" hidden="1"/>
    <cellStyle name="Besuchter Hyperlink" xfId="61" builtinId="9" hidden="1"/>
    <cellStyle name="Besuchter Hyperlink" xfId="62" builtinId="9" hidden="1"/>
    <cellStyle name="Besuchter Hyperlink" xfId="63" builtinId="9" hidden="1"/>
    <cellStyle name="Besuchter Hyperlink" xfId="64" builtinId="9" hidden="1"/>
    <cellStyle name="Besuchter Hyperlink" xfId="65" builtinId="9" hidden="1"/>
    <cellStyle name="Besuchter Hyperlink" xfId="66" builtinId="9" hidden="1"/>
    <cellStyle name="Besuchter Hyperlink" xfId="67" builtinId="9" hidden="1"/>
    <cellStyle name="Besuchter Hyperlink" xfId="68" builtinId="9" hidden="1"/>
    <cellStyle name="Besuchter Hyperlink" xfId="69" builtinId="9" hidden="1"/>
    <cellStyle name="Besuchter Hyperlink" xfId="70" builtinId="9" hidden="1"/>
    <cellStyle name="Besuchter Hyperlink" xfId="71" builtinId="9" hidden="1"/>
    <cellStyle name="Besuchter Hyperlink" xfId="72" builtinId="9" hidden="1"/>
    <cellStyle name="Besuchter Hyperlink" xfId="73" builtinId="9" hidden="1"/>
    <cellStyle name="Besuchter Hyperlink" xfId="74" builtinId="9" hidden="1"/>
    <cellStyle name="Besuchter Hyperlink" xfId="75" builtinId="9" hidden="1"/>
    <cellStyle name="Besuchter Hyperlink" xfId="76" builtinId="9" hidden="1"/>
    <cellStyle name="Besuchter Hyperlink" xfId="77" builtinId="9" hidden="1"/>
    <cellStyle name="Besuchter Hyperlink" xfId="78" builtinId="9" hidden="1"/>
    <cellStyle name="Besuchter Hyperlink" xfId="79" builtinId="9" hidden="1"/>
    <cellStyle name="Besuchter Hyperlink" xfId="80" builtinId="9" hidden="1"/>
    <cellStyle name="Besuchter Hyperlink" xfId="81" builtinId="9" hidden="1"/>
    <cellStyle name="Besuchter Hyperlink" xfId="82" builtinId="9" hidden="1"/>
    <cellStyle name="Besuchter Hyperlink" xfId="83" builtinId="9" hidden="1"/>
    <cellStyle name="Besuchter Hyperlink" xfId="84" builtinId="9" hidden="1"/>
    <cellStyle name="Besuchter Hyperlink" xfId="85" builtinId="9" hidden="1"/>
    <cellStyle name="Besuchter Hyperlink" xfId="86" builtinId="9" hidden="1"/>
    <cellStyle name="Besuchter Hyperlink" xfId="87" builtinId="9" hidden="1"/>
    <cellStyle name="Besuchter Hyperlink" xfId="88" builtinId="9" hidden="1"/>
    <cellStyle name="Besuchter Hyperlink" xfId="89" builtinId="9" hidden="1"/>
    <cellStyle name="Besuchter Hyperlink" xfId="90" builtinId="9" hidden="1"/>
    <cellStyle name="Besuchter Hyperlink" xfId="91" builtinId="9" hidden="1"/>
    <cellStyle name="Besuchter Hyperlink" xfId="92" builtinId="9" hidden="1"/>
    <cellStyle name="Besuchter Hyperlink" xfId="93" builtinId="9" hidden="1"/>
    <cellStyle name="Besuchter Hyperlink" xfId="94" builtinId="9" hidden="1"/>
    <cellStyle name="Besuchter Hyperlink" xfId="95" builtinId="9" hidden="1"/>
    <cellStyle name="Besuchter Hyperlink" xfId="96" builtinId="9" hidden="1"/>
    <cellStyle name="Besuchter Hyperlink" xfId="97" builtinId="9" hidden="1"/>
    <cellStyle name="Besuchter Hyperlink" xfId="98" builtinId="9" hidden="1"/>
    <cellStyle name="Besuchter Hyperlink" xfId="99" builtinId="9" hidden="1"/>
    <cellStyle name="Besuchter Hyperlink" xfId="100" builtinId="9" hidden="1"/>
    <cellStyle name="Besuchter Hyperlink" xfId="101" builtinId="9" hidden="1"/>
    <cellStyle name="Besuchter Hyperlink" xfId="102" builtinId="9" hidden="1"/>
    <cellStyle name="Besuchter Hyperlink" xfId="103" builtinId="9" hidden="1"/>
    <cellStyle name="Besuchter Hyperlink" xfId="104" builtinId="9" hidden="1"/>
    <cellStyle name="Besuchter Hyperlink" xfId="105" builtinId="9" hidden="1"/>
    <cellStyle name="Besuchter Hyperlink" xfId="106" builtinId="9" hidden="1"/>
    <cellStyle name="Besuchter Hyperlink" xfId="107" builtinId="9" hidden="1"/>
    <cellStyle name="Besuchter Hyperlink" xfId="108" builtinId="9" hidden="1"/>
    <cellStyle name="Besuchter Hyperlink" xfId="109" builtinId="9" hidden="1"/>
    <cellStyle name="Besuchter Hyperlink" xfId="110" builtinId="9" hidden="1"/>
    <cellStyle name="Besuchter Hyperlink" xfId="111" builtinId="9" hidden="1"/>
    <cellStyle name="Besuchter Hyperlink" xfId="112" builtinId="9" hidden="1"/>
    <cellStyle name="Besuchter Hyperlink" xfId="113" builtinId="9" hidden="1"/>
    <cellStyle name="Besuchter Hyperlink" xfId="114" builtinId="9" hidden="1"/>
    <cellStyle name="Besuchter Hyperlink" xfId="115" builtinId="9" hidden="1"/>
    <cellStyle name="Besuchter Hyperlink" xfId="116" builtinId="9" hidden="1"/>
    <cellStyle name="Besuchter Hyperlink" xfId="117" builtinId="9" hidden="1"/>
    <cellStyle name="Besuchter Hyperlink" xfId="118" builtinId="9" hidden="1"/>
    <cellStyle name="Besuchter Hyperlink" xfId="119" builtinId="9" hidden="1"/>
    <cellStyle name="Besuchter Hyperlink" xfId="120" builtinId="9" hidden="1"/>
    <cellStyle name="Besuchter Hyperlink" xfId="121" builtinId="9" hidden="1"/>
    <cellStyle name="Besuchter Hyperlink" xfId="122" builtinId="9" hidden="1"/>
    <cellStyle name="Besuchter Hyperlink" xfId="123" builtinId="9" hidden="1"/>
    <cellStyle name="Besuchter Hyperlink" xfId="124" builtinId="9" hidden="1"/>
    <cellStyle name="Besuchter Hyperlink" xfId="125" builtinId="9" hidden="1"/>
    <cellStyle name="Besuchter Hyperlink" xfId="126" builtinId="9" hidden="1"/>
    <cellStyle name="Besuchter Hyperlink" xfId="127" builtinId="9" hidden="1"/>
    <cellStyle name="Besuchter Hyperlink" xfId="128" builtinId="9" hidden="1"/>
    <cellStyle name="Besuchter Hyperlink" xfId="129" builtinId="9" hidden="1"/>
    <cellStyle name="Besuchter Hyperlink" xfId="130" builtinId="9" hidden="1"/>
    <cellStyle name="Besuchter Hyperlink" xfId="131" builtinId="9" hidden="1"/>
    <cellStyle name="Besuchter Hyperlink" xfId="132" builtinId="9" hidden="1"/>
    <cellStyle name="Besuchter Hyperlink" xfId="133" builtinId="9" hidden="1"/>
    <cellStyle name="Besuchter Hyperlink" xfId="134" builtinId="9" hidden="1"/>
    <cellStyle name="Besuchter Hyperlink" xfId="135" builtinId="9" hidden="1"/>
    <cellStyle name="Besuchter Hyperlink" xfId="136" builtinId="9" hidden="1"/>
    <cellStyle name="Besuchter Hyperlink" xfId="137" builtinId="9" hidden="1"/>
    <cellStyle name="Besuchter Hyperlink" xfId="138" builtinId="9" hidden="1"/>
    <cellStyle name="Besuchter Hyperlink" xfId="139" builtinId="9" hidden="1"/>
    <cellStyle name="Besuchter Hyperlink" xfId="140" builtinId="9" hidden="1"/>
    <cellStyle name="Besuchter Hyperlink" xfId="141" builtinId="9" hidden="1"/>
    <cellStyle name="Besuchter Hyperlink" xfId="142" builtinId="9" hidden="1"/>
    <cellStyle name="Besuchter Hyperlink" xfId="143" builtinId="9" hidden="1"/>
    <cellStyle name="Besuchter Hyperlink" xfId="144" builtinId="9" hidden="1"/>
    <cellStyle name="Besuchter Hyperlink" xfId="145" builtinId="9" hidden="1"/>
    <cellStyle name="Besuchter Hyperlink" xfId="146" builtinId="9" hidden="1"/>
    <cellStyle name="Besuchter Hyperlink" xfId="147" builtinId="9" hidden="1"/>
    <cellStyle name="Besuchter Hyperlink" xfId="148" builtinId="9" hidden="1"/>
    <cellStyle name="Besuchter Hyperlink" xfId="149" builtinId="9" hidden="1"/>
    <cellStyle name="Besuchter Hyperlink" xfId="150" builtinId="9" hidden="1"/>
    <cellStyle name="Besuchter Hyperlink" xfId="151" builtinId="9" hidden="1"/>
    <cellStyle name="Besuchter Hyperlink" xfId="152" builtinId="9" hidden="1"/>
    <cellStyle name="Besuchter Hyperlink" xfId="153" builtinId="9" hidden="1"/>
    <cellStyle name="Besuchter Hyperlink" xfId="154" builtinId="9" hidden="1"/>
    <cellStyle name="Besuchter Hyperlink" xfId="155" builtinId="9" hidden="1"/>
    <cellStyle name="Besuchter Hyperlink" xfId="156" builtinId="9" hidden="1"/>
    <cellStyle name="Besuchter Hyperlink" xfId="157" builtinId="9" hidden="1"/>
    <cellStyle name="Besuchter Hyperlink" xfId="158" builtinId="9" hidden="1"/>
    <cellStyle name="Besuchter Hyperlink" xfId="159" builtinId="9" hidden="1"/>
    <cellStyle name="Besuchter Hyperlink" xfId="160" builtinId="9" hidden="1"/>
    <cellStyle name="Besuchter Hyperlink" xfId="161" builtinId="9" hidden="1"/>
    <cellStyle name="Besuchter Hyperlink" xfId="162" builtinId="9" hidden="1"/>
    <cellStyle name="Besuchter Hyperlink" xfId="163" builtinId="9" hidden="1"/>
    <cellStyle name="Besuchter Hyperlink" xfId="164" builtinId="9" hidden="1"/>
    <cellStyle name="Besuchter Hyperlink" xfId="165" builtinId="9" hidden="1"/>
    <cellStyle name="Besuchter Hyperlink" xfId="166" builtinId="9" hidden="1"/>
    <cellStyle name="Besuchter Hyperlink" xfId="167" builtinId="9" hidden="1"/>
    <cellStyle name="Besuchter Hyperlink" xfId="168" builtinId="9" hidden="1"/>
    <cellStyle name="Besuchter Hyperlink" xfId="169" builtinId="9" hidden="1"/>
    <cellStyle name="Besuchter Hyperlink" xfId="170" builtinId="9" hidden="1"/>
    <cellStyle name="Besuchter Hyperlink" xfId="171" builtinId="9" hidden="1"/>
    <cellStyle name="Besuchter Hyperlink" xfId="172" builtinId="9" hidden="1"/>
    <cellStyle name="Besuchter Hyperlink" xfId="173" builtinId="9" hidden="1"/>
    <cellStyle name="Besuchter Hyperlink" xfId="174" builtinId="9" hidden="1"/>
    <cellStyle name="Besuchter Hyperlink" xfId="175" builtinId="9" hidden="1"/>
    <cellStyle name="Besuchter Hyperlink" xfId="176" builtinId="9" hidden="1"/>
    <cellStyle name="Besuchter Hyperlink" xfId="177" builtinId="9" hidden="1"/>
    <cellStyle name="Besuchter Hyperlink" xfId="178" builtinId="9" hidden="1"/>
    <cellStyle name="Besuchter Hyperlink" xfId="179" builtinId="9" hidden="1"/>
    <cellStyle name="Besuchter Hyperlink" xfId="180" builtinId="9" hidden="1"/>
    <cellStyle name="Besuchter Hyperlink" xfId="181" builtinId="9" hidden="1"/>
    <cellStyle name="Besuchter Hyperlink" xfId="182" builtinId="9" hidden="1"/>
    <cellStyle name="Besuchter Hyperlink" xfId="183" builtinId="9" hidden="1"/>
    <cellStyle name="Besuchter Hyperlink" xfId="184" builtinId="9" hidden="1"/>
    <cellStyle name="Besuchter Hyperlink" xfId="185" builtinId="9" hidden="1"/>
    <cellStyle name="Besuchter Hyperlink" xfId="186" builtinId="9" hidden="1"/>
    <cellStyle name="Besuchter Hyperlink" xfId="187" builtinId="9" hidden="1"/>
    <cellStyle name="Besuchter Hyperlink" xfId="188" builtinId="9" hidden="1"/>
    <cellStyle name="Besuchter Hyperlink" xfId="189" builtinId="9" hidden="1"/>
    <cellStyle name="Besuchter Hyperlink" xfId="190" builtinId="9" hidden="1"/>
    <cellStyle name="Besuchter Hyperlink" xfId="191" builtinId="9" hidden="1"/>
    <cellStyle name="Besuchter Hyperlink" xfId="192" builtinId="9" hidden="1"/>
    <cellStyle name="Besuchter Hyperlink" xfId="193" builtinId="9" hidden="1"/>
    <cellStyle name="Besuchter Hyperlink" xfId="194" builtinId="9" hidden="1"/>
    <cellStyle name="Besuchter Hyperlink" xfId="195" builtinId="9" hidden="1"/>
    <cellStyle name="Besuchter Hyperlink" xfId="196" builtinId="9" hidden="1"/>
    <cellStyle name="Besuchter Hyperlink" xfId="197" builtinId="9" hidden="1"/>
    <cellStyle name="Besuchter Hyperlink" xfId="198" builtinId="9" hidden="1"/>
    <cellStyle name="Link" xfId="2" builtinId="8"/>
    <cellStyle name="Normal 3" xfId="4" xr:uid="{00000000-0005-0000-0000-0000C5000000}"/>
    <cellStyle name="Percent 2" xfId="3" xr:uid="{00000000-0005-0000-0000-0000C6000000}"/>
    <cellStyle name="Standard" xfId="0" builtinId="0"/>
    <cellStyle name="Überschrift 1" xfId="1" builtinId="16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8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rgb="FFF2F2F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fill>
        <patternFill patternType="none">
          <fgColor rgb="FF000000"/>
          <bgColor rgb="FFFFFFFF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125F-4551-A045-BB075AF111AD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3-125F-4551-A045-BB075AF111AD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5-125F-4551-A045-BB075AF111AD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7-125F-4551-A045-BB075AF111AD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'Project Dashboard'!$D$9:$D$12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'Project Dashboard'!$E$9:$E$12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5F-4551-A045-BB075AF11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52BB-4362-9F22-3255549BBE3A}"/>
              </c:ext>
            </c:extLst>
          </c:dPt>
          <c:val>
            <c:numRef>
              <c:f>'Project Dashboard'!$X$3:$Y$3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BB-4362-9F22-3255549BB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[GANTT-Projektplan.xlsm]Project Dashboard!PvtParentECS</c:name>
    <c:fmtId val="6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Dashboard'!$BK$4</c:f>
              <c:strCache>
                <c:ptCount val="1"/>
                <c:pt idx="0">
                  <c:v>Ergebnis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Dashboard'!$BJ$5</c:f>
              <c:strCache>
                <c:ptCount val="1"/>
                <c:pt idx="0">
                  <c:v>Type here or double click to edit in form</c:v>
                </c:pt>
              </c:strCache>
            </c:strRef>
          </c:cat>
          <c:val>
            <c:numRef>
              <c:f>'Project Dashboard'!$BK$5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2783-4CA5-B524-B78728A800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186544"/>
        <c:axId val="392189024"/>
      </c:barChart>
      <c:catAx>
        <c:axId val="3921865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189024"/>
        <c:crosses val="autoZero"/>
        <c:auto val="1"/>
        <c:lblAlgn val="ctr"/>
        <c:lblOffset val="100"/>
        <c:noMultiLvlLbl val="0"/>
      </c:catAx>
      <c:valAx>
        <c:axId val="392189024"/>
        <c:scaling>
          <c:orientation val="minMax"/>
        </c:scaling>
        <c:delete val="1"/>
        <c:axPos val="b"/>
        <c:numFmt formatCode="#,##0" sourceLinked="1"/>
        <c:majorTickMark val="out"/>
        <c:minorTickMark val="none"/>
        <c:tickLblPos val="none"/>
        <c:crossAx val="39218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[GANTT-Projektplan.xlsm]Project Dashboard!PvtParentPerc</c:name>
    <c:fmtId val="5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Dashboard'!$BO$4</c:f>
              <c:strCache>
                <c:ptCount val="1"/>
                <c:pt idx="0">
                  <c:v>Ergebnis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Dashboard'!$BN$5</c:f>
              <c:strCache>
                <c:ptCount val="1"/>
                <c:pt idx="0">
                  <c:v>Type here or double click to edit in form</c:v>
                </c:pt>
              </c:strCache>
            </c:strRef>
          </c:cat>
          <c:val>
            <c:numRef>
              <c:f>'Project Dashboard'!$BO$5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F5-4951-8E7F-2215DDBFAA9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232688"/>
        <c:axId val="392235168"/>
      </c:barChart>
      <c:catAx>
        <c:axId val="392232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235168"/>
        <c:crosses val="autoZero"/>
        <c:auto val="1"/>
        <c:lblAlgn val="ctr"/>
        <c:lblOffset val="100"/>
        <c:noMultiLvlLbl val="0"/>
      </c:catAx>
      <c:valAx>
        <c:axId val="39223516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922326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[GANTT-Projektplan.xlsm]Project Dashboard!PvtResourcePerc</c:name>
    <c:fmtId val="5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Dashboard'!$BR$4</c:f>
              <c:strCache>
                <c:ptCount val="1"/>
                <c:pt idx="0">
                  <c:v>Ergebnis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Dashboard'!$BQ$5</c:f>
              <c:strCache>
                <c:ptCount val="1"/>
                <c:pt idx="0">
                  <c:v>(Leer)</c:v>
                </c:pt>
              </c:strCache>
            </c:strRef>
          </c:cat>
          <c:val>
            <c:numRef>
              <c:f>'Project Dashboard'!$BR$5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CC-4D0D-BD3B-FCADD7AE0A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278032"/>
        <c:axId val="392280512"/>
      </c:barChart>
      <c:catAx>
        <c:axId val="392278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280512"/>
        <c:crosses val="autoZero"/>
        <c:auto val="1"/>
        <c:lblAlgn val="ctr"/>
        <c:lblOffset val="100"/>
        <c:noMultiLvlLbl val="0"/>
      </c:catAx>
      <c:valAx>
        <c:axId val="39228051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92278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[GANTT-Projektplan.xlsm]Project Dashboard!pvtResourceDur</c:name>
    <c:fmtId val="5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 Dashboard'!$BU$4</c:f>
              <c:strCache>
                <c:ptCount val="1"/>
                <c:pt idx="0">
                  <c:v>Ergebnis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'Project Dashboard'!$BT$5</c:f>
              <c:strCache>
                <c:ptCount val="1"/>
                <c:pt idx="0">
                  <c:v>(Leer)</c:v>
                </c:pt>
              </c:strCache>
            </c:strRef>
          </c:cat>
          <c:val>
            <c:numRef>
              <c:f>'Project Dashboard'!$BU$5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81-4117-BFA2-F35020DD9EE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330080"/>
        <c:axId val="392333072"/>
      </c:barChart>
      <c:catAx>
        <c:axId val="3923300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333072"/>
        <c:crosses val="autoZero"/>
        <c:auto val="1"/>
        <c:lblAlgn val="ctr"/>
        <c:lblOffset val="100"/>
        <c:noMultiLvlLbl val="0"/>
      </c:catAx>
      <c:valAx>
        <c:axId val="3923330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923300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186544"/>
        <c:axId val="392189024"/>
      </c:barChart>
      <c:catAx>
        <c:axId val="3921865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189024"/>
        <c:crosses val="autoZero"/>
        <c:auto val="1"/>
        <c:lblAlgn val="ctr"/>
        <c:lblOffset val="100"/>
        <c:noMultiLvlLbl val="0"/>
      </c:catAx>
      <c:valAx>
        <c:axId val="392189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218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232688"/>
        <c:axId val="392235168"/>
      </c:barChart>
      <c:catAx>
        <c:axId val="3922326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235168"/>
        <c:crosses val="autoZero"/>
        <c:auto val="1"/>
        <c:lblAlgn val="ctr"/>
        <c:lblOffset val="100"/>
        <c:noMultiLvlLbl val="0"/>
      </c:catAx>
      <c:valAx>
        <c:axId val="392235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22326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278032"/>
        <c:axId val="392280512"/>
      </c:barChart>
      <c:catAx>
        <c:axId val="392278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280512"/>
        <c:crosses val="autoZero"/>
        <c:auto val="1"/>
        <c:lblAlgn val="ctr"/>
        <c:lblOffset val="100"/>
        <c:noMultiLvlLbl val="0"/>
      </c:catAx>
      <c:valAx>
        <c:axId val="392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2278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de-D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92330080"/>
        <c:axId val="392333072"/>
      </c:barChart>
      <c:catAx>
        <c:axId val="3923300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2333072"/>
        <c:crosses val="autoZero"/>
        <c:auto val="1"/>
        <c:lblAlgn val="ctr"/>
        <c:lblOffset val="100"/>
        <c:noMultiLvlLbl val="0"/>
      </c:catAx>
      <c:valAx>
        <c:axId val="392333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923300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croll" dx="22" fmlaLink="$VEY$2" horiz="1" max="10000" min="1" page="0"/>
</file>

<file path=xl/ctrlProps/ctrlProp4.xml><?xml version="1.0" encoding="utf-8"?>
<formControlPr xmlns="http://schemas.microsoft.com/office/spreadsheetml/2009/9/main" objectType="Scroll" dx="22" fmlaLink="$VEY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13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347662</xdr:colOff>
      <xdr:row>17</xdr:row>
      <xdr:rowOff>52387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371600" y="2462212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28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" name="BC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1 Tasks Left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3" name="chrt_ProjectProgres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4" name="chrt_ProjectProgress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5" name="EstimatedBudge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6" name="BC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$ ,0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7" name="BCLabe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8" name="EC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$ ,0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9" name="ECLabel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0" name="AC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$ ,0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1" name="ACLabel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12" name="EstimatedBudge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$ ,0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13" name="EstimatedBudge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  <a:cs typeface="Calibri"/>
            </a:rPr>
            <a:pPr algn="ctr"/>
            <a:t>$ ,0 spent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14" name="EstimatedBudge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15" name="chrt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16" name="chrt2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17" name="chrt3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18" name="chrt4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9" name="BC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1</xdr:row>
          <xdr:rowOff>0</xdr:rowOff>
        </xdr:from>
        <xdr:to>
          <xdr:col>5</xdr:col>
          <xdr:colOff>676275</xdr:colOff>
          <xdr:row>1</xdr:row>
          <xdr:rowOff>228600</xdr:rowOff>
        </xdr:to>
        <xdr:sp macro="" textlink="">
          <xdr:nvSpPr>
            <xdr:cNvPr id="5121" name="btnRefreshDashboard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1 Tasks Left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#BEZUG!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#BEZUG!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#BEZUG!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#BEZUG!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1</xdr:row>
          <xdr:rowOff>0</xdr:rowOff>
        </xdr:from>
        <xdr:to>
          <xdr:col>5</xdr:col>
          <xdr:colOff>676275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28575</xdr:rowOff>
        </xdr:from>
        <xdr:to>
          <xdr:col>32</xdr:col>
          <xdr:colOff>28575</xdr:colOff>
          <xdr:row>5</xdr:row>
          <xdr:rowOff>219075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28575</xdr:rowOff>
        </xdr:from>
        <xdr:to>
          <xdr:col>30</xdr:col>
          <xdr:colOff>171450</xdr:colOff>
          <xdr:row>5</xdr:row>
          <xdr:rowOff>219075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39</xdr:col>
      <xdr:colOff>25241</xdr:colOff>
      <xdr:row>9</xdr:row>
      <xdr:rowOff>30004</xdr:rowOff>
    </xdr:from>
    <xdr:to>
      <xdr:col>39</xdr:col>
      <xdr:colOff>165259</xdr:colOff>
      <xdr:row>9</xdr:row>
      <xdr:rowOff>170021</xdr:rowOff>
    </xdr:to>
    <xdr:sp macro="" textlink="">
      <xdr:nvSpPr>
        <xdr:cNvPr id="4141" name="S_E_2">
          <a:extLst>
            <a:ext uri="{FF2B5EF4-FFF2-40B4-BE49-F238E27FC236}">
              <a16:creationId xmlns:a16="http://schemas.microsoft.com/office/drawing/2014/main" id="{00000000-0008-0000-0400-00002D100000}"/>
            </a:ext>
          </a:extLst>
        </xdr:cNvPr>
        <xdr:cNvSpPr/>
      </xdr:nvSpPr>
      <xdr:spPr>
        <a:xfrm>
          <a:off x="9788366" y="925354"/>
          <a:ext cx="140018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55</xdr:col>
      <xdr:colOff>39529</xdr:colOff>
      <xdr:row>10</xdr:row>
      <xdr:rowOff>30004</xdr:rowOff>
    </xdr:from>
    <xdr:to>
      <xdr:col>55</xdr:col>
      <xdr:colOff>179547</xdr:colOff>
      <xdr:row>10</xdr:row>
      <xdr:rowOff>170021</xdr:rowOff>
    </xdr:to>
    <xdr:sp macro="" textlink="">
      <xdr:nvSpPr>
        <xdr:cNvPr id="4142" name="S_E_6">
          <a:extLst>
            <a:ext uri="{FF2B5EF4-FFF2-40B4-BE49-F238E27FC236}">
              <a16:creationId xmlns:a16="http://schemas.microsoft.com/office/drawing/2014/main" id="{00000000-0008-0000-0400-00002E100000}"/>
            </a:ext>
          </a:extLst>
        </xdr:cNvPr>
        <xdr:cNvSpPr/>
      </xdr:nvSpPr>
      <xdr:spPr>
        <a:xfrm>
          <a:off x="13336429" y="1125379"/>
          <a:ext cx="140018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77</xdr:col>
      <xdr:colOff>58579</xdr:colOff>
      <xdr:row>11</xdr:row>
      <xdr:rowOff>30004</xdr:rowOff>
    </xdr:from>
    <xdr:to>
      <xdr:col>77</xdr:col>
      <xdr:colOff>198597</xdr:colOff>
      <xdr:row>11</xdr:row>
      <xdr:rowOff>170021</xdr:rowOff>
    </xdr:to>
    <xdr:sp macro="" textlink="">
      <xdr:nvSpPr>
        <xdr:cNvPr id="4143" name="S_E_7">
          <a:extLst>
            <a:ext uri="{FF2B5EF4-FFF2-40B4-BE49-F238E27FC236}">
              <a16:creationId xmlns:a16="http://schemas.microsoft.com/office/drawing/2014/main" id="{00000000-0008-0000-0400-00002F100000}"/>
            </a:ext>
          </a:extLst>
        </xdr:cNvPr>
        <xdr:cNvSpPr/>
      </xdr:nvSpPr>
      <xdr:spPr>
        <a:xfrm>
          <a:off x="18260854" y="1325404"/>
          <a:ext cx="140018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37</xdr:col>
      <xdr:colOff>44291</xdr:colOff>
      <xdr:row>14</xdr:row>
      <xdr:rowOff>30004</xdr:rowOff>
    </xdr:from>
    <xdr:to>
      <xdr:col>37</xdr:col>
      <xdr:colOff>184309</xdr:colOff>
      <xdr:row>14</xdr:row>
      <xdr:rowOff>170021</xdr:rowOff>
    </xdr:to>
    <xdr:sp macro="" textlink="">
      <xdr:nvSpPr>
        <xdr:cNvPr id="4144" name="S_E_8">
          <a:extLst>
            <a:ext uri="{FF2B5EF4-FFF2-40B4-BE49-F238E27FC236}">
              <a16:creationId xmlns:a16="http://schemas.microsoft.com/office/drawing/2014/main" id="{00000000-0008-0000-0400-000030100000}"/>
            </a:ext>
          </a:extLst>
        </xdr:cNvPr>
        <xdr:cNvSpPr/>
      </xdr:nvSpPr>
      <xdr:spPr>
        <a:xfrm>
          <a:off x="9340691" y="1725454"/>
          <a:ext cx="140018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35</xdr:col>
      <xdr:colOff>58579</xdr:colOff>
      <xdr:row>13</xdr:row>
      <xdr:rowOff>30004</xdr:rowOff>
    </xdr:from>
    <xdr:to>
      <xdr:col>35</xdr:col>
      <xdr:colOff>198596</xdr:colOff>
      <xdr:row>13</xdr:row>
      <xdr:rowOff>170021</xdr:rowOff>
    </xdr:to>
    <xdr:sp macro="" textlink="">
      <xdr:nvSpPr>
        <xdr:cNvPr id="4145" name="S_E_3">
          <a:extLst>
            <a:ext uri="{FF2B5EF4-FFF2-40B4-BE49-F238E27FC236}">
              <a16:creationId xmlns:a16="http://schemas.microsoft.com/office/drawing/2014/main" id="{00000000-0008-0000-0400-000031100000}"/>
            </a:ext>
          </a:extLst>
        </xdr:cNvPr>
        <xdr:cNvSpPr/>
      </xdr:nvSpPr>
      <xdr:spPr>
        <a:xfrm>
          <a:off x="8888254" y="1925479"/>
          <a:ext cx="140017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74</xdr:col>
      <xdr:colOff>25242</xdr:colOff>
      <xdr:row>15</xdr:row>
      <xdr:rowOff>30004</xdr:rowOff>
    </xdr:from>
    <xdr:to>
      <xdr:col>74</xdr:col>
      <xdr:colOff>165260</xdr:colOff>
      <xdr:row>15</xdr:row>
      <xdr:rowOff>170021</xdr:rowOff>
    </xdr:to>
    <xdr:sp macro="" textlink="">
      <xdr:nvSpPr>
        <xdr:cNvPr id="4146" name="S_E_4">
          <a:extLst>
            <a:ext uri="{FF2B5EF4-FFF2-40B4-BE49-F238E27FC236}">
              <a16:creationId xmlns:a16="http://schemas.microsoft.com/office/drawing/2014/main" id="{00000000-0008-0000-0400-000032100000}"/>
            </a:ext>
          </a:extLst>
        </xdr:cNvPr>
        <xdr:cNvSpPr/>
      </xdr:nvSpPr>
      <xdr:spPr>
        <a:xfrm>
          <a:off x="17598867" y="2125504"/>
          <a:ext cx="140018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37</xdr:col>
      <xdr:colOff>44291</xdr:colOff>
      <xdr:row>16</xdr:row>
      <xdr:rowOff>30004</xdr:rowOff>
    </xdr:from>
    <xdr:to>
      <xdr:col>37</xdr:col>
      <xdr:colOff>184309</xdr:colOff>
      <xdr:row>16</xdr:row>
      <xdr:rowOff>170021</xdr:rowOff>
    </xdr:to>
    <xdr:sp macro="" textlink="">
      <xdr:nvSpPr>
        <xdr:cNvPr id="4147" name="S_E_5">
          <a:extLst>
            <a:ext uri="{FF2B5EF4-FFF2-40B4-BE49-F238E27FC236}">
              <a16:creationId xmlns:a16="http://schemas.microsoft.com/office/drawing/2014/main" id="{00000000-0008-0000-0400-000033100000}"/>
            </a:ext>
          </a:extLst>
        </xdr:cNvPr>
        <xdr:cNvSpPr/>
      </xdr:nvSpPr>
      <xdr:spPr>
        <a:xfrm>
          <a:off x="9340691" y="2325529"/>
          <a:ext cx="140018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83</xdr:col>
      <xdr:colOff>39529</xdr:colOff>
      <xdr:row>17</xdr:row>
      <xdr:rowOff>30004</xdr:rowOff>
    </xdr:from>
    <xdr:to>
      <xdr:col>83</xdr:col>
      <xdr:colOff>179547</xdr:colOff>
      <xdr:row>17</xdr:row>
      <xdr:rowOff>170021</xdr:rowOff>
    </xdr:to>
    <xdr:sp macro="" textlink="">
      <xdr:nvSpPr>
        <xdr:cNvPr id="4148" name="S_E_10">
          <a:extLst>
            <a:ext uri="{FF2B5EF4-FFF2-40B4-BE49-F238E27FC236}">
              <a16:creationId xmlns:a16="http://schemas.microsoft.com/office/drawing/2014/main" id="{00000000-0008-0000-0400-000034100000}"/>
            </a:ext>
          </a:extLst>
        </xdr:cNvPr>
        <xdr:cNvSpPr/>
      </xdr:nvSpPr>
      <xdr:spPr>
        <a:xfrm>
          <a:off x="19584829" y="2525554"/>
          <a:ext cx="140018" cy="140017"/>
        </a:xfrm>
        <a:prstGeom prst="flowChartDecision">
          <a:avLst/>
        </a:prstGeom>
        <a:solidFill>
          <a:srgbClr val="00B0F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37</xdr:col>
      <xdr:colOff>0</xdr:colOff>
      <xdr:row>9</xdr:row>
      <xdr:rowOff>0</xdr:rowOff>
    </xdr:from>
    <xdr:to>
      <xdr:col>37</xdr:col>
      <xdr:colOff>1270</xdr:colOff>
      <xdr:row>18</xdr:row>
      <xdr:rowOff>0</xdr:rowOff>
    </xdr:to>
    <xdr:sp macro="" textlink="">
      <xdr:nvSpPr>
        <xdr:cNvPr id="4151" name="S_Today_LineLeft">
          <a:extLst>
            <a:ext uri="{FF2B5EF4-FFF2-40B4-BE49-F238E27FC236}">
              <a16:creationId xmlns:a16="http://schemas.microsoft.com/office/drawing/2014/main" id="{00000000-0008-0000-0400-000037100000}"/>
            </a:ext>
          </a:extLst>
        </xdr:cNvPr>
        <xdr:cNvSpPr/>
      </xdr:nvSpPr>
      <xdr:spPr>
        <a:xfrm>
          <a:off x="9296400" y="895350"/>
          <a:ext cx="1270" cy="1800225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38</xdr:col>
      <xdr:colOff>0</xdr:colOff>
      <xdr:row>9</xdr:row>
      <xdr:rowOff>0</xdr:rowOff>
    </xdr:from>
    <xdr:to>
      <xdr:col>38</xdr:col>
      <xdr:colOff>1270</xdr:colOff>
      <xdr:row>18</xdr:row>
      <xdr:rowOff>0</xdr:rowOff>
    </xdr:to>
    <xdr:sp macro="" textlink="">
      <xdr:nvSpPr>
        <xdr:cNvPr id="4152" name="S_Today_LineRight">
          <a:extLst>
            <a:ext uri="{FF2B5EF4-FFF2-40B4-BE49-F238E27FC236}">
              <a16:creationId xmlns:a16="http://schemas.microsoft.com/office/drawing/2014/main" id="{00000000-0008-0000-0400-000038100000}"/>
            </a:ext>
          </a:extLst>
        </xdr:cNvPr>
        <xdr:cNvSpPr/>
      </xdr:nvSpPr>
      <xdr:spPr>
        <a:xfrm>
          <a:off x="9525000" y="895350"/>
          <a:ext cx="1270" cy="1800225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y Zimmermann" refreshedDate="43005.931771296295" missingItemsLimit="0" createdVersion="5" refreshedVersion="6" minRefreshableVersion="3" recordCount="1" xr:uid="{00000000-000A-0000-FFFF-FFFF8A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y Zimmermann" refreshedDate="43005.931771759257" missingItemsLimit="0" createdVersion="6" refreshedVersion="6" minRefreshableVersion="3" recordCount="5" xr:uid="{0B9E774A-90B1-4045-AEB5-07CC7B7A3A3F}">
  <cacheSource type="worksheet">
    <worksheetSource name="shData"/>
  </cacheSource>
  <cacheFields count="29">
    <cacheField name="tType" numFmtId="0">
      <sharedItems count="2">
        <s v="M"/>
        <s v="T"/>
      </sharedItems>
    </cacheField>
    <cacheField name="WBS" numFmtId="49">
      <sharedItems/>
    </cacheField>
    <cacheField name="Task" numFmtId="0">
      <sharedItems/>
    </cacheField>
    <cacheField name="TaskLead" numFmtId="0">
      <sharedItems containsNonDate="0" containsString="0" containsBlank="1" count="1">
        <m/>
      </sharedItems>
    </cacheField>
    <cacheField name="TaskLeadCost" numFmtId="168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7-09-18T00:00:00" maxDate="2017-11-04T00:00:00"/>
    </cacheField>
    <cacheField name="EED" numFmtId="164">
      <sharedItems containsSemiMixedTypes="0" containsNonDate="0" containsDate="1" containsString="0" minDate="2017-09-18T00:00:00" maxDate="2017-11-04T00:00:00"/>
    </cacheField>
    <cacheField name="ED" numFmtId="3">
      <sharedItems containsSemiMixedTypes="0" containsString="0" containsNumber="1" containsInteger="1" minValue="1" maxValue="1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8">
      <sharedItems containsNonDate="0" containsString="0" containsBlank="1"/>
    </cacheField>
    <cacheField name="ECS" numFmtId="168">
      <sharedItems containsNonDate="0" containsString="0" containsBlank="1"/>
    </cacheField>
    <cacheField name="ACS" numFmtId="168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y Zimmermann" refreshedDate="43005.931771875003" missingItemsLimit="0" createdVersion="6" refreshedVersion="6" minRefreshableVersion="3" recordCount="5" xr:uid="{2E3FF932-12C5-4D65-80D0-00ABD6A03B0A}">
  <cacheSource type="worksheet">
    <worksheetSource name="shData"/>
  </cacheSource>
  <cacheFields count="29">
    <cacheField name="tType" numFmtId="0">
      <sharedItems count="2">
        <s v="M"/>
        <s v="T"/>
      </sharedItems>
    </cacheField>
    <cacheField name="WBS" numFmtId="49">
      <sharedItems/>
    </cacheField>
    <cacheField name="Task" numFmtId="0">
      <sharedItems count="5">
        <s v="Initialisierungsphase"/>
        <s v="Type here or double click to edit in form"/>
        <s v="Zwischenpräsentation"/>
        <s v="Erste Besprechung mit Herr Jensen"/>
        <s v="Abschlusspräsentation"/>
      </sharedItems>
    </cacheField>
    <cacheField name="TaskLead" numFmtId="0">
      <sharedItems containsNonDate="0" containsString="0" containsBlank="1"/>
    </cacheField>
    <cacheField name="TaskLeadCost" numFmtId="168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7-09-18T00:00:00" maxDate="2017-11-04T00:00:00"/>
    </cacheField>
    <cacheField name="EED" numFmtId="164">
      <sharedItems containsSemiMixedTypes="0" containsNonDate="0" containsDate="1" containsString="0" minDate="2017-09-18T00:00:00" maxDate="2017-11-04T00:00:00"/>
    </cacheField>
    <cacheField name="ED" numFmtId="3">
      <sharedItems containsSemiMixedTypes="0" containsString="0" containsNumber="1" containsInteger="1" minValue="1" maxValue="1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8">
      <sharedItems containsNonDate="0" containsString="0" containsBlank="1"/>
    </cacheField>
    <cacheField name="ECS" numFmtId="168">
      <sharedItems containsNonDate="0" containsString="0" containsBlank="1"/>
    </cacheField>
    <cacheField name="ACS" numFmtId="168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y Zimmermann" refreshedDate="43005.931771990741" missingItemsLimit="0" createdVersion="6" refreshedVersion="6" minRefreshableVersion="3" recordCount="5" xr:uid="{AF2896F2-C6E7-472D-BE7D-C055E4FC7E5D}">
  <cacheSource type="worksheet">
    <worksheetSource name="shData"/>
  </cacheSource>
  <cacheFields count="29">
    <cacheField name="tType" numFmtId="0">
      <sharedItems count="2">
        <s v="M"/>
        <s v="T"/>
      </sharedItems>
    </cacheField>
    <cacheField name="WBS" numFmtId="49">
      <sharedItems/>
    </cacheField>
    <cacheField name="Task" numFmtId="0">
      <sharedItems count="5">
        <s v="Initialisierungsphase"/>
        <s v="Type here or double click to edit in form"/>
        <s v="Zwischenpräsentation"/>
        <s v="Erste Besprechung mit Herr Jensen"/>
        <s v="Abschlusspräsentation"/>
      </sharedItems>
    </cacheField>
    <cacheField name="TaskLead" numFmtId="0">
      <sharedItems containsNonDate="0" containsString="0" containsBlank="1"/>
    </cacheField>
    <cacheField name="TaskLeadCost" numFmtId="168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7-09-18T00:00:00" maxDate="2017-11-04T00:00:00"/>
    </cacheField>
    <cacheField name="EED" numFmtId="164">
      <sharedItems containsSemiMixedTypes="0" containsNonDate="0" containsDate="1" containsString="0" minDate="2017-09-18T00:00:00" maxDate="2017-11-04T00:00:00"/>
    </cacheField>
    <cacheField name="ED" numFmtId="3">
      <sharedItems containsSemiMixedTypes="0" containsString="0" containsNumber="1" containsInteger="1" minValue="1" maxValue="1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8">
      <sharedItems containsNonDate="0" containsString="0" containsBlank="1"/>
    </cacheField>
    <cacheField name="ECS" numFmtId="168">
      <sharedItems containsNonDate="0" containsString="0" containsBlank="1"/>
    </cacheField>
    <cacheField name="ACS" numFmtId="168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y Zimmermann" refreshedDate="43005.931772222226" missingItemsLimit="0" createdVersion="6" refreshedVersion="6" minRefreshableVersion="3" recordCount="5" xr:uid="{0E61AC43-0645-4C58-913B-4DAE41EE6432}">
  <cacheSource type="worksheet">
    <worksheetSource name="shData"/>
  </cacheSource>
  <cacheFields count="29">
    <cacheField name="tType" numFmtId="0">
      <sharedItems count="2">
        <s v="M"/>
        <s v="T"/>
      </sharedItems>
    </cacheField>
    <cacheField name="WBS" numFmtId="49">
      <sharedItems/>
    </cacheField>
    <cacheField name="Task" numFmtId="0">
      <sharedItems/>
    </cacheField>
    <cacheField name="TaskLead" numFmtId="0">
      <sharedItems containsNonDate="0" containsString="0" containsBlank="1" count="1">
        <m/>
      </sharedItems>
    </cacheField>
    <cacheField name="TaskLeadCost" numFmtId="168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7-09-18T00:00:00" maxDate="2017-11-04T00:00:00"/>
    </cacheField>
    <cacheField name="EED" numFmtId="164">
      <sharedItems containsSemiMixedTypes="0" containsNonDate="0" containsDate="1" containsString="0" minDate="2017-09-18T00:00:00" maxDate="2017-11-04T00:00:00"/>
    </cacheField>
    <cacheField name="ED" numFmtId="3">
      <sharedItems containsSemiMixedTypes="0" containsString="0" containsNumber="1" containsInteger="1" minValue="1" maxValue="1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8">
      <sharedItems containsNonDate="0" containsString="0" containsBlank="1"/>
    </cacheField>
    <cacheField name="ECS" numFmtId="168">
      <sharedItems containsNonDate="0" containsString="0" containsBlank="1"/>
    </cacheField>
    <cacheField name="ACS" numFmtId="168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1"/>
    <s v="Initialisierungsphase"/>
    <x v="0"/>
    <m/>
    <m/>
    <m/>
    <m/>
    <d v="2017-09-18T00:00:00"/>
    <d v="2017-09-18T00:00:00"/>
    <n v="1"/>
    <n v="0"/>
    <m/>
    <m/>
    <m/>
    <m/>
    <m/>
    <m/>
    <m/>
    <m/>
    <m/>
    <m/>
    <m/>
    <m/>
    <m/>
    <m/>
    <m/>
    <m/>
    <m/>
  </r>
  <r>
    <x v="1"/>
    <s v="2"/>
    <s v="Type here or double click to edit in form"/>
    <x v="0"/>
    <m/>
    <m/>
    <m/>
    <m/>
    <d v="2017-09-18T00:00:00"/>
    <d v="2017-09-18T00:00:00"/>
    <n v="1"/>
    <n v="0"/>
    <m/>
    <m/>
    <m/>
    <m/>
    <m/>
    <m/>
    <m/>
    <m/>
    <m/>
    <m/>
    <m/>
    <m/>
    <m/>
    <m/>
    <m/>
    <m/>
    <m/>
  </r>
  <r>
    <x v="0"/>
    <s v="3"/>
    <s v="Zwischenpräsentation"/>
    <x v="0"/>
    <m/>
    <m/>
    <m/>
    <m/>
    <d v="2017-11-03T00:00:00"/>
    <d v="2017-11-03T00:00:00"/>
    <n v="1"/>
    <n v="0"/>
    <m/>
    <m/>
    <m/>
    <m/>
    <m/>
    <m/>
    <m/>
    <m/>
    <m/>
    <m/>
    <m/>
    <m/>
    <m/>
    <m/>
    <m/>
    <m/>
    <m/>
  </r>
  <r>
    <x v="0"/>
    <s v="4"/>
    <s v="Erste Besprechung mit Herr Jensen"/>
    <x v="0"/>
    <m/>
    <m/>
    <m/>
    <m/>
    <d v="2017-09-27T00:00:00"/>
    <d v="2017-09-27T00:00:00"/>
    <n v="1"/>
    <n v="0"/>
    <m/>
    <m/>
    <m/>
    <m/>
    <m/>
    <m/>
    <m/>
    <m/>
    <m/>
    <m/>
    <m/>
    <m/>
    <m/>
    <m/>
    <m/>
    <m/>
    <m/>
  </r>
  <r>
    <x v="0"/>
    <s v="5"/>
    <s v="Abschlusspräsentation"/>
    <x v="0"/>
    <m/>
    <m/>
    <m/>
    <m/>
    <d v="2017-09-27T00:00:00"/>
    <d v="2017-09-27T00:00:00"/>
    <n v="1"/>
    <n v="0"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1"/>
    <x v="0"/>
    <m/>
    <m/>
    <m/>
    <m/>
    <m/>
    <d v="2017-09-18T00:00:00"/>
    <d v="2017-09-18T00:00:00"/>
    <n v="1"/>
    <n v="0"/>
    <m/>
    <m/>
    <m/>
    <m/>
    <m/>
    <m/>
    <m/>
    <m/>
    <m/>
    <m/>
    <m/>
    <m/>
    <m/>
    <m/>
    <m/>
    <m/>
    <m/>
  </r>
  <r>
    <x v="1"/>
    <s v="2"/>
    <x v="1"/>
    <m/>
    <m/>
    <m/>
    <m/>
    <m/>
    <d v="2017-09-18T00:00:00"/>
    <d v="2017-09-18T00:00:00"/>
    <n v="1"/>
    <n v="0"/>
    <m/>
    <m/>
    <m/>
    <m/>
    <m/>
    <m/>
    <m/>
    <m/>
    <m/>
    <m/>
    <m/>
    <m/>
    <m/>
    <m/>
    <m/>
    <m/>
    <m/>
  </r>
  <r>
    <x v="0"/>
    <s v="3"/>
    <x v="2"/>
    <m/>
    <m/>
    <m/>
    <m/>
    <m/>
    <d v="2017-11-03T00:00:00"/>
    <d v="2017-11-03T00:00:00"/>
    <n v="1"/>
    <n v="0"/>
    <m/>
    <m/>
    <m/>
    <m/>
    <m/>
    <m/>
    <m/>
    <m/>
    <m/>
    <m/>
    <m/>
    <m/>
    <m/>
    <m/>
    <m/>
    <m/>
    <m/>
  </r>
  <r>
    <x v="0"/>
    <s v="4"/>
    <x v="3"/>
    <m/>
    <m/>
    <m/>
    <m/>
    <m/>
    <d v="2017-09-27T00:00:00"/>
    <d v="2017-09-27T00:00:00"/>
    <n v="1"/>
    <n v="0"/>
    <m/>
    <m/>
    <m/>
    <m/>
    <m/>
    <m/>
    <m/>
    <m/>
    <m/>
    <m/>
    <m/>
    <m/>
    <m/>
    <m/>
    <m/>
    <m/>
    <m/>
  </r>
  <r>
    <x v="0"/>
    <s v="5"/>
    <x v="4"/>
    <m/>
    <m/>
    <m/>
    <m/>
    <m/>
    <d v="2017-09-27T00:00:00"/>
    <d v="2017-09-27T00:00:00"/>
    <n v="1"/>
    <n v="0"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1"/>
    <x v="0"/>
    <m/>
    <m/>
    <m/>
    <m/>
    <m/>
    <d v="2017-09-18T00:00:00"/>
    <d v="2017-09-18T00:00:00"/>
    <n v="1"/>
    <n v="0"/>
    <m/>
    <m/>
    <m/>
    <m/>
    <m/>
    <m/>
    <m/>
    <m/>
    <m/>
    <m/>
    <m/>
    <m/>
    <m/>
    <m/>
    <m/>
    <m/>
    <m/>
  </r>
  <r>
    <x v="1"/>
    <s v="2"/>
    <x v="1"/>
    <m/>
    <m/>
    <m/>
    <m/>
    <m/>
    <d v="2017-09-18T00:00:00"/>
    <d v="2017-09-18T00:00:00"/>
    <n v="1"/>
    <n v="0"/>
    <m/>
    <m/>
    <m/>
    <m/>
    <m/>
    <m/>
    <m/>
    <m/>
    <m/>
    <m/>
    <m/>
    <m/>
    <m/>
    <m/>
    <m/>
    <m/>
    <m/>
  </r>
  <r>
    <x v="0"/>
    <s v="3"/>
    <x v="2"/>
    <m/>
    <m/>
    <m/>
    <m/>
    <m/>
    <d v="2017-11-03T00:00:00"/>
    <d v="2017-11-03T00:00:00"/>
    <n v="1"/>
    <n v="0"/>
    <m/>
    <m/>
    <m/>
    <m/>
    <m/>
    <m/>
    <m/>
    <m/>
    <m/>
    <m/>
    <m/>
    <m/>
    <m/>
    <m/>
    <m/>
    <m/>
    <m/>
  </r>
  <r>
    <x v="0"/>
    <s v="4"/>
    <x v="3"/>
    <m/>
    <m/>
    <m/>
    <m/>
    <m/>
    <d v="2017-09-27T00:00:00"/>
    <d v="2017-09-27T00:00:00"/>
    <n v="1"/>
    <n v="0"/>
    <m/>
    <m/>
    <m/>
    <m/>
    <m/>
    <m/>
    <m/>
    <m/>
    <m/>
    <m/>
    <m/>
    <m/>
    <m/>
    <m/>
    <m/>
    <m/>
    <m/>
  </r>
  <r>
    <x v="0"/>
    <s v="5"/>
    <x v="4"/>
    <m/>
    <m/>
    <m/>
    <m/>
    <m/>
    <d v="2017-09-27T00:00:00"/>
    <d v="2017-09-27T00:00:00"/>
    <n v="1"/>
    <n v="0"/>
    <m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1"/>
    <s v="Initialisierungsphase"/>
    <x v="0"/>
    <m/>
    <m/>
    <m/>
    <m/>
    <d v="2017-09-18T00:00:00"/>
    <d v="2017-09-18T00:00:00"/>
    <n v="1"/>
    <n v="0"/>
    <m/>
    <m/>
    <m/>
    <m/>
    <m/>
    <m/>
    <m/>
    <m/>
    <m/>
    <m/>
    <m/>
    <m/>
    <m/>
    <m/>
    <m/>
    <m/>
    <m/>
  </r>
  <r>
    <x v="1"/>
    <s v="2"/>
    <s v="Type here or double click to edit in form"/>
    <x v="0"/>
    <m/>
    <m/>
    <m/>
    <m/>
    <d v="2017-09-18T00:00:00"/>
    <d v="2017-09-18T00:00:00"/>
    <n v="1"/>
    <n v="0"/>
    <m/>
    <m/>
    <m/>
    <m/>
    <m/>
    <m/>
    <m/>
    <m/>
    <m/>
    <m/>
    <m/>
    <m/>
    <m/>
    <m/>
    <m/>
    <m/>
    <m/>
  </r>
  <r>
    <x v="0"/>
    <s v="3"/>
    <s v="Zwischenpräsentation"/>
    <x v="0"/>
    <m/>
    <m/>
    <m/>
    <m/>
    <d v="2017-11-03T00:00:00"/>
    <d v="2017-11-03T00:00:00"/>
    <n v="1"/>
    <n v="0"/>
    <m/>
    <m/>
    <m/>
    <m/>
    <m/>
    <m/>
    <m/>
    <m/>
    <m/>
    <m/>
    <m/>
    <m/>
    <m/>
    <m/>
    <m/>
    <m/>
    <m/>
  </r>
  <r>
    <x v="0"/>
    <s v="4"/>
    <s v="Erste Besprechung mit Herr Jensen"/>
    <x v="0"/>
    <m/>
    <m/>
    <m/>
    <m/>
    <d v="2017-09-27T00:00:00"/>
    <d v="2017-09-27T00:00:00"/>
    <n v="1"/>
    <n v="0"/>
    <m/>
    <m/>
    <m/>
    <m/>
    <m/>
    <m/>
    <m/>
    <m/>
    <m/>
    <m/>
    <m/>
    <m/>
    <m/>
    <m/>
    <m/>
    <m/>
    <m/>
  </r>
  <r>
    <x v="0"/>
    <s v="5"/>
    <s v="Abschlusspräsentation"/>
    <x v="0"/>
    <m/>
    <m/>
    <m/>
    <m/>
    <d v="2017-09-27T00:00:00"/>
    <d v="2017-09-27T00:00:00"/>
    <n v="1"/>
    <n v="0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53FA77-1A27-47D5-AECA-777C1CBF58C5}" name="PvtResourcePerc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9">
  <location ref="BQ4:BR5" firstHeaderRow="1" firstDataRow="1" firstDataCol="1" rowPageCount="1" colPageCount="1"/>
  <pivotFields count="29">
    <pivotField axis="axisPage" showAll="0">
      <items count="3">
        <item x="1"/>
        <item h="1"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69">
      <pivotArea type="all" dataOnly="0" outline="0" fieldPosition="0"/>
    </format>
  </formats>
  <chartFormats count="5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231E7D-6620-42BE-A7A2-0BCC698C0728}" name="pvtResourceDur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9">
  <location ref="BT4:BU5" firstHeaderRow="1" firstDataRow="1" firstDataCol="1" rowPageCount="1" colPageCount="1"/>
  <pivotFields count="29">
    <pivotField axis="axisPage" showAll="0">
      <items count="3">
        <item x="1"/>
        <item h="1"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70">
      <pivotArea type="all" dataOnly="0" outline="0" fieldPosition="0"/>
    </format>
  </formats>
  <chartFormats count="3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A95C25-ADA5-4AE8-9C81-261B9CFBF53F}" name="PvtParentECS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3">
  <location ref="BJ4:BK5" firstHeaderRow="1" firstDataRow="1" firstDataCol="1" rowPageCount="1" colPageCount="1"/>
  <pivotFields count="29">
    <pivotField axis="axisPage" showAll="0" defaultSubtotal="0">
      <items count="2">
        <item x="1"/>
        <item h="1" x="0"/>
      </items>
    </pivotField>
    <pivotField showAll="0" defaultSubtotal="0"/>
    <pivotField axis="axisRow" showAll="0" measureFilter="1" sortType="ascending" defaultSubtotal="0">
      <items count="5">
        <item x="1"/>
        <item x="0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71">
      <pivotArea type="all" dataOnly="0" outline="0" fieldPosition="0"/>
    </format>
  </formats>
  <chartFormats count="4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566083-81C7-4AF1-926C-7B6EE89DAD71}" name="PvtParentPerc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9">
  <location ref="BN4:BO5" firstHeaderRow="1" firstDataRow="1" firstDataCol="1" rowPageCount="1" colPageCount="1"/>
  <pivotFields count="29">
    <pivotField axis="axisPage" showAll="0">
      <items count="3">
        <item x="1"/>
        <item h="1" x="0"/>
        <item t="default"/>
      </items>
    </pivotField>
    <pivotField showAll="0"/>
    <pivotField axis="axisRow" showAll="0" sortType="ascending">
      <items count="6">
        <item x="1"/>
        <item x="0"/>
        <item x="2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72">
      <pivotArea type="all" dataOnly="0" outline="0" fieldPosition="0"/>
    </format>
  </formats>
  <chartFormats count="2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2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3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4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5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B4601D-7EDA-47CD-9ADE-5088B57A0272}" name="shData" displayName="shData" ref="AD2:BF7" totalsRowShown="0" headerRowDxfId="68" dataDxfId="67" tableBorderDxfId="66" headerRowCellStyle="Normal 3" dataCellStyle="Percent 2">
  <autoFilter ref="AD2:BF7" xr:uid="{00000000-0009-0000-0100-000001000000}"/>
  <tableColumns count="29">
    <tableColumn id="1" xr3:uid="{66E295D4-1674-491D-9279-F6F890B3FC52}" name="tType" dataDxfId="65"/>
    <tableColumn id="2" xr3:uid="{BFDD05CC-F078-4201-876D-9F4DD75E32F9}" name="WBS" dataDxfId="64" dataCellStyle="Normal 3"/>
    <tableColumn id="3" xr3:uid="{F4AF9ECA-12D4-422F-A8FA-0C3EFE43C01F}" name="Task" dataDxfId="63" dataCellStyle="Normal 3"/>
    <tableColumn id="4" xr3:uid="{BDC6ED6A-5BA2-4B8C-ABAC-EB1E96300D0A}" name="TaskLead" dataDxfId="62" dataCellStyle="Normal 3"/>
    <tableColumn id="18" xr3:uid="{57F00153-C5E9-4CA4-88A5-4F1C48FE69BD}" name="TaskLeadCost" dataDxfId="61" dataCellStyle="Normal 3"/>
    <tableColumn id="5" xr3:uid="{91A43BB4-EC96-4767-9F12-D8539DD6791C}" name="BSD" dataDxfId="60" dataCellStyle="Normal 3"/>
    <tableColumn id="6" xr3:uid="{2C1717DB-DAC4-44FF-9E44-DF758E0E5421}" name="BED" dataDxfId="59" dataCellStyle="Normal 3"/>
    <tableColumn id="7" xr3:uid="{24C26721-A4FF-4DDC-8D75-63F63E0C7779}" name="BD" dataDxfId="58" dataCellStyle="Normal 3"/>
    <tableColumn id="8" xr3:uid="{56A055E2-AE28-46BB-A904-4DA02E1EA210}" name="ESD" dataDxfId="57" dataCellStyle="Normal 3"/>
    <tableColumn id="9" xr3:uid="{C039FCBA-8EF3-48BB-B3BD-7F87250C22D7}" name="EED" dataDxfId="56" dataCellStyle="Normal 3"/>
    <tableColumn id="10" xr3:uid="{438B41AE-D0E3-439B-97DB-97863B0571A8}" name="ED" dataDxfId="55" dataCellStyle="Normal 3"/>
    <tableColumn id="11" xr3:uid="{4A6440CC-9D1C-4773-8DED-3CA752627267}" name="PercentageCompleted" dataDxfId="54" dataCellStyle="Normal 3"/>
    <tableColumn id="12" xr3:uid="{1159FD0B-B340-4DFD-9A2B-3E153173763C}" name="ASD" dataDxfId="53" dataCellStyle="Normal 3"/>
    <tableColumn id="13" xr3:uid="{7E024411-2769-486D-900B-11247401D9CE}" name="AED" dataDxfId="52" dataCellStyle="Normal 3"/>
    <tableColumn id="14" xr3:uid="{0AF08FE9-C1D7-4F6A-A9F4-2DA2719610E2}" name="AD" dataDxfId="51" dataCellStyle="Percent 2"/>
    <tableColumn id="15" xr3:uid="{27D475CA-09F0-4477-AC36-1B55383E374B}" name="BCS" dataDxfId="50" dataCellStyle="Percent 2"/>
    <tableColumn id="16" xr3:uid="{9F1BC8F5-6B17-44D1-93DE-7509412B7E15}" name="ECS" dataDxfId="49" dataCellStyle="Percent 2"/>
    <tableColumn id="17" xr3:uid="{3AD8FDD4-E384-4833-9664-BC7C14BAD896}" name="ACS" dataDxfId="48" dataCellStyle="Percent 2"/>
    <tableColumn id="19" xr3:uid="{A8B05E1A-F7C8-4402-B53A-319C0AF371AD}" name="Notes" dataDxfId="47" dataCellStyle="Percent 2"/>
    <tableColumn id="20" xr3:uid="{8CE38904-2665-4F3B-9FB8-3A3FA366022E}" name="CC1" dataDxfId="46" dataCellStyle="Percent 2"/>
    <tableColumn id="21" xr3:uid="{0801D386-5CDD-41B7-A871-A29621F00523}" name="CC2" dataDxfId="45" dataCellStyle="Percent 2"/>
    <tableColumn id="22" xr3:uid="{0CCCC4DB-3D18-4359-8A2A-B4530A14938E}" name="CC3" dataDxfId="44" dataCellStyle="Percent 2"/>
    <tableColumn id="23" xr3:uid="{734145B2-86BD-4920-BEB8-7864F59A446D}" name="CC4" dataDxfId="43" dataCellStyle="Percent 2"/>
    <tableColumn id="24" xr3:uid="{5302FD2C-025D-4F18-9D32-90CBCB55F06C}" name="CC5" dataDxfId="42" dataCellStyle="Percent 2"/>
    <tableColumn id="25" xr3:uid="{1C60CD81-B50A-4D7D-B697-9699BE016A72}" name="CC6" dataDxfId="41" dataCellStyle="Percent 2"/>
    <tableColumn id="26" xr3:uid="{4AB1821B-9A84-4770-AC81-ED27BC7A539B}" name="CC7" dataDxfId="40" dataCellStyle="Percent 2"/>
    <tableColumn id="27" xr3:uid="{267DF6D1-9359-4D5B-90AB-B22A8A10B48B}" name="CC8" dataDxfId="39" dataCellStyle="Percent 2"/>
    <tableColumn id="28" xr3:uid="{217FBA0B-66EF-4D48-B69E-B7BAA0A60B39}" name="CC9" dataDxfId="38" dataCellStyle="Percent 2"/>
    <tableColumn id="29" xr3:uid="{717BD4F0-0D52-4B13-BF0A-B363FEE01F01}" name="CC10" dataDxfId="37" dataCellStyle="Percent 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31" dataDxfId="30" tableBorderDxfId="29" headerRowCellStyle="Normal 3" dataCellStyle="Percent 2">
  <autoFilter ref="AD2:BF3" xr:uid="{00000000-0009-0000-0100-000001000000}"/>
  <tableColumns count="29">
    <tableColumn id="1" xr3:uid="{00000000-0010-0000-0000-000001000000}" name="tType" dataDxfId="28"/>
    <tableColumn id="2" xr3:uid="{00000000-0010-0000-0000-000002000000}" name="WBS" dataDxfId="27" dataCellStyle="Normal 3"/>
    <tableColumn id="3" xr3:uid="{00000000-0010-0000-0000-000003000000}" name="Task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gantt-excel-ultimate-2-40-documentation/?utm_source=Ex&amp;utm_medium=Doc" TargetMode="External"/><Relationship Id="rId2" Type="http://schemas.openxmlformats.org/officeDocument/2006/relationships/hyperlink" Target="https://goo.gl/P75w7e" TargetMode="External"/><Relationship Id="rId1" Type="http://schemas.openxmlformats.org/officeDocument/2006/relationships/hyperlink" Target="http://www.ganttexcel.com/gantt-excel-ultimate-2-40-documentation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7.xml"/><Relationship Id="rId7" Type="http://schemas.openxmlformats.org/officeDocument/2006/relationships/vmlDrawing" Target="../drawings/vmlDrawing2.v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8.xml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0"/>
  <sheetViews>
    <sheetView showGridLines="0" showRowColHeaders="0" workbookViewId="0">
      <selection activeCell="C4" sqref="C4"/>
    </sheetView>
  </sheetViews>
  <sheetFormatPr baseColWidth="10" defaultColWidth="9.140625" defaultRowHeight="15" x14ac:dyDescent="0.25"/>
  <cols>
    <col min="1" max="1" width="1" customWidth="1"/>
    <col min="2" max="2" width="12" customWidth="1"/>
    <col min="3" max="3" width="1.28515625" customWidth="1"/>
    <col min="4" max="14" width="9.140625" customWidth="1"/>
    <col min="15" max="15" width="9.28515625" customWidth="1"/>
    <col min="16" max="17" width="9.140625" customWidth="1"/>
    <col min="18" max="18" width="8.28515625" customWidth="1"/>
    <col min="19" max="19" width="9.140625" customWidth="1"/>
    <col min="20" max="20" width="9.28515625" customWidth="1"/>
    <col min="21" max="21" width="2" customWidth="1"/>
    <col min="22" max="22" width="0.85546875" customWidth="1"/>
  </cols>
  <sheetData>
    <row r="1" spans="1:22" ht="5.25" customHeight="1" x14ac:dyDescent="0.25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25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194</v>
      </c>
      <c r="U2" s="7"/>
      <c r="V2" s="1"/>
    </row>
    <row r="3" spans="1:22" x14ac:dyDescent="0.25">
      <c r="A3" s="1"/>
      <c r="B3" s="5"/>
      <c r="C3" s="5"/>
      <c r="J3" s="281" t="s">
        <v>8</v>
      </c>
      <c r="K3" s="281"/>
      <c r="L3" s="281"/>
      <c r="M3" s="281"/>
      <c r="N3" s="281"/>
      <c r="O3" s="281"/>
      <c r="P3" s="5"/>
      <c r="Q3" s="5"/>
      <c r="R3" s="5"/>
      <c r="S3" s="5"/>
      <c r="T3" s="5"/>
      <c r="U3" s="5"/>
      <c r="V3" s="1"/>
    </row>
    <row r="4" spans="1:22" x14ac:dyDescent="0.25">
      <c r="A4" s="1"/>
      <c r="B4" s="5"/>
      <c r="C4" s="5"/>
      <c r="J4" s="281"/>
      <c r="K4" s="281"/>
      <c r="L4" s="281"/>
      <c r="M4" s="281"/>
      <c r="N4" s="281"/>
      <c r="O4" s="281"/>
      <c r="P4" s="5"/>
      <c r="Q4" s="5"/>
      <c r="R4" s="286" t="s">
        <v>7</v>
      </c>
      <c r="S4" s="286"/>
      <c r="T4" s="286"/>
      <c r="U4" s="286"/>
      <c r="V4" s="1"/>
    </row>
    <row r="5" spans="1:22" ht="10.15" customHeight="1" x14ac:dyDescent="0.25">
      <c r="A5" s="1"/>
      <c r="B5" s="5"/>
      <c r="C5" s="5"/>
      <c r="J5" s="148"/>
      <c r="K5" s="148"/>
      <c r="L5" s="148"/>
      <c r="M5" s="148"/>
      <c r="N5" s="148"/>
      <c r="O5" s="148"/>
      <c r="P5" s="5"/>
      <c r="Q5" s="5"/>
      <c r="R5" s="6"/>
      <c r="S5" s="5"/>
      <c r="T5" s="5"/>
      <c r="U5" s="5"/>
      <c r="V5" s="1"/>
    </row>
    <row r="6" spans="1:22" ht="2.1" customHeight="1" x14ac:dyDescent="0.25">
      <c r="A6" s="1"/>
      <c r="B6" s="158"/>
      <c r="C6" s="158"/>
      <c r="D6" s="1"/>
      <c r="E6" s="1"/>
      <c r="F6" s="1"/>
      <c r="G6" s="1"/>
      <c r="H6" s="1"/>
      <c r="I6" s="1"/>
      <c r="J6" s="159"/>
      <c r="K6" s="159"/>
      <c r="L6" s="159"/>
      <c r="M6" s="159"/>
      <c r="N6" s="159"/>
      <c r="O6" s="159"/>
      <c r="P6" s="158"/>
      <c r="Q6" s="158"/>
      <c r="R6" s="160"/>
      <c r="S6" s="158"/>
      <c r="T6" s="158"/>
      <c r="U6" s="158"/>
      <c r="V6" s="1"/>
    </row>
    <row r="7" spans="1:22" ht="2.1" customHeight="1" x14ac:dyDescent="0.25">
      <c r="A7" s="1"/>
      <c r="B7" s="161"/>
      <c r="C7" s="161"/>
      <c r="D7" s="162"/>
      <c r="E7" s="162"/>
      <c r="F7" s="162"/>
      <c r="G7" s="162"/>
      <c r="H7" s="162"/>
      <c r="I7" s="162"/>
      <c r="J7" s="163"/>
      <c r="K7" s="162"/>
      <c r="L7" s="164"/>
      <c r="M7" s="163"/>
      <c r="N7" s="163"/>
      <c r="O7" s="163"/>
      <c r="P7" s="161"/>
      <c r="Q7" s="161"/>
      <c r="R7" s="165"/>
      <c r="S7" s="161"/>
      <c r="T7" s="161"/>
      <c r="U7" s="161"/>
      <c r="V7" s="1"/>
    </row>
    <row r="8" spans="1:22" ht="1.1499999999999999" customHeight="1" x14ac:dyDescent="0.25">
      <c r="A8" s="1"/>
      <c r="B8" s="151"/>
      <c r="C8" s="151"/>
      <c r="D8" s="151"/>
      <c r="E8" s="151"/>
      <c r="F8" s="151"/>
      <c r="G8" s="151"/>
      <c r="H8" s="151"/>
      <c r="I8" s="151"/>
      <c r="J8" s="151"/>
      <c r="K8" s="151"/>
      <c r="L8" s="152"/>
      <c r="M8" s="152"/>
      <c r="N8" s="152"/>
      <c r="O8" s="152"/>
      <c r="P8" s="153"/>
      <c r="Q8" s="152"/>
      <c r="R8" s="152"/>
      <c r="S8" s="153"/>
      <c r="T8" s="154"/>
      <c r="U8" s="155"/>
      <c r="V8" s="1"/>
    </row>
    <row r="9" spans="1:22" ht="15" customHeight="1" x14ac:dyDescent="0.25">
      <c r="A9" s="1"/>
      <c r="B9" s="284" t="s">
        <v>185</v>
      </c>
      <c r="C9" s="284"/>
      <c r="D9" s="284"/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1"/>
    </row>
    <row r="10" spans="1:22" ht="15" customHeight="1" x14ac:dyDescent="0.25">
      <c r="A10" s="1"/>
      <c r="B10" s="284"/>
      <c r="C10" s="284"/>
      <c r="D10" s="284"/>
      <c r="E10" s="284"/>
      <c r="F10" s="284"/>
      <c r="G10" s="284"/>
      <c r="H10" s="284"/>
      <c r="I10" s="284"/>
      <c r="J10" s="284"/>
      <c r="K10" s="284"/>
      <c r="L10" s="284"/>
      <c r="M10" s="284"/>
      <c r="N10" s="284"/>
      <c r="O10" s="284"/>
      <c r="P10" s="284"/>
      <c r="Q10" s="284"/>
      <c r="R10" s="284"/>
      <c r="S10" s="284"/>
      <c r="T10" s="284"/>
      <c r="U10" s="284"/>
      <c r="V10" s="1"/>
    </row>
    <row r="11" spans="1:22" ht="15" customHeight="1" x14ac:dyDescent="0.25">
      <c r="A11" s="1"/>
      <c r="B11" s="285" t="s">
        <v>191</v>
      </c>
      <c r="C11" s="285"/>
      <c r="D11" s="285"/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285"/>
      <c r="T11" s="285"/>
      <c r="U11" s="285"/>
      <c r="V11" s="1"/>
    </row>
    <row r="12" spans="1:22" ht="15" customHeight="1" x14ac:dyDescent="0.25">
      <c r="A12" s="1"/>
      <c r="B12" s="151"/>
      <c r="C12" s="151"/>
      <c r="D12" s="151"/>
      <c r="E12" s="151"/>
      <c r="F12" s="151"/>
      <c r="G12" s="151"/>
      <c r="H12" s="151"/>
      <c r="I12" s="151"/>
      <c r="J12" s="151"/>
      <c r="K12" s="151"/>
      <c r="L12" s="152"/>
      <c r="M12" s="152"/>
      <c r="N12" s="152"/>
      <c r="O12" s="152"/>
      <c r="P12" s="153"/>
      <c r="Q12" s="152"/>
      <c r="R12" s="152"/>
      <c r="S12" s="153"/>
      <c r="T12" s="154"/>
      <c r="U12" s="155"/>
      <c r="V12" s="1"/>
    </row>
    <row r="13" spans="1:22" ht="15" customHeight="1" x14ac:dyDescent="0.25">
      <c r="A13" s="1"/>
      <c r="B13" s="151"/>
      <c r="C13" s="151"/>
      <c r="D13" s="156" t="s">
        <v>190</v>
      </c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3"/>
      <c r="Q13" s="153"/>
      <c r="R13" s="153"/>
      <c r="S13" s="153"/>
      <c r="T13" s="153"/>
      <c r="U13" s="153"/>
      <c r="V13" s="1"/>
    </row>
    <row r="14" spans="1:22" x14ac:dyDescent="0.25">
      <c r="A14" s="1"/>
      <c r="B14" s="157"/>
      <c r="C14" s="157"/>
      <c r="D14" s="282" t="s">
        <v>6</v>
      </c>
      <c r="E14" s="282"/>
      <c r="F14" s="282"/>
      <c r="G14" s="282"/>
      <c r="H14" s="282"/>
      <c r="I14" s="282"/>
      <c r="J14" s="282"/>
      <c r="K14" s="282"/>
      <c r="L14" s="282"/>
      <c r="M14" s="282"/>
      <c r="N14" s="282"/>
      <c r="O14" s="282"/>
      <c r="P14" s="282"/>
      <c r="Q14" s="282"/>
      <c r="R14" s="282"/>
      <c r="S14" s="149"/>
      <c r="T14" s="149"/>
      <c r="U14" s="149"/>
      <c r="V14" s="1"/>
    </row>
    <row r="15" spans="1:22" ht="15.75" customHeight="1" x14ac:dyDescent="0.25">
      <c r="A15" s="1"/>
      <c r="B15" s="157"/>
      <c r="C15" s="157"/>
      <c r="D15" s="283" t="s">
        <v>5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283"/>
      <c r="T15" s="283"/>
      <c r="U15" s="283"/>
      <c r="V15" s="1"/>
    </row>
    <row r="16" spans="1:22" ht="15" customHeight="1" x14ac:dyDescent="0.25">
      <c r="A16" s="1"/>
      <c r="B16" s="157"/>
      <c r="C16" s="157"/>
      <c r="D16" s="279" t="s">
        <v>4</v>
      </c>
      <c r="E16" s="279"/>
      <c r="F16" s="279"/>
      <c r="G16" s="279"/>
      <c r="H16" s="279"/>
      <c r="I16" s="279"/>
      <c r="J16" s="279"/>
      <c r="K16" s="279"/>
      <c r="L16" s="279"/>
      <c r="M16" s="279"/>
      <c r="N16" s="279"/>
      <c r="O16" s="279"/>
      <c r="P16" s="279"/>
      <c r="Q16" s="279"/>
      <c r="R16" s="279"/>
      <c r="S16" s="279"/>
      <c r="T16" s="279"/>
      <c r="U16" s="4"/>
      <c r="V16" s="1"/>
    </row>
    <row r="17" spans="1:22" ht="7.5" customHeight="1" x14ac:dyDescent="0.25">
      <c r="A17" s="1"/>
      <c r="B17" s="157"/>
      <c r="C17" s="157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1"/>
    </row>
    <row r="18" spans="1:22" x14ac:dyDescent="0.25">
      <c r="A18" s="1"/>
      <c r="B18" s="157"/>
      <c r="C18" s="157"/>
      <c r="D18" s="279"/>
      <c r="E18" s="279"/>
      <c r="F18" s="279"/>
      <c r="G18" s="279"/>
      <c r="H18" s="279"/>
      <c r="I18" s="279"/>
      <c r="J18" s="279"/>
      <c r="K18" s="279"/>
      <c r="L18" s="279"/>
      <c r="M18" s="279"/>
      <c r="N18" s="279"/>
      <c r="O18" s="279"/>
      <c r="P18" s="279"/>
      <c r="Q18" s="279"/>
      <c r="R18" s="3"/>
      <c r="S18" s="3"/>
      <c r="T18" s="3"/>
      <c r="U18" s="3"/>
      <c r="V18" s="1"/>
    </row>
    <row r="19" spans="1:22" x14ac:dyDescent="0.25">
      <c r="A19" s="1"/>
      <c r="B19" s="157"/>
      <c r="C19" s="157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25">
      <c r="A20" s="1"/>
      <c r="B20" s="157"/>
      <c r="C20" s="157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x14ac:dyDescent="0.25">
      <c r="A21" s="1"/>
      <c r="B21" s="157"/>
      <c r="C21" s="157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25">
      <c r="A22" s="1"/>
      <c r="B22" s="157"/>
      <c r="C22" s="157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1"/>
    </row>
    <row r="23" spans="1:22" x14ac:dyDescent="0.25">
      <c r="A23" s="1"/>
      <c r="B23" s="157"/>
      <c r="C23" s="157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1"/>
    </row>
    <row r="24" spans="1:22" x14ac:dyDescent="0.25">
      <c r="A24" s="1"/>
      <c r="B24" s="157"/>
      <c r="C24" s="157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1"/>
    </row>
    <row r="25" spans="1:22" ht="10.15" customHeight="1" x14ac:dyDescent="0.25">
      <c r="A25" s="1"/>
      <c r="B25" s="157"/>
      <c r="C25" s="157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1"/>
    </row>
    <row r="26" spans="1:22" x14ac:dyDescent="0.25">
      <c r="A26" s="1"/>
      <c r="B26" s="157"/>
      <c r="C26" s="157"/>
      <c r="D26" s="3"/>
      <c r="E26" s="279" t="s">
        <v>3</v>
      </c>
      <c r="F26" s="279"/>
      <c r="G26" s="279"/>
      <c r="H26" s="279"/>
      <c r="I26" s="279"/>
      <c r="J26" s="279"/>
      <c r="K26" s="279"/>
      <c r="L26" s="279"/>
      <c r="M26" s="279"/>
      <c r="N26" s="279"/>
      <c r="O26" s="279"/>
      <c r="P26" s="279"/>
      <c r="Q26" s="279"/>
      <c r="R26" s="279"/>
      <c r="S26" s="147"/>
      <c r="T26" s="147"/>
      <c r="U26" s="147"/>
      <c r="V26" s="1"/>
    </row>
    <row r="27" spans="1:22" x14ac:dyDescent="0.25">
      <c r="A27" s="1"/>
      <c r="B27" s="157"/>
      <c r="C27" s="157"/>
      <c r="D27" s="3"/>
      <c r="E27" s="279" t="s">
        <v>2</v>
      </c>
      <c r="F27" s="279"/>
      <c r="G27" s="279"/>
      <c r="H27" s="279"/>
      <c r="I27" s="279"/>
      <c r="J27" s="279"/>
      <c r="K27" s="279"/>
      <c r="L27" s="279"/>
      <c r="M27" s="279"/>
      <c r="N27" s="279"/>
      <c r="O27" s="279"/>
      <c r="P27" s="279"/>
      <c r="Q27" s="279"/>
      <c r="R27" s="279"/>
      <c r="S27" s="147"/>
      <c r="T27" s="147"/>
      <c r="U27" s="147"/>
      <c r="V27" s="1"/>
    </row>
    <row r="28" spans="1:22" x14ac:dyDescent="0.25">
      <c r="A28" s="1"/>
      <c r="B28" s="157"/>
      <c r="C28" s="157"/>
      <c r="D28" s="3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"/>
    </row>
    <row r="29" spans="1:22" x14ac:dyDescent="0.25">
      <c r="A29" s="1"/>
      <c r="B29" s="157"/>
      <c r="C29" s="157"/>
      <c r="D29" s="3"/>
      <c r="E29" s="280" t="s">
        <v>1</v>
      </c>
      <c r="F29" s="280"/>
      <c r="G29" s="280"/>
      <c r="H29" s="280"/>
      <c r="I29" s="280"/>
      <c r="J29" s="280"/>
      <c r="K29" s="280"/>
      <c r="L29" s="280"/>
      <c r="M29" s="280"/>
      <c r="N29" s="280"/>
      <c r="O29" s="280"/>
      <c r="P29" s="280"/>
      <c r="Q29" s="280"/>
      <c r="R29" s="280"/>
      <c r="S29" s="147"/>
      <c r="T29" s="147"/>
      <c r="U29" s="147"/>
      <c r="V29" s="1"/>
    </row>
    <row r="30" spans="1:22" x14ac:dyDescent="0.25">
      <c r="A30" s="1"/>
      <c r="B30" s="157"/>
      <c r="C30" s="157"/>
      <c r="D30" s="3"/>
      <c r="E30" s="279" t="s">
        <v>0</v>
      </c>
      <c r="F30" s="279"/>
      <c r="G30" s="279"/>
      <c r="H30" s="279"/>
      <c r="I30" s="279"/>
      <c r="J30" s="279"/>
      <c r="K30" s="279"/>
      <c r="L30" s="279"/>
      <c r="M30" s="279"/>
      <c r="N30" s="279"/>
      <c r="O30" s="279"/>
      <c r="P30" s="279"/>
      <c r="Q30" s="279"/>
      <c r="R30" s="279"/>
      <c r="S30" s="147"/>
      <c r="T30" s="147"/>
      <c r="U30" s="147"/>
      <c r="V30" s="1"/>
    </row>
    <row r="31" spans="1:22" x14ac:dyDescent="0.25">
      <c r="A31" s="1"/>
      <c r="B31" s="157"/>
      <c r="C31" s="157"/>
      <c r="D31" s="3"/>
      <c r="E31" s="150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"/>
    </row>
    <row r="32" spans="1:22" ht="5.0999999999999996" customHeight="1" x14ac:dyDescent="0.25">
      <c r="A32" s="1"/>
      <c r="B32" s="157"/>
      <c r="C32" s="157"/>
      <c r="D32" s="3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"/>
    </row>
    <row r="33" spans="1:22" ht="4.1500000000000004" customHeight="1" x14ac:dyDescent="0.2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1"/>
    </row>
    <row r="34" spans="1:22" ht="3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40" spans="1:22" x14ac:dyDescent="0.25">
      <c r="G40" s="146"/>
    </row>
  </sheetData>
  <sheetProtection selectLockedCells="1" selectUnlockedCells="1"/>
  <mergeCells count="12">
    <mergeCell ref="E30:R30"/>
    <mergeCell ref="E29:R29"/>
    <mergeCell ref="J3:O4"/>
    <mergeCell ref="D18:Q18"/>
    <mergeCell ref="E27:R27"/>
    <mergeCell ref="E26:R26"/>
    <mergeCell ref="D14:R14"/>
    <mergeCell ref="D15:U15"/>
    <mergeCell ref="D16:T16"/>
    <mergeCell ref="B9:U10"/>
    <mergeCell ref="B11:U11"/>
    <mergeCell ref="R4:U4"/>
  </mergeCells>
  <hyperlinks>
    <hyperlink ref="R4" r:id="rId1" xr:uid="{00000000-0004-0000-0000-000000000000}"/>
    <hyperlink ref="B11:U11" r:id="rId2" display="Click here to help you Enable Macros" xr:uid="{00000000-0004-0000-0000-000001000000}"/>
    <hyperlink ref="R4:U4" r:id="rId3" display="CLICK HERE FOR DOCUMENTATION" xr:uid="{00000000-0004-0000-0000-000002000000}"/>
  </hyperlinks>
  <pageMargins left="0.7" right="0.7" top="0.75" bottom="0.75" header="0.3" footer="0.3"/>
  <pageSetup paperSize="9" orientation="portrait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2E8E7-16FD-4F58-B9A0-3465F9121ABC}">
  <sheetPr codeName="Sheet6"/>
  <dimension ref="A1:BY89"/>
  <sheetViews>
    <sheetView showGridLines="0" showRowColHeaders="0" workbookViewId="0">
      <pane ySplit="2" topLeftCell="A3" activePane="bottomLeft" state="frozen"/>
      <selection pane="bottomLeft" activeCell="D2" sqref="D2:E2"/>
    </sheetView>
  </sheetViews>
  <sheetFormatPr baseColWidth="10" defaultColWidth="0" defaultRowHeight="15" x14ac:dyDescent="0.25"/>
  <cols>
    <col min="1" max="1" width="0.85546875" customWidth="1"/>
    <col min="2" max="2" width="63" customWidth="1"/>
    <col min="3" max="3" width="10" customWidth="1"/>
    <col min="4" max="4" width="23.85546875" bestFit="1" customWidth="1"/>
    <col min="5" max="5" width="21.28515625" customWidth="1"/>
    <col min="6" max="6" width="13.28515625" customWidth="1"/>
    <col min="7" max="7" width="2.7109375" style="51" customWidth="1"/>
    <col min="8" max="8" width="0.140625" hidden="1" customWidth="1"/>
    <col min="9" max="21" width="0.140625" style="9" hidden="1" customWidth="1"/>
    <col min="22" max="27" width="3.7109375" style="9" hidden="1" customWidth="1"/>
    <col min="28" max="29" width="0.140625" style="9" hidden="1" customWidth="1"/>
    <col min="30" max="40" width="16" style="10" hidden="1" customWidth="1"/>
    <col min="41" max="41" width="16" style="12" hidden="1" customWidth="1"/>
    <col min="42" max="48" width="16" style="10" hidden="1" customWidth="1"/>
    <col min="49" max="58" width="16" style="11" hidden="1" customWidth="1"/>
    <col min="59" max="60" width="0.140625" style="10" hidden="1" customWidth="1"/>
    <col min="61" max="77" width="0.140625" style="9" hidden="1" customWidth="1"/>
    <col min="78" max="16384" width="0" style="9" hidden="1"/>
  </cols>
  <sheetData>
    <row r="1" spans="1:77" ht="6" customHeight="1" x14ac:dyDescent="0.25">
      <c r="A1" s="51"/>
      <c r="F1" s="51"/>
      <c r="H1" s="51"/>
      <c r="Y1" s="14"/>
      <c r="Z1" s="14"/>
      <c r="AA1" s="14"/>
      <c r="AB1" s="14"/>
      <c r="AC1" s="14"/>
    </row>
    <row r="2" spans="1:77" ht="20.25" thickBot="1" x14ac:dyDescent="0.3">
      <c r="A2" s="2"/>
      <c r="B2" s="287" t="s">
        <v>58</v>
      </c>
      <c r="C2" s="287"/>
      <c r="D2" s="288" t="s">
        <v>208</v>
      </c>
      <c r="E2" s="288"/>
      <c r="F2" s="50"/>
      <c r="G2" s="49"/>
      <c r="V2" s="127"/>
      <c r="W2" s="127" t="s">
        <v>56</v>
      </c>
      <c r="X2" s="128" t="s">
        <v>26</v>
      </c>
      <c r="Y2" s="129"/>
      <c r="Z2" s="130" t="s">
        <v>55</v>
      </c>
      <c r="AA2" s="131"/>
      <c r="AB2" s="48"/>
      <c r="AC2" s="48"/>
      <c r="AD2" s="47" t="s">
        <v>27</v>
      </c>
      <c r="AE2" s="46" t="s">
        <v>54</v>
      </c>
      <c r="AF2" s="44" t="s">
        <v>53</v>
      </c>
      <c r="AG2" s="44" t="s">
        <v>52</v>
      </c>
      <c r="AH2" s="44" t="s">
        <v>51</v>
      </c>
      <c r="AI2" s="44" t="s">
        <v>50</v>
      </c>
      <c r="AJ2" s="45" t="s">
        <v>49</v>
      </c>
      <c r="AK2" s="44" t="s">
        <v>48</v>
      </c>
      <c r="AL2" s="45" t="s">
        <v>47</v>
      </c>
      <c r="AM2" s="45" t="s">
        <v>45</v>
      </c>
      <c r="AN2" s="44" t="s">
        <v>43</v>
      </c>
      <c r="AO2" s="234" t="s">
        <v>42</v>
      </c>
      <c r="AP2" s="45" t="s">
        <v>46</v>
      </c>
      <c r="AQ2" s="45" t="s">
        <v>44</v>
      </c>
      <c r="AR2" s="43" t="s">
        <v>41</v>
      </c>
      <c r="AS2" s="43" t="s">
        <v>40</v>
      </c>
      <c r="AT2" s="43" t="s">
        <v>39</v>
      </c>
      <c r="AU2" s="43" t="s">
        <v>38</v>
      </c>
      <c r="AV2" s="42" t="s">
        <v>37</v>
      </c>
      <c r="AW2" s="42" t="s">
        <v>184</v>
      </c>
      <c r="AX2" s="41" t="s">
        <v>36</v>
      </c>
      <c r="AY2" s="41" t="s">
        <v>35</v>
      </c>
      <c r="AZ2" s="41" t="s">
        <v>34</v>
      </c>
      <c r="BA2" s="41" t="s">
        <v>33</v>
      </c>
      <c r="BB2" s="41" t="s">
        <v>32</v>
      </c>
      <c r="BC2" s="41" t="s">
        <v>31</v>
      </c>
      <c r="BD2" s="41" t="s">
        <v>30</v>
      </c>
      <c r="BE2" s="41" t="s">
        <v>29</v>
      </c>
      <c r="BF2" s="41" t="s">
        <v>28</v>
      </c>
      <c r="BG2" s="40"/>
      <c r="BH2" s="40"/>
      <c r="BI2" s="40"/>
      <c r="BJ2" s="30" t="s">
        <v>27</v>
      </c>
      <c r="BK2" s="9" t="s">
        <v>214</v>
      </c>
      <c r="BN2" s="30" t="s">
        <v>27</v>
      </c>
      <c r="BO2" s="9" t="s">
        <v>214</v>
      </c>
      <c r="BQ2" s="30" t="s">
        <v>27</v>
      </c>
      <c r="BR2" s="9" t="s">
        <v>214</v>
      </c>
      <c r="BT2" s="30" t="s">
        <v>27</v>
      </c>
      <c r="BU2" s="9" t="s">
        <v>214</v>
      </c>
      <c r="BW2"/>
      <c r="BX2"/>
      <c r="BY2"/>
    </row>
    <row r="3" spans="1:77" ht="24" customHeight="1" thickTop="1" x14ac:dyDescent="0.25">
      <c r="A3" s="2"/>
      <c r="B3" s="198" t="s">
        <v>26</v>
      </c>
      <c r="C3" s="119"/>
      <c r="D3" s="125" t="s">
        <v>25</v>
      </c>
      <c r="G3" s="2"/>
      <c r="V3" s="127" t="s">
        <v>210</v>
      </c>
      <c r="W3" s="127" t="s">
        <v>208</v>
      </c>
      <c r="X3" s="132">
        <f>IFERROR((SUMIFS(shData[[#All],[PercentageCompleted]],shData[[#All],[tType]],"T")+SUMIFS(shData[[#All],[PercentageCompleted]],shData[[#All],[tType]],"C"))/(COUNTIFS(shData[[#All],[tType]],"T")+COUNTIFS(shData[[#All],[tType]],"C")),0)</f>
        <v>0</v>
      </c>
      <c r="Y3" s="133">
        <f>100%-X3</f>
        <v>1</v>
      </c>
      <c r="Z3" s="130" t="s">
        <v>209</v>
      </c>
      <c r="AA3" s="131"/>
      <c r="AB3" s="13"/>
      <c r="AC3" s="13"/>
      <c r="AD3" s="39" t="s">
        <v>65</v>
      </c>
      <c r="AE3" s="38" t="s">
        <v>170</v>
      </c>
      <c r="AF3" s="37" t="s">
        <v>204</v>
      </c>
      <c r="AG3" s="37"/>
      <c r="AH3" s="226"/>
      <c r="AI3" s="136"/>
      <c r="AJ3" s="137"/>
      <c r="AK3" s="138"/>
      <c r="AL3" s="137">
        <v>42996</v>
      </c>
      <c r="AM3" s="137">
        <v>42996</v>
      </c>
      <c r="AN3" s="138">
        <v>1</v>
      </c>
      <c r="AO3" s="35">
        <v>0</v>
      </c>
      <c r="AP3" s="137"/>
      <c r="AQ3" s="137"/>
      <c r="AR3" s="139"/>
      <c r="AS3" s="227"/>
      <c r="AT3" s="227"/>
      <c r="AU3" s="227"/>
      <c r="AV3" s="21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3"/>
      <c r="BH3" s="33"/>
      <c r="BI3" s="21"/>
      <c r="BJ3" s="32"/>
      <c r="BK3" s="31"/>
      <c r="BL3" s="31"/>
      <c r="BN3" s="32"/>
      <c r="BO3" s="31"/>
      <c r="BQ3" s="32"/>
      <c r="BR3" s="31"/>
      <c r="BT3" s="32"/>
      <c r="BU3" s="31"/>
      <c r="BW3"/>
      <c r="BX3"/>
      <c r="BY3"/>
    </row>
    <row r="4" spans="1:77" x14ac:dyDescent="0.25">
      <c r="A4" s="2"/>
      <c r="D4" s="116" t="s">
        <v>24</v>
      </c>
      <c r="E4" s="29" t="str">
        <f>IF(X3=0,"Planned",IF(X3=1,"Completed","In-Progress"))</f>
        <v>Planned</v>
      </c>
      <c r="F4" s="28"/>
      <c r="G4" s="2"/>
      <c r="V4" s="127"/>
      <c r="W4" s="127"/>
      <c r="X4" s="128"/>
      <c r="Y4" s="129"/>
      <c r="Z4" s="130"/>
      <c r="AA4" s="131"/>
      <c r="AB4" s="13"/>
      <c r="AC4" s="13"/>
      <c r="AD4" s="10" t="s">
        <v>61</v>
      </c>
      <c r="AE4" s="228" t="s">
        <v>203</v>
      </c>
      <c r="AF4" s="10" t="s">
        <v>60</v>
      </c>
      <c r="AH4" s="229"/>
      <c r="AI4" s="230"/>
      <c r="AJ4" s="230"/>
      <c r="AK4" s="231"/>
      <c r="AL4" s="230">
        <v>42996</v>
      </c>
      <c r="AM4" s="230">
        <v>42996</v>
      </c>
      <c r="AN4" s="231">
        <v>1</v>
      </c>
      <c r="AO4" s="12">
        <v>0</v>
      </c>
      <c r="AP4" s="230"/>
      <c r="AQ4" s="230"/>
      <c r="AR4" s="231"/>
      <c r="AS4" s="229"/>
      <c r="AT4" s="229"/>
      <c r="AU4" s="229"/>
      <c r="AV4" s="12"/>
      <c r="AW4" s="232"/>
      <c r="AX4" s="233"/>
      <c r="AY4" s="233"/>
      <c r="AZ4" s="233"/>
      <c r="BA4" s="233"/>
      <c r="BB4" s="233"/>
      <c r="BC4" s="233"/>
      <c r="BD4" s="233"/>
      <c r="BE4" s="233"/>
      <c r="BF4" s="233"/>
      <c r="BI4" s="21"/>
      <c r="BJ4" s="30" t="s">
        <v>211</v>
      </c>
      <c r="BK4" s="9" t="s">
        <v>23</v>
      </c>
      <c r="BN4" s="30" t="s">
        <v>211</v>
      </c>
      <c r="BO4" s="9" t="s">
        <v>22</v>
      </c>
      <c r="BQ4" s="30" t="s">
        <v>211</v>
      </c>
      <c r="BR4" s="9" t="s">
        <v>22</v>
      </c>
      <c r="BT4" s="30" t="s">
        <v>211</v>
      </c>
      <c r="BU4" s="9" t="s">
        <v>21</v>
      </c>
      <c r="BW4"/>
      <c r="BX4"/>
      <c r="BY4"/>
    </row>
    <row r="5" spans="1:77" x14ac:dyDescent="0.25">
      <c r="A5" s="2"/>
      <c r="D5" s="17" t="s">
        <v>20</v>
      </c>
      <c r="E5" s="29"/>
      <c r="F5" s="28"/>
      <c r="G5" s="2"/>
      <c r="V5" s="127"/>
      <c r="W5" s="127"/>
      <c r="X5" s="128" t="s">
        <v>19</v>
      </c>
      <c r="Y5" s="129" t="s">
        <v>18</v>
      </c>
      <c r="Z5" s="130"/>
      <c r="AA5" s="131"/>
      <c r="AB5" s="13"/>
      <c r="AC5" s="13"/>
      <c r="AD5" s="10" t="s">
        <v>65</v>
      </c>
      <c r="AE5" s="228" t="s">
        <v>206</v>
      </c>
      <c r="AF5" s="10" t="s">
        <v>219</v>
      </c>
      <c r="AH5" s="229"/>
      <c r="AI5" s="230"/>
      <c r="AJ5" s="230"/>
      <c r="AK5" s="231"/>
      <c r="AL5" s="230">
        <v>43042</v>
      </c>
      <c r="AM5" s="230">
        <v>43042</v>
      </c>
      <c r="AN5" s="231">
        <v>1</v>
      </c>
      <c r="AO5" s="12">
        <v>0</v>
      </c>
      <c r="AP5" s="230"/>
      <c r="AQ5" s="230"/>
      <c r="AR5" s="231"/>
      <c r="AS5" s="229"/>
      <c r="AT5" s="229"/>
      <c r="AU5" s="229"/>
      <c r="AV5" s="12"/>
      <c r="AW5" s="232"/>
      <c r="AX5" s="233"/>
      <c r="AY5" s="233"/>
      <c r="AZ5" s="233"/>
      <c r="BA5" s="233"/>
      <c r="BB5" s="233"/>
      <c r="BC5" s="233"/>
      <c r="BD5" s="233"/>
      <c r="BE5" s="233"/>
      <c r="BF5" s="233"/>
      <c r="BI5" s="21"/>
      <c r="BJ5" s="23" t="s">
        <v>60</v>
      </c>
      <c r="BK5" s="25"/>
      <c r="BL5" s="24"/>
      <c r="BN5" s="23" t="s">
        <v>60</v>
      </c>
      <c r="BO5" s="22">
        <v>0</v>
      </c>
      <c r="BQ5" s="23" t="s">
        <v>212</v>
      </c>
      <c r="BR5" s="22">
        <v>0</v>
      </c>
      <c r="BT5" s="23" t="s">
        <v>212</v>
      </c>
      <c r="BU5" s="22">
        <v>1</v>
      </c>
      <c r="BW5"/>
      <c r="BX5"/>
      <c r="BY5"/>
    </row>
    <row r="6" spans="1:77" x14ac:dyDescent="0.25">
      <c r="A6" s="2"/>
      <c r="D6" s="17" t="s">
        <v>17</v>
      </c>
      <c r="E6" s="27">
        <f>MIN(shData[[#All],[ESD]])</f>
        <v>42996</v>
      </c>
      <c r="F6" s="26"/>
      <c r="G6" s="2"/>
      <c r="V6" s="127"/>
      <c r="W6" s="127"/>
      <c r="X6" s="128" t="s">
        <v>16</v>
      </c>
      <c r="Y6" s="129" t="s">
        <v>169</v>
      </c>
      <c r="Z6" s="130" t="str">
        <f>$Y$5&amp;" "&amp;TEXT(Y6,"#,##0")</f>
        <v>$ ,0</v>
      </c>
      <c r="AA6" s="131"/>
      <c r="AB6" s="13"/>
      <c r="AC6" s="13"/>
      <c r="AD6" s="10" t="s">
        <v>65</v>
      </c>
      <c r="AE6" s="228" t="s">
        <v>218</v>
      </c>
      <c r="AF6" s="10" t="s">
        <v>217</v>
      </c>
      <c r="AH6" s="229"/>
      <c r="AI6" s="230"/>
      <c r="AJ6" s="230"/>
      <c r="AK6" s="231"/>
      <c r="AL6" s="230">
        <v>43005</v>
      </c>
      <c r="AM6" s="230">
        <v>43005</v>
      </c>
      <c r="AN6" s="231">
        <v>1</v>
      </c>
      <c r="AO6" s="12">
        <v>0</v>
      </c>
      <c r="AP6" s="230"/>
      <c r="AQ6" s="230"/>
      <c r="AR6" s="231"/>
      <c r="AS6" s="229"/>
      <c r="AT6" s="229"/>
      <c r="AU6" s="229"/>
      <c r="AV6" s="12"/>
      <c r="AW6" s="232"/>
      <c r="AX6" s="233"/>
      <c r="AY6" s="233"/>
      <c r="AZ6" s="233"/>
      <c r="BA6" s="233"/>
      <c r="BB6" s="233"/>
      <c r="BC6" s="233"/>
      <c r="BD6" s="233"/>
      <c r="BE6" s="233"/>
      <c r="BF6" s="233"/>
      <c r="BI6" s="21"/>
      <c r="BJ6"/>
      <c r="BK6"/>
      <c r="BL6" s="24"/>
      <c r="BN6"/>
      <c r="BO6"/>
      <c r="BQ6"/>
      <c r="BR6"/>
      <c r="BT6"/>
      <c r="BU6"/>
      <c r="BW6"/>
      <c r="BX6"/>
      <c r="BY6"/>
    </row>
    <row r="7" spans="1:77" x14ac:dyDescent="0.25">
      <c r="A7" s="2"/>
      <c r="D7" s="17" t="s">
        <v>15</v>
      </c>
      <c r="E7" s="27">
        <f>MAX(shData[[#All],[EED]])</f>
        <v>43042</v>
      </c>
      <c r="F7" s="26"/>
      <c r="G7" s="2"/>
      <c r="V7" s="127"/>
      <c r="W7" s="127"/>
      <c r="X7" s="128" t="s">
        <v>14</v>
      </c>
      <c r="Y7" s="129" t="s">
        <v>169</v>
      </c>
      <c r="Z7" s="130" t="str">
        <f>$Y$5&amp;" "&amp;TEXT(Y7,"#,##0")</f>
        <v>$ ,0</v>
      </c>
      <c r="AA7" s="131"/>
      <c r="AB7" s="13"/>
      <c r="AC7" s="13"/>
      <c r="AD7" s="10" t="s">
        <v>65</v>
      </c>
      <c r="AE7" s="228" t="s">
        <v>220</v>
      </c>
      <c r="AF7" s="10" t="s">
        <v>221</v>
      </c>
      <c r="AH7" s="229"/>
      <c r="AI7" s="230"/>
      <c r="AJ7" s="230"/>
      <c r="AK7" s="231"/>
      <c r="AL7" s="230">
        <v>43005</v>
      </c>
      <c r="AM7" s="230">
        <v>43005</v>
      </c>
      <c r="AN7" s="231">
        <v>1</v>
      </c>
      <c r="AO7" s="12">
        <v>0</v>
      </c>
      <c r="AP7" s="230"/>
      <c r="AQ7" s="230"/>
      <c r="AR7" s="231"/>
      <c r="AS7" s="229"/>
      <c r="AT7" s="229"/>
      <c r="AU7" s="229"/>
      <c r="AV7" s="12"/>
      <c r="AW7" s="232"/>
      <c r="AX7" s="233"/>
      <c r="AY7" s="233"/>
      <c r="AZ7" s="233"/>
      <c r="BA7" s="233"/>
      <c r="BB7" s="233"/>
      <c r="BC7" s="233"/>
      <c r="BD7" s="233"/>
      <c r="BE7" s="233"/>
      <c r="BF7" s="233"/>
      <c r="BI7" s="21"/>
      <c r="BJ7"/>
      <c r="BK7"/>
      <c r="BL7" s="24"/>
      <c r="BN7"/>
      <c r="BO7"/>
      <c r="BQ7"/>
      <c r="BR7"/>
      <c r="BT7"/>
      <c r="BU7"/>
      <c r="BW7"/>
      <c r="BX7"/>
      <c r="BY7"/>
    </row>
    <row r="8" spans="1:77" x14ac:dyDescent="0.25">
      <c r="A8" s="2"/>
      <c r="D8" s="116" t="s">
        <v>13</v>
      </c>
      <c r="E8" s="19">
        <f>COUNTIFS(shData[[#All],[tType]],"T")+COUNTIFS(shData[[#All],[tType]],"C")</f>
        <v>1</v>
      </c>
      <c r="F8" s="18"/>
      <c r="G8" s="2"/>
      <c r="V8" s="127"/>
      <c r="W8" s="127"/>
      <c r="X8" s="128" t="s">
        <v>12</v>
      </c>
      <c r="Y8" s="129">
        <f>SUMIFS(shData[ACS],shData[tType],"T")+SUMIFS(shData[ACS],shData[tType],"MP")</f>
        <v>0</v>
      </c>
      <c r="Z8" s="129" t="str">
        <f>Y5&amp;" "&amp;TEXT(Y8,"#,##0")&amp;" spent"</f>
        <v>$ ,0 spent</v>
      </c>
      <c r="AA8" s="131"/>
      <c r="AB8" s="13"/>
      <c r="AC8" s="13"/>
      <c r="BI8" s="21"/>
      <c r="BJ8"/>
      <c r="BK8"/>
      <c r="BN8"/>
      <c r="BO8"/>
      <c r="BQ8"/>
      <c r="BR8"/>
      <c r="BT8"/>
      <c r="BU8"/>
      <c r="BW8"/>
      <c r="BX8"/>
      <c r="BY8"/>
    </row>
    <row r="9" spans="1:77" x14ac:dyDescent="0.25">
      <c r="A9" s="2"/>
      <c r="B9" s="289"/>
      <c r="C9" s="290"/>
      <c r="D9" s="17" t="s">
        <v>156</v>
      </c>
      <c r="E9" s="19">
        <f>COUNTIFS(shData[[#All],[tType]],"T",shData[[#All],[PercentageCompleted]],1)+COUNTIFS(shData[[#All],[tType]],"C",shData[[#All],[PercentageCompleted]],1)</f>
        <v>0</v>
      </c>
      <c r="F9" s="18"/>
      <c r="G9" s="2"/>
      <c r="V9" s="127"/>
      <c r="W9" s="127"/>
      <c r="X9" s="128" t="s">
        <v>11</v>
      </c>
      <c r="Y9" s="133">
        <f>IFERROR(Y8/Y6,0)</f>
        <v>0</v>
      </c>
      <c r="Z9" s="133">
        <f>1-Y9</f>
        <v>1</v>
      </c>
      <c r="AA9" s="134"/>
      <c r="AB9" s="20"/>
      <c r="AC9" s="20"/>
      <c r="BJ9"/>
      <c r="BK9"/>
      <c r="BN9"/>
      <c r="BO9"/>
      <c r="BQ9"/>
      <c r="BR9"/>
      <c r="BT9"/>
      <c r="BU9"/>
      <c r="BW9"/>
      <c r="BX9"/>
      <c r="BY9"/>
    </row>
    <row r="10" spans="1:77" x14ac:dyDescent="0.25">
      <c r="A10" s="2"/>
      <c r="D10" s="17" t="s">
        <v>157</v>
      </c>
      <c r="E10" s="19">
        <f ca="1">COUNTIFS(shData[[#All],[tType]],"T",shData[[#All],[PercentageCompleted]],"&lt;"&amp;1,shData[[#All],[PercentageCompleted]],"&gt;"&amp;0,shData[[#All],[EED]],"&gt;="&amp;TODAY())+COUNTIFS(shData[[#All],[tType]],"C",shData[[#All],[PercentageCompleted]],"&lt;"&amp;1,shData[[#All],[PercentageCompleted]],"&gt;"&amp;0,shData[[#All],[EED]],"&gt;="&amp;TODAY())</f>
        <v>0</v>
      </c>
      <c r="F10" s="18"/>
      <c r="G10" s="2"/>
      <c r="V10" s="127"/>
      <c r="W10" s="127"/>
      <c r="X10" s="127"/>
      <c r="Y10" s="135"/>
      <c r="Z10" s="135"/>
      <c r="AA10" s="135"/>
      <c r="AB10" s="14"/>
      <c r="AC10" s="14"/>
      <c r="BJ10"/>
      <c r="BK10"/>
      <c r="BN10"/>
      <c r="BO10"/>
      <c r="BQ10"/>
      <c r="BR10"/>
      <c r="BT10"/>
      <c r="BU10"/>
    </row>
    <row r="11" spans="1:77" x14ac:dyDescent="0.25">
      <c r="A11" s="2"/>
      <c r="D11" s="17" t="s">
        <v>158</v>
      </c>
      <c r="E11" s="19">
        <f ca="1">COUNTIFS(shData[[#All],[tType]],"T",shData[[#All],[PercentageCompleted]],0,shData[[#All],[EED]],"&gt;="&amp;TODAY())+COUNTIFS(shData[[#All],[tType]],"C",shData[[#All],[PercentageCompleted]],0,shData[[#All],[EED]],"&gt;="&amp;TODAY())</f>
        <v>0</v>
      </c>
      <c r="F11" s="18"/>
      <c r="G11" s="2"/>
      <c r="V11" s="127"/>
      <c r="W11" s="127"/>
      <c r="X11" s="127" t="s">
        <v>164</v>
      </c>
      <c r="Y11" s="135">
        <f>SUMIFS(shData[BCS],shData[tType],"T")+SUMIFS(shData[BCS],shData[tType],"MP")</f>
        <v>0</v>
      </c>
      <c r="Z11" s="130" t="str">
        <f>$Y$5&amp;" "&amp;TEXT(Y11,"#,##0")</f>
        <v>$ ,0</v>
      </c>
      <c r="AA11" s="131"/>
      <c r="AB11" s="13"/>
      <c r="AC11" s="13"/>
      <c r="BJ11"/>
      <c r="BK11"/>
      <c r="BN11"/>
      <c r="BO11"/>
      <c r="BQ11"/>
      <c r="BR11"/>
      <c r="BT11"/>
      <c r="BU11"/>
    </row>
    <row r="12" spans="1:77" x14ac:dyDescent="0.25">
      <c r="A12" s="2"/>
      <c r="D12" s="17" t="s">
        <v>159</v>
      </c>
      <c r="E12" s="16">
        <f ca="1">COUNTIFS(shData[[#All],[tType]],"T",shData[[#All],[PercentageCompleted]],"&lt;&gt;"&amp;1,shData[[#All],[EED]],"&lt;"&amp;TODAY())+COUNTIFS(shData[[#All],[tType]],"C",shData[[#All],[PercentageCompleted]],"&lt;&gt;"&amp;1,shData[[#All],[EED]],"&lt;"&amp;TODAY())</f>
        <v>1</v>
      </c>
      <c r="F12" s="15"/>
      <c r="G12" s="2"/>
      <c r="V12" s="127"/>
      <c r="W12" s="127"/>
      <c r="X12" s="127" t="s">
        <v>163</v>
      </c>
      <c r="Y12" s="135">
        <f>SUMIFS(shData[ECS],shData[tType],"T")+SUMIFS(shData[ECS],shData[tType],"MP")</f>
        <v>0</v>
      </c>
      <c r="Z12" s="130" t="str">
        <f>$Y$5&amp;" "&amp;TEXT(Y12,"#,##0")</f>
        <v>$ ,0</v>
      </c>
      <c r="AA12" s="131"/>
      <c r="AB12" s="13"/>
      <c r="AC12" s="13"/>
      <c r="BJ12"/>
      <c r="BK12"/>
      <c r="BN12"/>
      <c r="BO12"/>
      <c r="BQ12"/>
      <c r="BR12"/>
      <c r="BT12"/>
      <c r="BU12"/>
    </row>
    <row r="13" spans="1:77" ht="5.25" customHeight="1" x14ac:dyDescent="0.25">
      <c r="A13" s="2"/>
      <c r="B13" s="121"/>
      <c r="C13" s="122"/>
      <c r="D13" s="123"/>
      <c r="E13" s="2"/>
      <c r="F13" s="2"/>
      <c r="G13" s="2"/>
      <c r="V13" s="127"/>
      <c r="W13" s="127"/>
      <c r="X13" s="127" t="s">
        <v>162</v>
      </c>
      <c r="Y13" s="135">
        <f>SUMIFS(shData[ACS],shData[tType],"T")+SUMIFS(shData[ACS],shData[tType],"MP")</f>
        <v>0</v>
      </c>
      <c r="Z13" s="130" t="str">
        <f>$Y$5&amp;" "&amp;TEXT(Y13,"#,##0")</f>
        <v>$ ,0</v>
      </c>
      <c r="AA13" s="131"/>
      <c r="AB13" s="13"/>
      <c r="AC13" s="13"/>
      <c r="BJ13"/>
      <c r="BK13"/>
      <c r="BN13"/>
      <c r="BO13"/>
      <c r="BQ13"/>
      <c r="BR13"/>
      <c r="BT13"/>
      <c r="BU13"/>
    </row>
    <row r="14" spans="1:77" x14ac:dyDescent="0.25">
      <c r="A14" s="2"/>
      <c r="B14" s="291" t="s">
        <v>10</v>
      </c>
      <c r="C14" s="291"/>
      <c r="D14" s="291"/>
      <c r="E14" s="291"/>
      <c r="F14" s="291"/>
      <c r="G14" s="2"/>
      <c r="V14" s="127"/>
      <c r="W14" s="127"/>
      <c r="X14" s="127"/>
      <c r="Y14" s="135"/>
      <c r="Z14" s="131"/>
      <c r="AA14" s="131"/>
      <c r="AB14" s="13"/>
      <c r="AC14" s="13"/>
      <c r="BJ14"/>
      <c r="BK14"/>
      <c r="BN14"/>
      <c r="BO14"/>
      <c r="BQ14"/>
      <c r="BR14"/>
      <c r="BT14"/>
      <c r="BU14"/>
    </row>
    <row r="15" spans="1:77" s="117" customFormat="1" ht="15" customHeight="1" x14ac:dyDescent="0.25">
      <c r="A15" s="2"/>
      <c r="B15" s="51"/>
      <c r="C15" s="51"/>
      <c r="D15" s="51"/>
      <c r="E15" s="51"/>
      <c r="F15" s="51"/>
      <c r="G15" s="2"/>
      <c r="H15" s="51"/>
      <c r="V15" s="127"/>
      <c r="W15" s="127"/>
      <c r="X15" s="127"/>
      <c r="Y15" s="127"/>
      <c r="Z15" s="127"/>
      <c r="AA15" s="127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2"/>
      <c r="AP15" s="10"/>
      <c r="AQ15" s="10"/>
      <c r="AR15" s="10"/>
      <c r="AS15" s="10"/>
      <c r="AT15" s="10"/>
      <c r="AU15" s="10"/>
      <c r="AV15" s="10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8"/>
      <c r="BH15" s="118"/>
      <c r="BJ15"/>
      <c r="BK15"/>
      <c r="BN15"/>
      <c r="BO15"/>
      <c r="BQ15" s="51"/>
      <c r="BR15" s="51"/>
      <c r="BT15" s="51"/>
      <c r="BU15" s="51"/>
    </row>
    <row r="16" spans="1:77" x14ac:dyDescent="0.25">
      <c r="A16" s="2"/>
      <c r="G16" s="2"/>
      <c r="V16" s="127"/>
      <c r="W16" s="127"/>
      <c r="X16" s="127" t="str">
        <f ca="1">SUM(INDIRECT("'Project Dashboard'!E10:E12"))&amp;" Tasks Left"</f>
        <v>1 Tasks Left</v>
      </c>
      <c r="Y16" s="127"/>
      <c r="Z16" s="127"/>
      <c r="AA16" s="127"/>
      <c r="BJ16"/>
      <c r="BK16"/>
      <c r="BN16"/>
      <c r="BO16"/>
    </row>
    <row r="17" spans="1:67" ht="21" customHeight="1" x14ac:dyDescent="0.25">
      <c r="A17" s="2"/>
      <c r="G17" s="2"/>
      <c r="BJ17"/>
      <c r="BK17"/>
      <c r="BN17"/>
      <c r="BO17"/>
    </row>
    <row r="18" spans="1:67" ht="4.5" customHeight="1" x14ac:dyDescent="0.25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25">
      <c r="A19" s="2"/>
      <c r="G19" s="2"/>
      <c r="BJ19"/>
      <c r="BK19"/>
      <c r="BN19"/>
      <c r="BO19"/>
    </row>
    <row r="20" spans="1:67" x14ac:dyDescent="0.25">
      <c r="A20" s="2"/>
      <c r="B20" s="120" t="s">
        <v>160</v>
      </c>
      <c r="D20" s="126" t="s">
        <v>161</v>
      </c>
      <c r="G20" s="2"/>
      <c r="X20"/>
      <c r="Y20"/>
      <c r="Z20"/>
      <c r="BJ20"/>
      <c r="BK20"/>
      <c r="BN20"/>
      <c r="BO20"/>
    </row>
    <row r="21" spans="1:67" x14ac:dyDescent="0.25">
      <c r="A21" s="2"/>
      <c r="G21" s="2"/>
      <c r="X21"/>
      <c r="Y21"/>
      <c r="Z21"/>
      <c r="BJ21"/>
      <c r="BK21"/>
      <c r="BN21"/>
      <c r="BO21"/>
    </row>
    <row r="22" spans="1:67" x14ac:dyDescent="0.25">
      <c r="A22" s="2"/>
      <c r="G22" s="2"/>
      <c r="X22"/>
      <c r="Y22"/>
      <c r="Z22"/>
      <c r="BJ22"/>
      <c r="BK22"/>
      <c r="BN22"/>
      <c r="BO22"/>
    </row>
    <row r="23" spans="1:67" x14ac:dyDescent="0.25">
      <c r="A23" s="2"/>
      <c r="G23" s="2"/>
      <c r="X23"/>
      <c r="Y23"/>
      <c r="Z23"/>
      <c r="BJ23"/>
      <c r="BK23"/>
      <c r="BN23"/>
      <c r="BO23"/>
    </row>
    <row r="24" spans="1:67" x14ac:dyDescent="0.25">
      <c r="A24" s="2"/>
      <c r="G24" s="2"/>
      <c r="BJ24"/>
      <c r="BK24"/>
      <c r="BN24"/>
      <c r="BO24"/>
    </row>
    <row r="25" spans="1:67" x14ac:dyDescent="0.25">
      <c r="A25" s="2"/>
      <c r="G25" s="2"/>
      <c r="BJ25"/>
      <c r="BK25"/>
      <c r="BN25"/>
      <c r="BO25"/>
    </row>
    <row r="26" spans="1:67" s="117" customFormat="1" ht="15" customHeight="1" x14ac:dyDescent="0.25">
      <c r="A26" s="2"/>
      <c r="B26"/>
      <c r="C26"/>
      <c r="D26"/>
      <c r="E26"/>
      <c r="F26"/>
      <c r="G26" s="2"/>
      <c r="H26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2"/>
      <c r="AP26" s="10"/>
      <c r="AQ26" s="10"/>
      <c r="AR26" s="10"/>
      <c r="AS26" s="10"/>
      <c r="AT26" s="10"/>
      <c r="AU26" s="10"/>
      <c r="AV26" s="10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8"/>
      <c r="BH26" s="118"/>
      <c r="BJ26"/>
      <c r="BK26"/>
      <c r="BN26"/>
      <c r="BO26"/>
    </row>
    <row r="27" spans="1:67" x14ac:dyDescent="0.25">
      <c r="A27" s="2"/>
      <c r="B27" s="51"/>
      <c r="C27" s="51"/>
      <c r="D27" s="51"/>
      <c r="E27" s="51"/>
      <c r="F27" s="51"/>
      <c r="G27" s="2"/>
      <c r="H27" s="51"/>
      <c r="BJ27"/>
      <c r="BK27"/>
      <c r="BN27"/>
      <c r="BO27"/>
    </row>
    <row r="28" spans="1:67" x14ac:dyDescent="0.25">
      <c r="A28" s="2"/>
      <c r="G28" s="2"/>
      <c r="BJ28"/>
      <c r="BK28"/>
      <c r="BN28"/>
      <c r="BO28"/>
    </row>
    <row r="29" spans="1:67" x14ac:dyDescent="0.25">
      <c r="A29" s="2"/>
      <c r="G29" s="2"/>
      <c r="BJ29"/>
      <c r="BK29"/>
      <c r="BN29"/>
      <c r="BO29"/>
    </row>
    <row r="30" spans="1:67" x14ac:dyDescent="0.25">
      <c r="A30" s="2"/>
      <c r="G30" s="2"/>
      <c r="BJ30"/>
      <c r="BK30"/>
      <c r="BN30"/>
      <c r="BO30"/>
    </row>
    <row r="31" spans="1:67" x14ac:dyDescent="0.25">
      <c r="A31" s="2"/>
      <c r="G31" s="2"/>
      <c r="BJ31"/>
      <c r="BK31"/>
      <c r="BN31"/>
      <c r="BO31"/>
    </row>
    <row r="32" spans="1:67" x14ac:dyDescent="0.25">
      <c r="A32" s="2"/>
      <c r="G32" s="2"/>
      <c r="BJ32"/>
      <c r="BK32"/>
      <c r="BN32"/>
      <c r="BO32"/>
    </row>
    <row r="33" spans="1:67" x14ac:dyDescent="0.25">
      <c r="A33" s="2"/>
      <c r="G33" s="2"/>
      <c r="BJ33"/>
      <c r="BK33"/>
      <c r="BN33"/>
      <c r="BO33"/>
    </row>
    <row r="34" spans="1:67" ht="15" customHeight="1" x14ac:dyDescent="0.25">
      <c r="A34" s="2"/>
      <c r="B34" s="51"/>
      <c r="C34" s="51"/>
      <c r="D34" s="51"/>
      <c r="E34" s="51"/>
      <c r="F34" s="51"/>
      <c r="G34" s="2"/>
      <c r="BJ34"/>
      <c r="BK34"/>
      <c r="BN34"/>
      <c r="BO34"/>
    </row>
    <row r="35" spans="1:67" ht="15" customHeight="1" x14ac:dyDescent="0.25">
      <c r="A35" s="2"/>
      <c r="B35" s="51"/>
      <c r="C35" s="51"/>
      <c r="D35" s="51"/>
      <c r="E35" s="51"/>
      <c r="F35" s="51"/>
      <c r="G35" s="2"/>
      <c r="BJ35"/>
      <c r="BK35"/>
      <c r="BN35"/>
      <c r="BO35"/>
    </row>
    <row r="36" spans="1:67" ht="5.0999999999999996" customHeight="1" x14ac:dyDescent="0.25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25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25">
      <c r="A38" s="2"/>
      <c r="G38" s="2"/>
      <c r="BJ38"/>
      <c r="BK38"/>
      <c r="BN38"/>
      <c r="BO38"/>
    </row>
    <row r="39" spans="1:67" x14ac:dyDescent="0.25">
      <c r="A39" s="2"/>
      <c r="G39" s="2"/>
      <c r="BJ39"/>
      <c r="BK39"/>
      <c r="BN39"/>
      <c r="BO39"/>
    </row>
    <row r="40" spans="1:67" x14ac:dyDescent="0.25">
      <c r="A40" s="2"/>
      <c r="G40" s="2"/>
      <c r="BJ40"/>
      <c r="BK40"/>
      <c r="BN40"/>
      <c r="BO40"/>
    </row>
    <row r="41" spans="1:67" x14ac:dyDescent="0.25">
      <c r="A41" s="2"/>
      <c r="G41" s="2"/>
      <c r="BJ41"/>
      <c r="BK41"/>
      <c r="BN41"/>
      <c r="BO41"/>
    </row>
    <row r="42" spans="1:67" x14ac:dyDescent="0.25">
      <c r="A42" s="2"/>
      <c r="G42" s="2"/>
      <c r="BJ42"/>
      <c r="BK42"/>
      <c r="BN42"/>
      <c r="BO42"/>
    </row>
    <row r="43" spans="1:67" x14ac:dyDescent="0.25">
      <c r="A43" s="2"/>
      <c r="G43" s="2"/>
      <c r="BJ43"/>
      <c r="BK43"/>
      <c r="BN43"/>
      <c r="BO43"/>
    </row>
    <row r="44" spans="1:67" x14ac:dyDescent="0.25">
      <c r="A44" s="2"/>
      <c r="G44" s="2"/>
    </row>
    <row r="45" spans="1:67" x14ac:dyDescent="0.25">
      <c r="A45" s="2"/>
      <c r="G45" s="2"/>
    </row>
    <row r="46" spans="1:67" x14ac:dyDescent="0.25">
      <c r="A46" s="2"/>
      <c r="G46" s="2"/>
    </row>
    <row r="47" spans="1:67" x14ac:dyDescent="0.25">
      <c r="A47" s="2"/>
      <c r="G47" s="2"/>
    </row>
    <row r="48" spans="1:67" x14ac:dyDescent="0.25">
      <c r="A48" s="2"/>
      <c r="G48" s="2"/>
    </row>
    <row r="49" spans="1:7" x14ac:dyDescent="0.25">
      <c r="A49" s="2"/>
      <c r="G49" s="2"/>
    </row>
    <row r="50" spans="1:7" x14ac:dyDescent="0.25">
      <c r="A50" s="2"/>
      <c r="G50" s="2"/>
    </row>
    <row r="51" spans="1:7" x14ac:dyDescent="0.25">
      <c r="A51" s="2"/>
      <c r="G51" s="2"/>
    </row>
    <row r="52" spans="1:7" x14ac:dyDescent="0.25">
      <c r="A52" s="2"/>
      <c r="G52" s="2"/>
    </row>
    <row r="53" spans="1:7" x14ac:dyDescent="0.25">
      <c r="A53" s="2"/>
      <c r="G53" s="2"/>
    </row>
    <row r="54" spans="1:7" x14ac:dyDescent="0.25">
      <c r="A54" s="2"/>
      <c r="G54" s="2"/>
    </row>
    <row r="55" spans="1:7" x14ac:dyDescent="0.25">
      <c r="A55" s="2"/>
      <c r="G55" s="2"/>
    </row>
    <row r="56" spans="1:7" x14ac:dyDescent="0.25">
      <c r="A56" s="2"/>
      <c r="G56" s="2"/>
    </row>
    <row r="57" spans="1:7" x14ac:dyDescent="0.25">
      <c r="A57" s="2"/>
      <c r="G57" s="2"/>
    </row>
    <row r="58" spans="1:7" x14ac:dyDescent="0.25">
      <c r="A58" s="2"/>
      <c r="G58" s="2"/>
    </row>
    <row r="59" spans="1:7" x14ac:dyDescent="0.25">
      <c r="A59" s="2"/>
      <c r="G59" s="2"/>
    </row>
    <row r="60" spans="1:7" x14ac:dyDescent="0.25">
      <c r="A60" s="2"/>
      <c r="G60" s="2"/>
    </row>
    <row r="61" spans="1:7" x14ac:dyDescent="0.25">
      <c r="A61" s="2"/>
      <c r="G61" s="2"/>
    </row>
    <row r="62" spans="1:7" x14ac:dyDescent="0.25">
      <c r="A62" s="2"/>
      <c r="G62" s="2"/>
    </row>
    <row r="63" spans="1:7" x14ac:dyDescent="0.25">
      <c r="A63" s="2"/>
      <c r="G63" s="2"/>
    </row>
    <row r="64" spans="1:7" x14ac:dyDescent="0.25">
      <c r="A64" s="2"/>
      <c r="G64" s="2"/>
    </row>
    <row r="65" spans="1:7" x14ac:dyDescent="0.25">
      <c r="A65" s="2"/>
      <c r="G65" s="2"/>
    </row>
    <row r="66" spans="1:7" ht="21.75" customHeight="1" x14ac:dyDescent="0.25">
      <c r="A66" s="2"/>
      <c r="G66" s="2"/>
    </row>
    <row r="67" spans="1:7" ht="5.25" customHeight="1" x14ac:dyDescent="0.25">
      <c r="A67" s="2"/>
      <c r="G67" s="2"/>
    </row>
    <row r="68" spans="1:7" x14ac:dyDescent="0.25">
      <c r="A68" s="2"/>
      <c r="G68" s="2"/>
    </row>
    <row r="69" spans="1:7" x14ac:dyDescent="0.25">
      <c r="A69" s="2"/>
      <c r="B69" s="2"/>
      <c r="C69" s="2"/>
      <c r="D69" s="2"/>
      <c r="E69" s="2"/>
      <c r="F69" s="2"/>
      <c r="G69" s="2"/>
    </row>
    <row r="86" spans="7:7" ht="4.1500000000000004" customHeight="1" x14ac:dyDescent="0.25"/>
    <row r="89" spans="7:7" x14ac:dyDescent="0.25">
      <c r="G89"/>
    </row>
  </sheetData>
  <sheetProtection formatCells="0" formatColumns="0" formatRows="0" autoFilter="0" pivotTables="0"/>
  <mergeCells count="4">
    <mergeCell ref="B2:C2"/>
    <mergeCell ref="D2:E2"/>
    <mergeCell ref="B9:C9"/>
    <mergeCell ref="B14:F14"/>
  </mergeCells>
  <conditionalFormatting sqref="E12">
    <cfRule type="cellIs" dxfId="73" priority="1" operator="greaterThan">
      <formula>0</formula>
    </cfRule>
  </conditionalFormatting>
  <dataValidations count="1">
    <dataValidation type="list" allowBlank="1" showInputMessage="1" showErrorMessage="1" sqref="D2:E2" xr:uid="{7FB92698-8663-42BA-A329-42F56F30EE4C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8" name="btnRefreshDashboard">
              <controlPr defaultSize="0" print="0" autoFill="0" autoPict="0" macro="[0]!RefreshDashboard">
                <anchor>
                  <from>
                    <xdr:col>5</xdr:col>
                    <xdr:colOff>133350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G19" sqref="G19"/>
    </sheetView>
  </sheetViews>
  <sheetFormatPr baseColWidth="10" defaultColWidth="0" defaultRowHeight="15" x14ac:dyDescent="0.25"/>
  <cols>
    <col min="1" max="1" width="0.85546875" customWidth="1"/>
    <col min="2" max="2" width="63" customWidth="1"/>
    <col min="3" max="3" width="10" customWidth="1"/>
    <col min="4" max="4" width="23.85546875" bestFit="1" customWidth="1"/>
    <col min="5" max="5" width="21.28515625" customWidth="1"/>
    <col min="6" max="6" width="13.28515625" customWidth="1"/>
    <col min="7" max="7" width="2.7109375" style="51" customWidth="1"/>
    <col min="8" max="8" width="0.140625" hidden="1" customWidth="1"/>
    <col min="9" max="21" width="0.140625" style="9" hidden="1" customWidth="1"/>
    <col min="22" max="27" width="3.7109375" style="9" hidden="1" customWidth="1"/>
    <col min="28" max="29" width="0.140625" style="9" hidden="1" customWidth="1"/>
    <col min="30" max="40" width="16" style="10" hidden="1" customWidth="1"/>
    <col min="41" max="41" width="16" style="12" hidden="1" customWidth="1"/>
    <col min="42" max="48" width="16" style="10" hidden="1" customWidth="1"/>
    <col min="49" max="58" width="16" style="11" hidden="1" customWidth="1"/>
    <col min="59" max="60" width="0.140625" style="10" hidden="1" customWidth="1"/>
    <col min="61" max="16384" width="0.140625" style="9" hidden="1"/>
  </cols>
  <sheetData>
    <row r="1" spans="1:77" ht="6" customHeight="1" x14ac:dyDescent="0.25">
      <c r="A1" s="51"/>
      <c r="F1" s="51"/>
      <c r="H1" s="51"/>
      <c r="Y1" s="14"/>
      <c r="Z1" s="14"/>
      <c r="AA1" s="14"/>
      <c r="AB1" s="14"/>
      <c r="AC1" s="14"/>
    </row>
    <row r="2" spans="1:77" ht="20.25" thickBot="1" x14ac:dyDescent="0.3">
      <c r="A2" s="2"/>
      <c r="B2" s="287" t="s">
        <v>58</v>
      </c>
      <c r="C2" s="287"/>
      <c r="D2" s="288"/>
      <c r="E2" s="288"/>
      <c r="F2" s="50"/>
      <c r="G2" s="49"/>
      <c r="V2" s="127" t="s">
        <v>57</v>
      </c>
      <c r="W2" s="127" t="s">
        <v>56</v>
      </c>
      <c r="X2" s="128" t="s">
        <v>26</v>
      </c>
      <c r="Y2" s="129"/>
      <c r="Z2" s="130" t="s">
        <v>55</v>
      </c>
      <c r="AA2" s="131"/>
      <c r="AB2" s="48"/>
      <c r="AC2" s="48"/>
      <c r="AD2" s="47" t="s">
        <v>27</v>
      </c>
      <c r="AE2" s="46" t="s">
        <v>54</v>
      </c>
      <c r="AF2" s="44" t="s">
        <v>53</v>
      </c>
      <c r="AG2" s="44" t="s">
        <v>52</v>
      </c>
      <c r="AH2" s="44" t="s">
        <v>51</v>
      </c>
      <c r="AI2" s="44" t="s">
        <v>50</v>
      </c>
      <c r="AJ2" s="45" t="s">
        <v>49</v>
      </c>
      <c r="AK2" s="44" t="s">
        <v>48</v>
      </c>
      <c r="AL2" s="45" t="s">
        <v>47</v>
      </c>
      <c r="AM2" s="45" t="s">
        <v>45</v>
      </c>
      <c r="AN2" s="44" t="s">
        <v>43</v>
      </c>
      <c r="AO2" s="44" t="s">
        <v>42</v>
      </c>
      <c r="AP2" s="45" t="s">
        <v>46</v>
      </c>
      <c r="AQ2" s="45" t="s">
        <v>44</v>
      </c>
      <c r="AR2" s="43" t="s">
        <v>41</v>
      </c>
      <c r="AS2" s="43" t="s">
        <v>40</v>
      </c>
      <c r="AT2" s="43" t="s">
        <v>39</v>
      </c>
      <c r="AU2" s="43" t="s">
        <v>38</v>
      </c>
      <c r="AV2" s="42" t="s">
        <v>37</v>
      </c>
      <c r="AW2" s="42" t="s">
        <v>184</v>
      </c>
      <c r="AX2" s="41" t="s">
        <v>36</v>
      </c>
      <c r="AY2" s="41" t="s">
        <v>35</v>
      </c>
      <c r="AZ2" s="41" t="s">
        <v>34</v>
      </c>
      <c r="BA2" s="41" t="s">
        <v>33</v>
      </c>
      <c r="BB2" s="41" t="s">
        <v>32</v>
      </c>
      <c r="BC2" s="41" t="s">
        <v>31</v>
      </c>
      <c r="BD2" s="41" t="s">
        <v>30</v>
      </c>
      <c r="BE2" s="41" t="s">
        <v>29</v>
      </c>
      <c r="BF2" s="41" t="s">
        <v>28</v>
      </c>
      <c r="BG2" s="40"/>
      <c r="BH2" s="40"/>
      <c r="BI2" s="40"/>
      <c r="BJ2" s="30" t="s">
        <v>27</v>
      </c>
      <c r="BK2" s="9" t="s">
        <v>213</v>
      </c>
      <c r="BN2" s="30" t="s">
        <v>27</v>
      </c>
      <c r="BO2" s="9" t="s">
        <v>213</v>
      </c>
      <c r="BQ2" s="30" t="s">
        <v>27</v>
      </c>
      <c r="BR2" s="9" t="s">
        <v>213</v>
      </c>
      <c r="BT2" s="30" t="s">
        <v>27</v>
      </c>
      <c r="BU2" s="9" t="s">
        <v>213</v>
      </c>
      <c r="BW2"/>
      <c r="BX2"/>
      <c r="BY2"/>
    </row>
    <row r="3" spans="1:77" ht="24" customHeight="1" thickTop="1" x14ac:dyDescent="0.25">
      <c r="A3" s="2"/>
      <c r="B3" s="124" t="s">
        <v>26</v>
      </c>
      <c r="C3" s="119"/>
      <c r="D3" s="125" t="s">
        <v>25</v>
      </c>
      <c r="G3" s="2"/>
      <c r="V3" s="127" t="s">
        <v>165</v>
      </c>
      <c r="W3" s="127" t="s">
        <v>165</v>
      </c>
      <c r="X3" s="132">
        <f>IFERROR((SUMIFS(#REF!,#REF!,"T")+SUMIFS(#REF!,#REF!,"C"))/(COUNTIFS(#REF!,"T")+COUNTIFS(#REF!,"C")),0)</f>
        <v>0</v>
      </c>
      <c r="Y3" s="133">
        <f>100%-X3</f>
        <v>1</v>
      </c>
      <c r="Z3" s="130"/>
      <c r="AA3" s="131"/>
      <c r="AB3" s="13"/>
      <c r="AC3" s="13"/>
      <c r="AD3" s="39" t="s">
        <v>173</v>
      </c>
      <c r="AE3" s="38" t="s">
        <v>170</v>
      </c>
      <c r="AF3" s="37" t="s">
        <v>171</v>
      </c>
      <c r="AG3" s="37"/>
      <c r="AH3" s="36"/>
      <c r="AI3" s="136"/>
      <c r="AJ3" s="137"/>
      <c r="AK3" s="138"/>
      <c r="AL3" s="137">
        <v>42614</v>
      </c>
      <c r="AM3" s="137">
        <v>42643</v>
      </c>
      <c r="AN3" s="138">
        <v>22</v>
      </c>
      <c r="AO3" s="35">
        <v>0</v>
      </c>
      <c r="AP3" s="137"/>
      <c r="AQ3" s="137"/>
      <c r="AR3" s="139"/>
      <c r="AS3" s="33">
        <v>0</v>
      </c>
      <c r="AT3" s="33">
        <v>0</v>
      </c>
      <c r="AU3" s="33"/>
      <c r="AV3" s="21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3"/>
      <c r="BH3" s="33"/>
      <c r="BI3" s="21"/>
      <c r="BJ3" s="32"/>
      <c r="BK3" s="31"/>
      <c r="BL3" s="31"/>
      <c r="BN3" s="32"/>
      <c r="BO3" s="31"/>
      <c r="BQ3" s="32"/>
      <c r="BR3" s="31"/>
      <c r="BT3" s="32"/>
      <c r="BU3" s="31"/>
      <c r="BW3"/>
      <c r="BX3"/>
      <c r="BY3"/>
    </row>
    <row r="4" spans="1:77" x14ac:dyDescent="0.25">
      <c r="A4" s="2"/>
      <c r="D4" s="116" t="s">
        <v>24</v>
      </c>
      <c r="E4" s="29" t="str">
        <f>IF(X3=0,"Planned",IF(X3=1,"Completed","In-Progress"))</f>
        <v>Planned</v>
      </c>
      <c r="F4" s="28"/>
      <c r="G4" s="2"/>
      <c r="V4" s="127"/>
      <c r="W4" s="127"/>
      <c r="X4" s="128"/>
      <c r="Y4" s="129"/>
      <c r="Z4" s="130"/>
      <c r="AA4" s="131"/>
      <c r="AB4" s="13"/>
      <c r="AC4" s="13"/>
      <c r="BI4" s="21"/>
      <c r="BJ4" s="30" t="s">
        <v>211</v>
      </c>
      <c r="BK4" s="9" t="s">
        <v>23</v>
      </c>
      <c r="BN4" s="30" t="s">
        <v>211</v>
      </c>
      <c r="BO4" s="9" t="s">
        <v>22</v>
      </c>
      <c r="BQ4" s="30" t="s">
        <v>211</v>
      </c>
      <c r="BR4" s="9" t="s">
        <v>22</v>
      </c>
      <c r="BT4" s="30" t="s">
        <v>211</v>
      </c>
      <c r="BU4" s="9" t="s">
        <v>21</v>
      </c>
      <c r="BW4"/>
      <c r="BX4"/>
      <c r="BY4"/>
    </row>
    <row r="5" spans="1:77" x14ac:dyDescent="0.25">
      <c r="A5" s="2"/>
      <c r="D5" s="17" t="s">
        <v>20</v>
      </c>
      <c r="E5" s="29"/>
      <c r="F5" s="28"/>
      <c r="G5" s="2"/>
      <c r="V5" s="127"/>
      <c r="W5" s="127"/>
      <c r="X5" s="128" t="s">
        <v>19</v>
      </c>
      <c r="Y5" s="129" t="s">
        <v>18</v>
      </c>
      <c r="Z5" s="130"/>
      <c r="AA5" s="131"/>
      <c r="AB5" s="13"/>
      <c r="AC5" s="13"/>
      <c r="BI5" s="21"/>
      <c r="BJ5" s="23" t="s">
        <v>171</v>
      </c>
      <c r="BK5" s="25">
        <v>0</v>
      </c>
      <c r="BL5" s="24"/>
      <c r="BN5" s="23" t="s">
        <v>171</v>
      </c>
      <c r="BO5" s="22">
        <v>0</v>
      </c>
      <c r="BQ5" s="23" t="s">
        <v>212</v>
      </c>
      <c r="BR5" s="22">
        <v>0</v>
      </c>
      <c r="BT5" s="23" t="s">
        <v>212</v>
      </c>
      <c r="BU5" s="22">
        <v>1</v>
      </c>
      <c r="BW5"/>
      <c r="BX5"/>
      <c r="BY5"/>
    </row>
    <row r="6" spans="1:77" x14ac:dyDescent="0.25">
      <c r="A6" s="2"/>
      <c r="D6" s="17" t="s">
        <v>17</v>
      </c>
      <c r="E6" s="27" t="e">
        <f>MIN(#REF!)</f>
        <v>#REF!</v>
      </c>
      <c r="F6" s="26"/>
      <c r="G6" s="2"/>
      <c r="V6" s="127"/>
      <c r="W6" s="127"/>
      <c r="X6" s="128" t="s">
        <v>16</v>
      </c>
      <c r="Y6" s="129" t="s">
        <v>172</v>
      </c>
      <c r="Z6" s="130" t="str">
        <f>$Y$5&amp;" "&amp;TEXT(Y6,"#,##0")</f>
        <v>$ 31,726</v>
      </c>
      <c r="AA6" s="131"/>
      <c r="AB6" s="13"/>
      <c r="AC6" s="13"/>
      <c r="BI6" s="21"/>
      <c r="BJ6"/>
      <c r="BK6"/>
      <c r="BL6" s="24"/>
      <c r="BN6"/>
      <c r="BO6"/>
      <c r="BQ6"/>
      <c r="BR6"/>
      <c r="BT6"/>
      <c r="BU6"/>
      <c r="BW6"/>
      <c r="BX6"/>
      <c r="BY6"/>
    </row>
    <row r="7" spans="1:77" x14ac:dyDescent="0.25">
      <c r="A7" s="2"/>
      <c r="D7" s="17" t="s">
        <v>15</v>
      </c>
      <c r="E7" s="27" t="e">
        <f>MAX(#REF!)</f>
        <v>#REF!</v>
      </c>
      <c r="F7" s="26"/>
      <c r="G7" s="2"/>
      <c r="V7" s="127"/>
      <c r="W7" s="127"/>
      <c r="X7" s="128" t="s">
        <v>14</v>
      </c>
      <c r="Y7" s="129" t="s">
        <v>169</v>
      </c>
      <c r="Z7" s="130" t="str">
        <f>$Y$5&amp;" "&amp;TEXT(Y7,"#,##0")</f>
        <v>$ ,0</v>
      </c>
      <c r="AA7" s="131"/>
      <c r="AB7" s="13"/>
      <c r="AC7" s="13"/>
      <c r="BI7" s="21"/>
      <c r="BJ7"/>
      <c r="BK7"/>
      <c r="BL7" s="24"/>
      <c r="BN7"/>
      <c r="BO7"/>
      <c r="BQ7"/>
      <c r="BR7"/>
      <c r="BT7"/>
      <c r="BU7"/>
      <c r="BW7"/>
      <c r="BX7"/>
      <c r="BY7"/>
    </row>
    <row r="8" spans="1:77" x14ac:dyDescent="0.25">
      <c r="A8" s="2"/>
      <c r="D8" s="116" t="s">
        <v>13</v>
      </c>
      <c r="E8" s="19" t="e">
        <f>COUNTIFS(#REF!,"T")+COUNTIFS(#REF!,"C")</f>
        <v>#REF!</v>
      </c>
      <c r="F8" s="18"/>
      <c r="G8" s="2"/>
      <c r="V8" s="127"/>
      <c r="W8" s="127"/>
      <c r="X8" s="128" t="s">
        <v>12</v>
      </c>
      <c r="Y8" s="129" t="e">
        <f>SUMIFS(#REF!,#REF!,"T")+SUMIFS(#REF!,#REF!,"MP")</f>
        <v>#REF!</v>
      </c>
      <c r="Z8" s="129" t="e">
        <f>Y5&amp;" "&amp;TEXT(Y8,"#,##0")&amp;" spent"</f>
        <v>#REF!</v>
      </c>
      <c r="AA8" s="131"/>
      <c r="AB8" s="13"/>
      <c r="AC8" s="13"/>
      <c r="BI8" s="21"/>
      <c r="BJ8"/>
      <c r="BK8"/>
      <c r="BN8"/>
      <c r="BO8"/>
      <c r="BQ8"/>
      <c r="BR8"/>
      <c r="BT8"/>
      <c r="BU8"/>
      <c r="BW8"/>
      <c r="BX8"/>
      <c r="BY8"/>
    </row>
    <row r="9" spans="1:77" x14ac:dyDescent="0.25">
      <c r="A9" s="2"/>
      <c r="B9" s="289"/>
      <c r="C9" s="290"/>
      <c r="D9" s="17" t="s">
        <v>156</v>
      </c>
      <c r="E9" s="19" t="e">
        <f>COUNTIFS(#REF!,"T",#REF!,1)+COUNTIFS(#REF!,"C",#REF!,1)</f>
        <v>#REF!</v>
      </c>
      <c r="F9" s="18"/>
      <c r="G9" s="2"/>
      <c r="V9" s="127"/>
      <c r="W9" s="127"/>
      <c r="X9" s="128" t="s">
        <v>11</v>
      </c>
      <c r="Y9" s="133">
        <f>IFERROR(Y8/Y6,0)</f>
        <v>0</v>
      </c>
      <c r="Z9" s="133">
        <f>1-Y9</f>
        <v>1</v>
      </c>
      <c r="AA9" s="134"/>
      <c r="AB9" s="20"/>
      <c r="AC9" s="20"/>
      <c r="BJ9"/>
      <c r="BK9"/>
      <c r="BN9"/>
      <c r="BO9"/>
      <c r="BQ9"/>
      <c r="BR9"/>
      <c r="BT9"/>
      <c r="BU9"/>
      <c r="BW9"/>
      <c r="BX9"/>
      <c r="BY9"/>
    </row>
    <row r="10" spans="1:77" x14ac:dyDescent="0.25">
      <c r="A10" s="2"/>
      <c r="D10" s="17" t="s">
        <v>157</v>
      </c>
      <c r="E10" s="19" t="e">
        <f ca="1">COUNTIFS(#REF!,"T",#REF!,"&lt;"&amp;1,#REF!,"&gt;"&amp;0,#REF!,"&gt;="&amp;TODAY())+COUNTIFS(#REF!,"C",#REF!,"&lt;"&amp;1,#REF!,"&gt;"&amp;0,#REF!,"&gt;="&amp;TODAY())</f>
        <v>#REF!</v>
      </c>
      <c r="F10" s="18"/>
      <c r="G10" s="2"/>
      <c r="V10" s="127"/>
      <c r="W10" s="127"/>
      <c r="X10" s="127"/>
      <c r="Y10" s="135"/>
      <c r="Z10" s="135"/>
      <c r="AA10" s="135"/>
      <c r="AB10" s="14"/>
      <c r="AC10" s="14"/>
      <c r="BJ10"/>
      <c r="BK10"/>
      <c r="BN10"/>
      <c r="BO10"/>
      <c r="BQ10"/>
      <c r="BR10"/>
      <c r="BT10"/>
      <c r="BU10"/>
    </row>
    <row r="11" spans="1:77" x14ac:dyDescent="0.25">
      <c r="A11" s="2"/>
      <c r="D11" s="17" t="s">
        <v>158</v>
      </c>
      <c r="E11" s="19" t="e">
        <f ca="1">COUNTIFS(#REF!,"T",#REF!,0,#REF!,"&gt;="&amp;TODAY())+COUNTIFS(#REF!,"C",#REF!,0,#REF!,"&gt;="&amp;TODAY())</f>
        <v>#REF!</v>
      </c>
      <c r="F11" s="18"/>
      <c r="G11" s="2"/>
      <c r="V11" s="127"/>
      <c r="W11" s="127"/>
      <c r="X11" s="127" t="s">
        <v>164</v>
      </c>
      <c r="Y11" s="135" t="e">
        <f>SUMIFS(#REF!,#REF!,"T")+SUMIFS(#REF!,#REF!,"MP")</f>
        <v>#REF!</v>
      </c>
      <c r="Z11" s="130" t="e">
        <f>$Y$5&amp;" "&amp;TEXT(Y11,"#,##0")</f>
        <v>#REF!</v>
      </c>
      <c r="AA11" s="131"/>
      <c r="AB11" s="13"/>
      <c r="AC11" s="13"/>
      <c r="BJ11"/>
      <c r="BK11"/>
      <c r="BN11"/>
      <c r="BO11"/>
      <c r="BQ11"/>
      <c r="BR11"/>
      <c r="BT11"/>
      <c r="BU11"/>
    </row>
    <row r="12" spans="1:77" x14ac:dyDescent="0.25">
      <c r="A12" s="2"/>
      <c r="D12" s="17" t="s">
        <v>159</v>
      </c>
      <c r="E12" s="16" t="e">
        <f ca="1">COUNTIFS(#REF!,"T",#REF!,"&lt;&gt;"&amp;1,#REF!,"&lt;"&amp;TODAY())+COUNTIFS(#REF!,"C",#REF!,"&lt;&gt;"&amp;1,#REF!,"&lt;"&amp;TODAY())</f>
        <v>#REF!</v>
      </c>
      <c r="F12" s="15"/>
      <c r="G12" s="2"/>
      <c r="V12" s="127"/>
      <c r="W12" s="127"/>
      <c r="X12" s="127" t="s">
        <v>163</v>
      </c>
      <c r="Y12" s="135" t="e">
        <f>SUMIFS(#REF!,#REF!,"T")+SUMIFS(#REF!,#REF!,"MP")</f>
        <v>#REF!</v>
      </c>
      <c r="Z12" s="130" t="e">
        <f>$Y$5&amp;" "&amp;TEXT(Y12,"#,##0")</f>
        <v>#REF!</v>
      </c>
      <c r="AA12" s="131"/>
      <c r="AB12" s="13"/>
      <c r="AC12" s="13"/>
      <c r="BJ12"/>
      <c r="BK12"/>
      <c r="BN12"/>
      <c r="BO12"/>
      <c r="BQ12"/>
      <c r="BR12"/>
      <c r="BT12"/>
      <c r="BU12"/>
    </row>
    <row r="13" spans="1:77" ht="5.25" customHeight="1" x14ac:dyDescent="0.25">
      <c r="A13" s="2"/>
      <c r="B13" s="121"/>
      <c r="C13" s="122"/>
      <c r="D13" s="123"/>
      <c r="E13" s="2"/>
      <c r="F13" s="2"/>
      <c r="G13" s="2"/>
      <c r="V13" s="127"/>
      <c r="W13" s="127"/>
      <c r="X13" s="127" t="s">
        <v>162</v>
      </c>
      <c r="Y13" s="135" t="e">
        <f>SUMIFS(#REF!,#REF!,"T")+SUMIFS(#REF!,#REF!,"MP")</f>
        <v>#REF!</v>
      </c>
      <c r="Z13" s="130" t="e">
        <f>$Y$5&amp;" "&amp;TEXT(Y13,"#,##0")</f>
        <v>#REF!</v>
      </c>
      <c r="AA13" s="131"/>
      <c r="AB13" s="13"/>
      <c r="AC13" s="13"/>
      <c r="BJ13"/>
      <c r="BK13"/>
      <c r="BN13"/>
      <c r="BO13"/>
      <c r="BQ13"/>
      <c r="BR13"/>
      <c r="BT13"/>
      <c r="BU13"/>
    </row>
    <row r="14" spans="1:77" x14ac:dyDescent="0.25">
      <c r="A14" s="2"/>
      <c r="B14" s="291" t="s">
        <v>10</v>
      </c>
      <c r="C14" s="291"/>
      <c r="D14" s="291"/>
      <c r="E14" s="291"/>
      <c r="F14" s="291"/>
      <c r="G14" s="2"/>
      <c r="V14" s="127"/>
      <c r="W14" s="127"/>
      <c r="X14" s="127"/>
      <c r="Y14" s="135"/>
      <c r="Z14" s="131"/>
      <c r="AA14" s="131"/>
      <c r="AB14" s="13"/>
      <c r="AC14" s="13"/>
      <c r="BJ14"/>
      <c r="BK14"/>
      <c r="BN14"/>
      <c r="BO14"/>
      <c r="BQ14"/>
      <c r="BR14"/>
      <c r="BT14"/>
      <c r="BU14"/>
    </row>
    <row r="15" spans="1:77" s="117" customFormat="1" ht="15" customHeight="1" x14ac:dyDescent="0.25">
      <c r="A15" s="2"/>
      <c r="B15" s="51"/>
      <c r="C15" s="51"/>
      <c r="D15" s="51"/>
      <c r="E15" s="51"/>
      <c r="F15" s="51"/>
      <c r="G15" s="2"/>
      <c r="H15" s="51"/>
      <c r="V15" s="127"/>
      <c r="W15" s="127"/>
      <c r="X15" s="127"/>
      <c r="Y15" s="127"/>
      <c r="Z15" s="127"/>
      <c r="AA15" s="127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2"/>
      <c r="AP15" s="10"/>
      <c r="AQ15" s="10"/>
      <c r="AR15" s="10"/>
      <c r="AS15" s="10"/>
      <c r="AT15" s="10"/>
      <c r="AU15" s="10"/>
      <c r="AV15" s="10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8"/>
      <c r="BH15" s="118"/>
      <c r="BJ15"/>
      <c r="BK15"/>
      <c r="BN15"/>
      <c r="BO15"/>
      <c r="BQ15" s="51"/>
      <c r="BR15" s="51"/>
      <c r="BT15" s="51"/>
      <c r="BU15" s="51"/>
    </row>
    <row r="16" spans="1:77" x14ac:dyDescent="0.25">
      <c r="A16" s="2"/>
      <c r="G16" s="2"/>
      <c r="V16" s="127"/>
      <c r="W16" s="127"/>
      <c r="X16" s="127" t="str">
        <f ca="1">SUM(INDIRECT("'Project Dashboard'!E10:E12"))&amp;" Tasks Left"</f>
        <v>1 Tasks Left</v>
      </c>
      <c r="Y16" s="127"/>
      <c r="Z16" s="127"/>
      <c r="AA16" s="127"/>
      <c r="BJ16"/>
      <c r="BK16"/>
      <c r="BN16"/>
      <c r="BO16"/>
    </row>
    <row r="17" spans="1:67" ht="21" customHeight="1" x14ac:dyDescent="0.25">
      <c r="A17" s="2"/>
      <c r="G17" s="2"/>
      <c r="BJ17"/>
      <c r="BK17"/>
      <c r="BN17"/>
      <c r="BO17"/>
    </row>
    <row r="18" spans="1:67" ht="4.5" customHeight="1" x14ac:dyDescent="0.25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25">
      <c r="A19" s="2"/>
      <c r="G19" s="2"/>
      <c r="BJ19"/>
      <c r="BK19"/>
      <c r="BN19"/>
      <c r="BO19"/>
    </row>
    <row r="20" spans="1:67" x14ac:dyDescent="0.25">
      <c r="A20" s="2"/>
      <c r="B20" s="120" t="s">
        <v>160</v>
      </c>
      <c r="D20" s="126" t="s">
        <v>161</v>
      </c>
      <c r="G20" s="2"/>
      <c r="X20"/>
      <c r="Y20"/>
      <c r="Z20"/>
      <c r="BJ20"/>
      <c r="BK20"/>
      <c r="BN20"/>
      <c r="BO20"/>
    </row>
    <row r="21" spans="1:67" x14ac:dyDescent="0.25">
      <c r="A21" s="2"/>
      <c r="G21" s="2"/>
      <c r="X21"/>
      <c r="Y21"/>
      <c r="Z21"/>
      <c r="BJ21"/>
      <c r="BK21"/>
      <c r="BN21"/>
      <c r="BO21"/>
    </row>
    <row r="22" spans="1:67" x14ac:dyDescent="0.25">
      <c r="A22" s="2"/>
      <c r="G22" s="2"/>
      <c r="X22"/>
      <c r="Y22"/>
      <c r="Z22"/>
      <c r="BJ22"/>
      <c r="BK22"/>
      <c r="BN22"/>
      <c r="BO22"/>
    </row>
    <row r="23" spans="1:67" x14ac:dyDescent="0.25">
      <c r="A23" s="2"/>
      <c r="G23" s="2"/>
      <c r="X23"/>
      <c r="Y23"/>
      <c r="Z23"/>
      <c r="BJ23"/>
      <c r="BK23"/>
      <c r="BN23"/>
      <c r="BO23"/>
    </row>
    <row r="24" spans="1:67" x14ac:dyDescent="0.25">
      <c r="A24" s="2"/>
      <c r="G24" s="2"/>
      <c r="BJ24"/>
      <c r="BK24"/>
      <c r="BN24"/>
      <c r="BO24"/>
    </row>
    <row r="25" spans="1:67" x14ac:dyDescent="0.25">
      <c r="A25" s="2"/>
      <c r="G25" s="2"/>
      <c r="BJ25"/>
      <c r="BK25"/>
      <c r="BN25"/>
      <c r="BO25"/>
    </row>
    <row r="26" spans="1:67" s="117" customFormat="1" ht="15" customHeight="1" x14ac:dyDescent="0.25">
      <c r="A26" s="2"/>
      <c r="B26"/>
      <c r="C26"/>
      <c r="D26"/>
      <c r="E26"/>
      <c r="F26"/>
      <c r="G26" s="2"/>
      <c r="H26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2"/>
      <c r="AP26" s="10"/>
      <c r="AQ26" s="10"/>
      <c r="AR26" s="10"/>
      <c r="AS26" s="10"/>
      <c r="AT26" s="10"/>
      <c r="AU26" s="10"/>
      <c r="AV26" s="10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8"/>
      <c r="BH26" s="118"/>
      <c r="BJ26"/>
      <c r="BK26"/>
      <c r="BN26"/>
      <c r="BO26"/>
    </row>
    <row r="27" spans="1:67" x14ac:dyDescent="0.25">
      <c r="A27" s="2"/>
      <c r="B27" s="51"/>
      <c r="C27" s="51"/>
      <c r="D27" s="51"/>
      <c r="E27" s="51"/>
      <c r="F27" s="51"/>
      <c r="G27" s="2"/>
      <c r="H27" s="51"/>
      <c r="BJ27"/>
      <c r="BK27"/>
      <c r="BN27"/>
      <c r="BO27"/>
    </row>
    <row r="28" spans="1:67" x14ac:dyDescent="0.25">
      <c r="A28" s="2"/>
      <c r="G28" s="2"/>
      <c r="BJ28"/>
      <c r="BK28"/>
      <c r="BN28"/>
      <c r="BO28"/>
    </row>
    <row r="29" spans="1:67" x14ac:dyDescent="0.25">
      <c r="A29" s="2"/>
      <c r="G29" s="2"/>
      <c r="BJ29"/>
      <c r="BK29"/>
      <c r="BN29"/>
      <c r="BO29"/>
    </row>
    <row r="30" spans="1:67" x14ac:dyDescent="0.25">
      <c r="A30" s="2"/>
      <c r="G30" s="2"/>
      <c r="BJ30"/>
      <c r="BK30"/>
      <c r="BN30"/>
      <c r="BO30"/>
    </row>
    <row r="31" spans="1:67" x14ac:dyDescent="0.25">
      <c r="A31" s="2"/>
      <c r="G31" s="2"/>
      <c r="BJ31"/>
      <c r="BK31"/>
      <c r="BN31"/>
      <c r="BO31"/>
    </row>
    <row r="32" spans="1:67" x14ac:dyDescent="0.25">
      <c r="A32" s="2"/>
      <c r="G32" s="2"/>
      <c r="BJ32"/>
      <c r="BK32"/>
      <c r="BN32"/>
      <c r="BO32"/>
    </row>
    <row r="33" spans="1:67" x14ac:dyDescent="0.25">
      <c r="A33" s="2"/>
      <c r="G33" s="2"/>
      <c r="BJ33"/>
      <c r="BK33"/>
      <c r="BN33"/>
      <c r="BO33"/>
    </row>
    <row r="34" spans="1:67" ht="15" customHeight="1" x14ac:dyDescent="0.25">
      <c r="A34" s="2"/>
      <c r="B34" s="51"/>
      <c r="C34" s="51"/>
      <c r="D34" s="51"/>
      <c r="E34" s="51"/>
      <c r="F34" s="51"/>
      <c r="G34" s="2"/>
      <c r="BJ34"/>
      <c r="BK34"/>
      <c r="BN34"/>
      <c r="BO34"/>
    </row>
    <row r="35" spans="1:67" ht="15" customHeight="1" x14ac:dyDescent="0.25">
      <c r="A35" s="2"/>
      <c r="B35" s="51"/>
      <c r="C35" s="51"/>
      <c r="D35" s="51"/>
      <c r="E35" s="51"/>
      <c r="F35" s="51"/>
      <c r="G35" s="2"/>
      <c r="BJ35"/>
      <c r="BK35"/>
      <c r="BN35"/>
      <c r="BO35"/>
    </row>
    <row r="36" spans="1:67" ht="5.0999999999999996" customHeight="1" x14ac:dyDescent="0.25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25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25">
      <c r="A38" s="2"/>
      <c r="G38" s="2"/>
      <c r="BJ38"/>
      <c r="BK38"/>
      <c r="BN38"/>
      <c r="BO38"/>
    </row>
    <row r="39" spans="1:67" x14ac:dyDescent="0.25">
      <c r="A39" s="2"/>
      <c r="G39" s="2"/>
      <c r="BJ39"/>
      <c r="BK39"/>
      <c r="BN39"/>
      <c r="BO39"/>
    </row>
    <row r="40" spans="1:67" x14ac:dyDescent="0.25">
      <c r="A40" s="2"/>
      <c r="G40" s="2"/>
      <c r="BJ40"/>
      <c r="BK40"/>
      <c r="BN40"/>
      <c r="BO40"/>
    </row>
    <row r="41" spans="1:67" x14ac:dyDescent="0.25">
      <c r="A41" s="2"/>
      <c r="G41" s="2"/>
      <c r="BJ41"/>
      <c r="BK41"/>
      <c r="BN41"/>
      <c r="BO41"/>
    </row>
    <row r="42" spans="1:67" x14ac:dyDescent="0.25">
      <c r="A42" s="2"/>
      <c r="G42" s="2"/>
      <c r="BJ42"/>
      <c r="BK42"/>
      <c r="BN42"/>
      <c r="BO42"/>
    </row>
    <row r="43" spans="1:67" x14ac:dyDescent="0.25">
      <c r="A43" s="2"/>
      <c r="G43" s="2"/>
      <c r="BJ43"/>
      <c r="BK43"/>
      <c r="BN43"/>
      <c r="BO43"/>
    </row>
    <row r="44" spans="1:67" x14ac:dyDescent="0.25">
      <c r="A44" s="2"/>
      <c r="G44" s="2"/>
    </row>
    <row r="45" spans="1:67" x14ac:dyDescent="0.25">
      <c r="A45" s="2"/>
      <c r="G45" s="2"/>
    </row>
    <row r="46" spans="1:67" x14ac:dyDescent="0.25">
      <c r="A46" s="2"/>
      <c r="G46" s="2"/>
    </row>
    <row r="47" spans="1:67" x14ac:dyDescent="0.25">
      <c r="A47" s="2"/>
      <c r="G47" s="2"/>
    </row>
    <row r="48" spans="1:67" x14ac:dyDescent="0.25">
      <c r="A48" s="2"/>
      <c r="G48" s="2"/>
    </row>
    <row r="49" spans="1:7" x14ac:dyDescent="0.25">
      <c r="A49" s="2"/>
      <c r="G49" s="2"/>
    </row>
    <row r="50" spans="1:7" x14ac:dyDescent="0.25">
      <c r="A50" s="2"/>
      <c r="G50" s="2"/>
    </row>
    <row r="51" spans="1:7" x14ac:dyDescent="0.25">
      <c r="A51" s="2"/>
      <c r="G51" s="2"/>
    </row>
    <row r="52" spans="1:7" x14ac:dyDescent="0.25">
      <c r="A52" s="2"/>
      <c r="G52" s="2"/>
    </row>
    <row r="53" spans="1:7" x14ac:dyDescent="0.25">
      <c r="A53" s="2"/>
      <c r="G53" s="2"/>
    </row>
    <row r="54" spans="1:7" x14ac:dyDescent="0.25">
      <c r="A54" s="2"/>
      <c r="G54" s="2"/>
    </row>
    <row r="55" spans="1:7" x14ac:dyDescent="0.25">
      <c r="A55" s="2"/>
      <c r="G55" s="2"/>
    </row>
    <row r="56" spans="1:7" x14ac:dyDescent="0.25">
      <c r="A56" s="2"/>
      <c r="G56" s="2"/>
    </row>
    <row r="57" spans="1:7" x14ac:dyDescent="0.25">
      <c r="A57" s="2"/>
      <c r="G57" s="2"/>
    </row>
    <row r="58" spans="1:7" x14ac:dyDescent="0.25">
      <c r="A58" s="2"/>
      <c r="G58" s="2"/>
    </row>
    <row r="59" spans="1:7" x14ac:dyDescent="0.25">
      <c r="A59" s="2"/>
      <c r="G59" s="2"/>
    </row>
    <row r="60" spans="1:7" x14ac:dyDescent="0.25">
      <c r="A60" s="2"/>
      <c r="G60" s="2"/>
    </row>
    <row r="61" spans="1:7" x14ac:dyDescent="0.25">
      <c r="A61" s="2"/>
      <c r="G61" s="2"/>
    </row>
    <row r="62" spans="1:7" x14ac:dyDescent="0.25">
      <c r="A62" s="2"/>
      <c r="G62" s="2"/>
    </row>
    <row r="63" spans="1:7" x14ac:dyDescent="0.25">
      <c r="A63" s="2"/>
      <c r="G63" s="2"/>
    </row>
    <row r="64" spans="1:7" x14ac:dyDescent="0.25">
      <c r="A64" s="2"/>
      <c r="G64" s="2"/>
    </row>
    <row r="65" spans="1:7" x14ac:dyDescent="0.25">
      <c r="A65" s="2"/>
      <c r="G65" s="2"/>
    </row>
    <row r="66" spans="1:7" ht="21.75" customHeight="1" x14ac:dyDescent="0.25">
      <c r="A66" s="2"/>
      <c r="G66" s="2"/>
    </row>
    <row r="67" spans="1:7" ht="5.25" customHeight="1" x14ac:dyDescent="0.25">
      <c r="A67" s="2"/>
      <c r="G67" s="2"/>
    </row>
    <row r="68" spans="1:7" x14ac:dyDescent="0.25">
      <c r="A68" s="2"/>
      <c r="G68" s="2"/>
    </row>
    <row r="69" spans="1:7" x14ac:dyDescent="0.25">
      <c r="A69" s="2"/>
      <c r="B69" s="2"/>
      <c r="C69" s="2"/>
      <c r="D69" s="2"/>
      <c r="E69" s="2"/>
      <c r="F69" s="2"/>
      <c r="G69" s="2"/>
    </row>
    <row r="86" spans="7:7" ht="4.1500000000000004" customHeight="1" x14ac:dyDescent="0.25"/>
    <row r="89" spans="7:7" x14ac:dyDescent="0.25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36" priority="2" operator="greaterThan">
      <formula>0</formula>
    </cfRule>
  </conditionalFormatting>
  <dataValidations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133350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VTB34"/>
  <sheetViews>
    <sheetView showGridLines="0" showRowColHeaders="0" topLeftCell="G6" workbookViewId="0">
      <selection activeCell="G6" sqref="G6"/>
    </sheetView>
  </sheetViews>
  <sheetFormatPr baseColWidth="10" defaultColWidth="0" defaultRowHeight="16.149999999999999" customHeight="1" x14ac:dyDescent="0.2"/>
  <cols>
    <col min="1" max="1" width="5.28515625" style="52" hidden="1" customWidth="1"/>
    <col min="2" max="2" width="3.140625" style="52" hidden="1" customWidth="1"/>
    <col min="3" max="3" width="11.28515625" style="52" hidden="1" customWidth="1"/>
    <col min="4" max="4" width="11" style="52" hidden="1" customWidth="1"/>
    <col min="5" max="5" width="13" style="52" hidden="1" customWidth="1"/>
    <col min="6" max="6" width="12.28515625" style="52" hidden="1" customWidth="1"/>
    <col min="7" max="7" width="4.140625" style="59" customWidth="1"/>
    <col min="8" max="8" width="40.28515625" style="58" customWidth="1"/>
    <col min="9" max="9" width="17.28515625" style="58" customWidth="1"/>
    <col min="10" max="10" width="10.85546875" style="189" hidden="1" customWidth="1"/>
    <col min="11" max="12" width="14.7109375" style="57" hidden="1" customWidth="1"/>
    <col min="13" max="13" width="10.28515625" style="56" hidden="1" customWidth="1"/>
    <col min="14" max="15" width="14.7109375" style="170" customWidth="1"/>
    <col min="16" max="16" width="8.85546875" style="183" customWidth="1"/>
    <col min="17" max="17" width="8.7109375" style="178" customWidth="1"/>
    <col min="18" max="19" width="14.7109375" style="57" hidden="1" customWidth="1"/>
    <col min="20" max="20" width="8.7109375" style="56" hidden="1" customWidth="1"/>
    <col min="21" max="23" width="7" style="186" hidden="1" customWidth="1"/>
    <col min="24" max="24" width="14.28515625" style="55" hidden="1" customWidth="1"/>
    <col min="25" max="25" width="7.28515625" style="55" hidden="1" customWidth="1"/>
    <col min="26" max="26" width="6.28515625" style="55" hidden="1" customWidth="1"/>
    <col min="27" max="27" width="6.85546875" style="55" hidden="1" customWidth="1"/>
    <col min="28" max="28" width="6" style="55" hidden="1" customWidth="1"/>
    <col min="29" max="84" width="2.28515625" style="54" customWidth="1"/>
    <col min="85" max="85" width="9" style="53" hidden="1" customWidth="1"/>
    <col min="86" max="16384" width="9" style="52" hidden="1"/>
  </cols>
  <sheetData>
    <row r="1" spans="1:2129 15008:15070 15386:15394" ht="15" hidden="1" x14ac:dyDescent="0.25">
      <c r="A1" s="52" t="s">
        <v>27</v>
      </c>
      <c r="B1" s="52" t="s">
        <v>86</v>
      </c>
      <c r="C1" t="s">
        <v>85</v>
      </c>
      <c r="D1" s="52" t="s">
        <v>84</v>
      </c>
      <c r="E1" s="52" t="s">
        <v>83</v>
      </c>
      <c r="F1" s="52" t="s">
        <v>82</v>
      </c>
      <c r="G1" s="107" t="s">
        <v>54</v>
      </c>
      <c r="H1" s="106" t="s">
        <v>53</v>
      </c>
      <c r="I1" s="105" t="s">
        <v>52</v>
      </c>
      <c r="J1" s="103" t="s">
        <v>51</v>
      </c>
      <c r="K1" s="105" t="s">
        <v>50</v>
      </c>
      <c r="L1" s="104" t="s">
        <v>49</v>
      </c>
      <c r="M1" s="103" t="s">
        <v>48</v>
      </c>
      <c r="N1" s="166" t="s">
        <v>47</v>
      </c>
      <c r="O1" s="166" t="s">
        <v>45</v>
      </c>
      <c r="P1" s="179" t="s">
        <v>43</v>
      </c>
      <c r="Q1" s="171" t="s">
        <v>42</v>
      </c>
      <c r="R1" s="104" t="s">
        <v>46</v>
      </c>
      <c r="S1" s="104" t="s">
        <v>44</v>
      </c>
      <c r="T1" s="103" t="s">
        <v>41</v>
      </c>
      <c r="U1" s="191" t="s">
        <v>40</v>
      </c>
      <c r="V1" s="191" t="s">
        <v>39</v>
      </c>
      <c r="W1" s="191" t="s">
        <v>38</v>
      </c>
      <c r="X1" s="102" t="s">
        <v>37</v>
      </c>
      <c r="Y1" s="40" t="s">
        <v>155</v>
      </c>
      <c r="Z1" s="40" t="s">
        <v>154</v>
      </c>
      <c r="AA1" s="40" t="s">
        <v>180</v>
      </c>
      <c r="AB1" s="40" t="s">
        <v>181</v>
      </c>
      <c r="AC1" s="54" t="s">
        <v>153</v>
      </c>
      <c r="CF1" s="54" t="s">
        <v>152</v>
      </c>
      <c r="CCW1" s="52" t="s">
        <v>151</v>
      </c>
      <c r="VEF1" s="52" t="s">
        <v>150</v>
      </c>
      <c r="VEG1" s="52" t="s">
        <v>14</v>
      </c>
      <c r="VEH1" s="52" t="s">
        <v>16</v>
      </c>
      <c r="VEI1" s="52" t="s">
        <v>149</v>
      </c>
      <c r="VEJ1" s="52" t="s">
        <v>148</v>
      </c>
      <c r="VEK1" s="52" t="s">
        <v>147</v>
      </c>
      <c r="VEL1" s="52" t="s">
        <v>146</v>
      </c>
      <c r="VEM1" s="52" t="s">
        <v>145</v>
      </c>
      <c r="VEN1" s="52" t="s">
        <v>144</v>
      </c>
      <c r="VEO1" s="52" t="s">
        <v>143</v>
      </c>
      <c r="VEP1" s="52" t="s">
        <v>192</v>
      </c>
      <c r="VEQ1" s="52" t="s">
        <v>193</v>
      </c>
      <c r="VER1" s="52" t="s">
        <v>182</v>
      </c>
      <c r="VES1" s="52" t="s">
        <v>183</v>
      </c>
      <c r="VET1" s="52" t="s">
        <v>142</v>
      </c>
      <c r="VEU1" s="52" t="s">
        <v>141</v>
      </c>
      <c r="VEV1" s="52" t="s">
        <v>140</v>
      </c>
      <c r="VEW1" s="52" t="s">
        <v>139</v>
      </c>
      <c r="VEX1" s="52" t="s">
        <v>138</v>
      </c>
      <c r="VEY1" s="52" t="s">
        <v>137</v>
      </c>
      <c r="VEZ1" s="52" t="s">
        <v>136</v>
      </c>
      <c r="VFA1" s="52" t="s">
        <v>135</v>
      </c>
      <c r="VFB1" s="52" t="s">
        <v>134</v>
      </c>
      <c r="VFC1" s="52" t="s">
        <v>133</v>
      </c>
      <c r="VFD1" s="52" t="s">
        <v>132</v>
      </c>
      <c r="VFE1" s="52" t="s">
        <v>131</v>
      </c>
      <c r="VFF1" s="52" t="s">
        <v>130</v>
      </c>
      <c r="VFG1" s="52" t="s">
        <v>129</v>
      </c>
      <c r="VFH1" s="52" t="s">
        <v>128</v>
      </c>
      <c r="VFI1" s="52" t="s">
        <v>127</v>
      </c>
      <c r="VFJ1" s="52" t="s">
        <v>126</v>
      </c>
      <c r="VFK1" s="52" t="s">
        <v>125</v>
      </c>
      <c r="VFL1" s="52" t="s">
        <v>124</v>
      </c>
      <c r="VFM1" s="52" t="s">
        <v>176</v>
      </c>
      <c r="VFN1" s="52" t="s">
        <v>123</v>
      </c>
      <c r="VFO1" s="52" t="s">
        <v>122</v>
      </c>
      <c r="VFP1" s="52" t="s">
        <v>121</v>
      </c>
      <c r="VFQ1" s="52" t="s">
        <v>120</v>
      </c>
      <c r="VFR1" s="52" t="s">
        <v>119</v>
      </c>
      <c r="VFS1" s="52" t="s">
        <v>118</v>
      </c>
      <c r="VFT1" s="52" t="s">
        <v>117</v>
      </c>
      <c r="VFU1" s="52" t="s">
        <v>116</v>
      </c>
      <c r="VFV1" s="52" t="s">
        <v>115</v>
      </c>
      <c r="VFW1" s="52" t="s">
        <v>114</v>
      </c>
      <c r="VFX1" s="52" t="s">
        <v>113</v>
      </c>
      <c r="VFY1" s="52" t="s">
        <v>112</v>
      </c>
      <c r="VFZ1" s="52" t="s">
        <v>111</v>
      </c>
      <c r="VGA1" s="52" t="s">
        <v>110</v>
      </c>
      <c r="VGB1" s="52" t="s">
        <v>109</v>
      </c>
      <c r="VGC1" s="52" t="s">
        <v>108</v>
      </c>
      <c r="VGD1" s="52" t="s">
        <v>107</v>
      </c>
      <c r="VGE1" s="52" t="s">
        <v>106</v>
      </c>
      <c r="VGF1" s="52" t="s">
        <v>105</v>
      </c>
      <c r="VGG1" s="52" t="s">
        <v>104</v>
      </c>
      <c r="VGH1" s="52" t="s">
        <v>103</v>
      </c>
      <c r="VGI1" s="52" t="s">
        <v>102</v>
      </c>
      <c r="VGJ1" s="52" t="s">
        <v>101</v>
      </c>
      <c r="VGK1" s="52" t="s">
        <v>166</v>
      </c>
      <c r="VGL1" s="52" t="s">
        <v>167</v>
      </c>
      <c r="VGM1" s="52" t="s">
        <v>168</v>
      </c>
      <c r="VGN1" s="52" t="s">
        <v>175</v>
      </c>
      <c r="VGO1" s="52" t="s">
        <v>186</v>
      </c>
      <c r="VGP1" s="52" t="s">
        <v>187</v>
      </c>
    </row>
    <row r="2" spans="1:2129 15008:15070 15386:15394" ht="12.75" hidden="1" x14ac:dyDescent="0.2">
      <c r="A2" s="115" t="s">
        <v>100</v>
      </c>
      <c r="B2" s="115" t="s">
        <v>100</v>
      </c>
      <c r="C2" s="115" t="s">
        <v>100</v>
      </c>
      <c r="D2" s="115" t="s">
        <v>100</v>
      </c>
      <c r="E2" s="115" t="s">
        <v>100</v>
      </c>
      <c r="F2" s="115" t="s">
        <v>100</v>
      </c>
      <c r="G2" s="107" t="s">
        <v>100</v>
      </c>
      <c r="H2" s="106" t="s">
        <v>100</v>
      </c>
      <c r="I2" s="105" t="s">
        <v>100</v>
      </c>
      <c r="J2" s="103" t="s">
        <v>100</v>
      </c>
      <c r="K2" s="105" t="s">
        <v>100</v>
      </c>
      <c r="L2" s="104" t="s">
        <v>100</v>
      </c>
      <c r="M2" s="103" t="s">
        <v>100</v>
      </c>
      <c r="N2" s="166" t="s">
        <v>100</v>
      </c>
      <c r="O2" s="166" t="s">
        <v>100</v>
      </c>
      <c r="P2" s="179" t="s">
        <v>100</v>
      </c>
      <c r="Q2" s="172" t="s">
        <v>100</v>
      </c>
      <c r="R2" s="104" t="s">
        <v>100</v>
      </c>
      <c r="S2" s="104" t="s">
        <v>100</v>
      </c>
      <c r="T2" s="103" t="s">
        <v>100</v>
      </c>
      <c r="U2" s="179" t="s">
        <v>100</v>
      </c>
      <c r="V2" s="179" t="s">
        <v>100</v>
      </c>
      <c r="W2" s="179" t="s">
        <v>100</v>
      </c>
      <c r="X2" s="114" t="s">
        <v>100</v>
      </c>
      <c r="Y2" s="141" t="s">
        <v>100</v>
      </c>
      <c r="Z2" s="141" t="s">
        <v>100</v>
      </c>
      <c r="AA2" s="141" t="s">
        <v>100</v>
      </c>
      <c r="AB2" s="141" t="s">
        <v>100</v>
      </c>
      <c r="VEF2" s="110" t="b">
        <v>1</v>
      </c>
      <c r="VEG2" s="110"/>
      <c r="VEH2" s="110"/>
      <c r="VEI2" s="110"/>
      <c r="VEJ2" s="110">
        <v>0</v>
      </c>
      <c r="VEK2" s="113">
        <v>2158758</v>
      </c>
      <c r="VEL2" s="113">
        <v>9041872</v>
      </c>
      <c r="VEM2" s="113">
        <v>15773696</v>
      </c>
      <c r="VEN2" s="113">
        <v>10086143</v>
      </c>
      <c r="VEO2" s="110">
        <v>15773696</v>
      </c>
      <c r="VEP2" s="110">
        <v>255</v>
      </c>
      <c r="VEQ2" s="110">
        <v>0</v>
      </c>
      <c r="VER2" s="110">
        <v>0</v>
      </c>
      <c r="VES2" s="110">
        <v>0</v>
      </c>
      <c r="VET2" s="110" t="s">
        <v>18</v>
      </c>
      <c r="VEU2" s="112"/>
      <c r="VEV2" s="112"/>
      <c r="VEW2" s="112"/>
      <c r="VEX2" s="112"/>
      <c r="VEY2" s="110">
        <v>1</v>
      </c>
      <c r="VEZ2" s="110" t="s">
        <v>99</v>
      </c>
      <c r="VFA2" s="110">
        <v>1</v>
      </c>
      <c r="VFB2" s="110">
        <v>1</v>
      </c>
      <c r="VFC2" s="110">
        <v>1</v>
      </c>
      <c r="VFD2" s="110">
        <v>1</v>
      </c>
      <c r="VFE2" s="110"/>
      <c r="VFF2" s="110">
        <v>1</v>
      </c>
      <c r="VFG2" s="110">
        <v>1</v>
      </c>
      <c r="VFH2" s="110">
        <v>1</v>
      </c>
      <c r="VFI2" s="110">
        <v>1</v>
      </c>
      <c r="VFJ2" s="110">
        <v>1</v>
      </c>
      <c r="VFK2" s="110"/>
      <c r="VFL2" s="110">
        <v>1</v>
      </c>
      <c r="VFM2" s="52" t="s">
        <v>177</v>
      </c>
      <c r="VFN2" s="110">
        <v>1</v>
      </c>
      <c r="VFO2" s="111">
        <v>16</v>
      </c>
      <c r="VFP2" s="110">
        <v>0</v>
      </c>
      <c r="VFQ2" s="52">
        <v>1</v>
      </c>
      <c r="VFR2" s="52">
        <v>1</v>
      </c>
      <c r="VFS2" s="52" t="s">
        <v>195</v>
      </c>
      <c r="VFT2" s="52">
        <v>8</v>
      </c>
      <c r="VFU2" s="52">
        <v>0</v>
      </c>
      <c r="VFV2" s="52" t="s">
        <v>98</v>
      </c>
      <c r="VFW2" s="52">
        <v>1</v>
      </c>
      <c r="VFX2" s="52">
        <v>1</v>
      </c>
      <c r="VFY2" s="52">
        <v>0</v>
      </c>
      <c r="VFZ2" s="109" t="s">
        <v>198</v>
      </c>
      <c r="VGA2" s="109" t="s">
        <v>197</v>
      </c>
      <c r="VGB2" s="109" t="s">
        <v>196</v>
      </c>
      <c r="VGD2" s="52">
        <v>0</v>
      </c>
      <c r="VGE2" s="52">
        <v>25</v>
      </c>
      <c r="VGF2" s="52">
        <v>10</v>
      </c>
      <c r="VGG2" s="52" t="s">
        <v>53</v>
      </c>
      <c r="VGH2" s="52">
        <v>0</v>
      </c>
      <c r="VGI2" s="52">
        <v>0</v>
      </c>
      <c r="VGJ2" s="52">
        <v>0</v>
      </c>
      <c r="VGK2" s="52">
        <v>12566463</v>
      </c>
      <c r="VGL2" s="52">
        <v>16777164</v>
      </c>
      <c r="VGM2" s="77" t="s">
        <v>199</v>
      </c>
      <c r="VGN2" s="52" t="s">
        <v>200</v>
      </c>
      <c r="VGO2" s="52" t="s">
        <v>188</v>
      </c>
      <c r="VGP2" s="52" t="s">
        <v>189</v>
      </c>
    </row>
    <row r="3" spans="1:2129 15008:15070 15386:15394" ht="12.75" hidden="1" x14ac:dyDescent="0.2">
      <c r="A3" s="110"/>
      <c r="G3" s="107"/>
      <c r="H3" s="106"/>
      <c r="I3" s="105"/>
      <c r="J3" s="103"/>
      <c r="K3" s="105"/>
      <c r="L3" s="104"/>
      <c r="M3" s="103"/>
      <c r="N3" s="166"/>
      <c r="O3" s="166"/>
      <c r="P3" s="179"/>
      <c r="Q3" s="171"/>
      <c r="R3" s="104"/>
      <c r="S3" s="104"/>
      <c r="T3" s="103"/>
      <c r="U3" s="191"/>
      <c r="V3" s="191"/>
      <c r="W3" s="191"/>
      <c r="X3" s="102"/>
      <c r="Y3" s="40"/>
      <c r="Z3" s="40"/>
      <c r="AA3" s="40"/>
      <c r="AB3" s="40"/>
      <c r="VEU3" s="108"/>
    </row>
    <row r="4" spans="1:2129 15008:15070 15386:15394" ht="12.75" hidden="1" x14ac:dyDescent="0.2">
      <c r="G4" s="107"/>
      <c r="H4" s="106"/>
      <c r="I4" s="105"/>
      <c r="J4" s="103"/>
      <c r="K4" s="105"/>
      <c r="L4" s="104"/>
      <c r="M4" s="103"/>
      <c r="N4" s="166"/>
      <c r="O4" s="166"/>
      <c r="P4" s="179"/>
      <c r="Q4" s="171"/>
      <c r="R4" s="104"/>
      <c r="S4" s="104"/>
      <c r="T4" s="103"/>
      <c r="U4" s="191"/>
      <c r="V4" s="191"/>
      <c r="W4" s="191"/>
      <c r="X4" s="102"/>
      <c r="Y4" s="40"/>
      <c r="Z4" s="40"/>
      <c r="AA4" s="40"/>
      <c r="AB4" s="40"/>
    </row>
    <row r="5" spans="1:2129 15008:15070 15386:15394" ht="12.75" hidden="1" x14ac:dyDescent="0.2">
      <c r="G5" s="107"/>
      <c r="H5" s="106"/>
      <c r="I5" s="105"/>
      <c r="J5" s="103"/>
      <c r="K5" s="105"/>
      <c r="L5" s="104"/>
      <c r="M5" s="103"/>
      <c r="N5" s="166"/>
      <c r="O5" s="166"/>
      <c r="P5" s="179"/>
      <c r="Q5" s="171"/>
      <c r="R5" s="104"/>
      <c r="S5" s="104"/>
      <c r="T5" s="103"/>
      <c r="U5" s="191"/>
      <c r="V5" s="191"/>
      <c r="W5" s="191"/>
      <c r="X5" s="102"/>
      <c r="Y5" s="40"/>
      <c r="Z5" s="40"/>
      <c r="AA5" s="40"/>
      <c r="AB5" s="40"/>
    </row>
    <row r="6" spans="1:2129 15008:15070 15386:15394" ht="20.25" customHeight="1" x14ac:dyDescent="0.2">
      <c r="G6" s="194" t="s">
        <v>97</v>
      </c>
      <c r="H6" s="99"/>
      <c r="I6" s="99"/>
      <c r="J6" s="101"/>
      <c r="K6" s="99"/>
      <c r="L6" s="99"/>
      <c r="M6" s="101"/>
      <c r="N6" s="100"/>
      <c r="O6" s="100"/>
      <c r="P6" s="180"/>
      <c r="Q6" s="173"/>
      <c r="R6" s="99"/>
      <c r="S6" s="99"/>
      <c r="T6" s="101"/>
      <c r="U6" s="180"/>
      <c r="V6" s="180"/>
      <c r="W6" s="180"/>
      <c r="X6" s="99"/>
      <c r="Y6" s="99"/>
      <c r="Z6" s="99"/>
      <c r="AA6" s="99"/>
      <c r="AB6" s="99"/>
      <c r="AC6" s="98">
        <v>42387</v>
      </c>
      <c r="AD6" s="98">
        <v>42388</v>
      </c>
      <c r="AE6" s="98">
        <v>42389</v>
      </c>
      <c r="AF6" s="98">
        <v>42390</v>
      </c>
      <c r="AG6" s="98">
        <v>42391</v>
      </c>
      <c r="AH6" s="98">
        <v>42392</v>
      </c>
      <c r="AI6" s="98">
        <v>42393</v>
      </c>
      <c r="AJ6" s="98">
        <v>42394</v>
      </c>
      <c r="AK6" s="98">
        <v>42395</v>
      </c>
      <c r="AL6" s="98">
        <v>42396</v>
      </c>
      <c r="AM6" s="98">
        <v>42397</v>
      </c>
      <c r="AN6" s="98">
        <v>42398</v>
      </c>
      <c r="AO6" s="98">
        <v>42399</v>
      </c>
      <c r="AP6" s="98">
        <v>42400</v>
      </c>
      <c r="AQ6" s="98">
        <v>42401</v>
      </c>
      <c r="AR6" s="98">
        <v>42402</v>
      </c>
      <c r="AS6" s="98">
        <v>42403</v>
      </c>
      <c r="AT6" s="98">
        <v>42404</v>
      </c>
      <c r="AU6" s="98">
        <v>42405</v>
      </c>
      <c r="AV6" s="98">
        <v>42406</v>
      </c>
      <c r="AW6" s="98">
        <v>42407</v>
      </c>
      <c r="AX6" s="98">
        <v>42408</v>
      </c>
      <c r="AY6" s="98">
        <v>42409</v>
      </c>
      <c r="AZ6" s="98">
        <v>42410</v>
      </c>
      <c r="BA6" s="98">
        <v>42411</v>
      </c>
      <c r="BB6" s="98">
        <v>42412</v>
      </c>
      <c r="BC6" s="98">
        <v>42413</v>
      </c>
      <c r="BD6" s="98">
        <v>42414</v>
      </c>
      <c r="BE6" s="98">
        <v>42415</v>
      </c>
      <c r="BF6" s="98">
        <v>42416</v>
      </c>
      <c r="BG6" s="98">
        <v>42417</v>
      </c>
      <c r="BH6" s="98">
        <v>42418</v>
      </c>
      <c r="BI6" s="98">
        <v>42419</v>
      </c>
      <c r="BJ6" s="98">
        <v>42420</v>
      </c>
      <c r="BK6" s="98">
        <v>42421</v>
      </c>
      <c r="BL6" s="98">
        <v>42422</v>
      </c>
      <c r="BM6" s="98">
        <v>42423</v>
      </c>
      <c r="BN6" s="98">
        <v>42424</v>
      </c>
      <c r="BO6" s="98">
        <v>42425</v>
      </c>
      <c r="BP6" s="98">
        <v>42426</v>
      </c>
      <c r="BQ6" s="98">
        <v>42427</v>
      </c>
      <c r="BR6" s="98">
        <v>42428</v>
      </c>
      <c r="BS6" s="98">
        <v>42429</v>
      </c>
      <c r="BT6" s="98">
        <v>42430</v>
      </c>
      <c r="BU6" s="98">
        <v>42431</v>
      </c>
      <c r="BV6" s="98">
        <v>42432</v>
      </c>
      <c r="BW6" s="98">
        <v>42433</v>
      </c>
      <c r="BX6" s="98">
        <v>42434</v>
      </c>
      <c r="BY6" s="98">
        <v>42435</v>
      </c>
      <c r="BZ6" s="98">
        <v>42436</v>
      </c>
      <c r="CA6" s="98">
        <v>42437</v>
      </c>
      <c r="CB6" s="98">
        <v>42438</v>
      </c>
      <c r="CC6" s="98">
        <v>42439</v>
      </c>
      <c r="CD6" s="98">
        <v>42440</v>
      </c>
      <c r="CE6" s="98">
        <v>42441</v>
      </c>
      <c r="CF6" s="98">
        <v>42442</v>
      </c>
      <c r="CG6" s="98">
        <v>42443</v>
      </c>
      <c r="CH6" s="98"/>
      <c r="CI6" s="98"/>
      <c r="CJ6" s="98"/>
      <c r="CK6" s="98"/>
      <c r="CL6" s="98"/>
      <c r="CM6" s="98"/>
      <c r="CN6" s="98"/>
      <c r="CO6" s="98"/>
      <c r="CP6" s="98"/>
      <c r="CQ6" s="98"/>
      <c r="CR6" s="98"/>
      <c r="CS6" s="98"/>
      <c r="CT6" s="98"/>
      <c r="CU6" s="98"/>
      <c r="CV6" s="98"/>
      <c r="CW6" s="98"/>
      <c r="CX6" s="98"/>
      <c r="CY6" s="98"/>
      <c r="CZ6" s="98"/>
      <c r="DA6" s="98"/>
      <c r="DB6" s="98"/>
      <c r="DC6" s="98"/>
      <c r="DD6" s="98"/>
      <c r="DE6" s="98"/>
      <c r="DF6" s="98"/>
      <c r="DG6" s="98"/>
      <c r="DH6" s="98"/>
      <c r="DI6" s="98"/>
      <c r="DJ6" s="98"/>
      <c r="DK6" s="98"/>
      <c r="DL6" s="98"/>
      <c r="DM6" s="98"/>
      <c r="DN6" s="98"/>
      <c r="DO6" s="98"/>
      <c r="DP6" s="98"/>
      <c r="DQ6" s="98"/>
      <c r="DR6" s="98"/>
      <c r="DS6" s="98"/>
      <c r="DT6" s="98"/>
      <c r="DU6" s="98"/>
      <c r="DV6" s="98"/>
      <c r="DW6" s="98"/>
      <c r="DX6" s="98"/>
      <c r="DY6" s="98"/>
      <c r="DZ6" s="98"/>
      <c r="EA6" s="98"/>
      <c r="EB6" s="98"/>
      <c r="EC6" s="98"/>
      <c r="ED6" s="98"/>
      <c r="EE6" s="98"/>
      <c r="EF6" s="98"/>
      <c r="EG6" s="98"/>
      <c r="EH6" s="98"/>
      <c r="EI6" s="98"/>
      <c r="EJ6" s="98"/>
      <c r="EK6" s="98"/>
      <c r="EL6" s="98"/>
      <c r="EM6" s="98"/>
      <c r="EN6" s="98"/>
      <c r="EO6" s="98"/>
      <c r="EP6" s="98"/>
      <c r="EQ6" s="98"/>
      <c r="ER6" s="98"/>
      <c r="ES6" s="98"/>
      <c r="ET6" s="98"/>
      <c r="EU6" s="98"/>
      <c r="EV6" s="98"/>
      <c r="EW6" s="98"/>
      <c r="EX6" s="98"/>
      <c r="EY6" s="98"/>
      <c r="EZ6" s="98"/>
      <c r="FA6" s="98"/>
      <c r="FB6" s="98"/>
      <c r="FC6" s="98"/>
      <c r="FD6" s="98"/>
      <c r="FE6" s="98"/>
      <c r="FF6" s="98"/>
      <c r="FG6" s="98"/>
      <c r="FH6" s="98"/>
      <c r="FI6" s="98"/>
      <c r="FJ6" s="98"/>
      <c r="FK6" s="98"/>
      <c r="FL6" s="98"/>
      <c r="FM6" s="98"/>
      <c r="FN6" s="98"/>
      <c r="FO6" s="98"/>
      <c r="FP6" s="98"/>
      <c r="FQ6" s="98"/>
      <c r="FR6" s="98"/>
      <c r="FS6" s="98"/>
      <c r="FT6" s="98"/>
      <c r="FU6" s="98"/>
      <c r="FV6" s="98"/>
      <c r="FW6" s="98"/>
      <c r="FX6" s="98"/>
      <c r="FY6" s="98"/>
      <c r="FZ6" s="98"/>
      <c r="GA6" s="98"/>
      <c r="GB6" s="98"/>
      <c r="GC6" s="98"/>
      <c r="GD6" s="98"/>
      <c r="GE6" s="98"/>
      <c r="GF6" s="98"/>
      <c r="GG6" s="98"/>
      <c r="GH6" s="98"/>
      <c r="GI6" s="98"/>
      <c r="GJ6" s="98"/>
      <c r="GK6" s="98"/>
      <c r="GL6" s="98"/>
      <c r="GM6" s="98"/>
      <c r="GN6" s="98"/>
      <c r="GO6" s="98"/>
      <c r="GP6" s="98"/>
      <c r="GQ6" s="98"/>
      <c r="GR6" s="98"/>
      <c r="GS6" s="98"/>
      <c r="GT6" s="98"/>
      <c r="GU6" s="98"/>
      <c r="GV6" s="98"/>
      <c r="GW6" s="98"/>
      <c r="GX6" s="98"/>
      <c r="GY6" s="98"/>
      <c r="GZ6" s="98"/>
      <c r="HA6" s="98"/>
      <c r="HB6" s="98"/>
      <c r="HC6" s="98"/>
      <c r="HD6" s="98"/>
      <c r="HE6" s="98"/>
      <c r="HF6" s="98"/>
      <c r="HG6" s="98"/>
      <c r="HH6" s="98"/>
      <c r="HI6" s="98"/>
      <c r="HJ6" s="98"/>
      <c r="HK6" s="98"/>
      <c r="HL6" s="98"/>
      <c r="HM6" s="98"/>
      <c r="HN6" s="98"/>
      <c r="HO6" s="98"/>
      <c r="HP6" s="98"/>
      <c r="HQ6" s="98"/>
      <c r="HR6" s="98"/>
      <c r="HS6" s="98"/>
      <c r="HT6" s="98"/>
      <c r="HU6" s="98"/>
      <c r="HV6" s="98"/>
      <c r="HW6" s="98"/>
      <c r="HX6" s="98"/>
      <c r="HY6" s="98"/>
      <c r="HZ6" s="98"/>
      <c r="IA6" s="98"/>
      <c r="IB6" s="98"/>
      <c r="IC6" s="98"/>
      <c r="ID6" s="98"/>
      <c r="IE6" s="98"/>
      <c r="IF6" s="98"/>
      <c r="IG6" s="98"/>
      <c r="IH6" s="98"/>
      <c r="II6" s="98"/>
      <c r="IJ6" s="98"/>
      <c r="IK6" s="98"/>
      <c r="IL6" s="98"/>
      <c r="IM6" s="98"/>
      <c r="IN6" s="98"/>
      <c r="IO6" s="98"/>
      <c r="IP6" s="98"/>
      <c r="IQ6" s="98"/>
      <c r="IR6" s="98"/>
      <c r="IS6" s="98"/>
      <c r="IT6" s="98"/>
      <c r="IU6" s="98"/>
      <c r="IV6" s="98"/>
      <c r="IW6" s="98"/>
      <c r="IX6" s="98"/>
      <c r="IY6" s="98"/>
      <c r="IZ6" s="98"/>
      <c r="JA6" s="98"/>
      <c r="JB6" s="98"/>
      <c r="JC6" s="98"/>
      <c r="JD6" s="98"/>
      <c r="JE6" s="98"/>
      <c r="JF6" s="98"/>
      <c r="JG6" s="98"/>
      <c r="JH6" s="98"/>
      <c r="JI6" s="98"/>
      <c r="JJ6" s="98"/>
      <c r="JK6" s="98"/>
      <c r="JL6" s="98"/>
      <c r="JM6" s="98"/>
      <c r="JN6" s="98"/>
      <c r="JO6" s="98"/>
      <c r="JP6" s="98"/>
      <c r="JQ6" s="98"/>
      <c r="JR6" s="98"/>
      <c r="JS6" s="98"/>
      <c r="JT6" s="98"/>
      <c r="JU6" s="98"/>
      <c r="JV6" s="98"/>
      <c r="JW6" s="98"/>
      <c r="JX6" s="98"/>
      <c r="JY6" s="98"/>
      <c r="JZ6" s="98"/>
      <c r="KA6" s="98"/>
      <c r="KB6" s="98"/>
      <c r="KC6" s="98"/>
      <c r="KD6" s="98"/>
      <c r="KE6" s="98"/>
      <c r="KF6" s="98"/>
      <c r="KG6" s="98"/>
      <c r="KH6" s="98"/>
      <c r="KI6" s="98"/>
      <c r="KJ6" s="98"/>
      <c r="KK6" s="98"/>
      <c r="KL6" s="98"/>
      <c r="KM6" s="98"/>
      <c r="KN6" s="98"/>
      <c r="KO6" s="98"/>
      <c r="KP6" s="98"/>
      <c r="KQ6" s="98"/>
      <c r="KR6" s="98"/>
      <c r="KS6" s="98"/>
      <c r="KT6" s="98"/>
      <c r="KU6" s="98"/>
      <c r="KV6" s="98"/>
      <c r="KW6" s="98"/>
      <c r="KX6" s="98"/>
      <c r="KY6" s="98"/>
      <c r="KZ6" s="98"/>
      <c r="LA6" s="98"/>
      <c r="LB6" s="98"/>
      <c r="LC6" s="98"/>
      <c r="LD6" s="98"/>
      <c r="LE6" s="98"/>
      <c r="LF6" s="98"/>
      <c r="LG6" s="98"/>
      <c r="LH6" s="98"/>
      <c r="LI6" s="98"/>
      <c r="LJ6" s="98"/>
      <c r="LK6" s="98"/>
      <c r="LL6" s="98"/>
      <c r="LM6" s="98"/>
      <c r="LN6" s="98"/>
      <c r="LO6" s="98"/>
      <c r="LP6" s="98"/>
      <c r="LQ6" s="98"/>
      <c r="LR6" s="98"/>
      <c r="LS6" s="98"/>
      <c r="LT6" s="98"/>
      <c r="LU6" s="98"/>
      <c r="LV6" s="98"/>
      <c r="LW6" s="98"/>
      <c r="LX6" s="98"/>
      <c r="LY6" s="98"/>
      <c r="LZ6" s="98"/>
      <c r="MA6" s="98"/>
      <c r="MB6" s="98"/>
      <c r="MC6" s="98"/>
      <c r="MD6" s="98"/>
      <c r="ME6" s="98"/>
      <c r="MF6" s="98"/>
      <c r="MG6" s="98"/>
      <c r="MH6" s="98"/>
      <c r="MI6" s="98"/>
      <c r="MJ6" s="98"/>
      <c r="MK6" s="98"/>
      <c r="ML6" s="98"/>
      <c r="MM6" s="98"/>
      <c r="MN6" s="98"/>
      <c r="MO6" s="98"/>
      <c r="MP6" s="98"/>
      <c r="MQ6" s="98"/>
      <c r="MR6" s="98"/>
      <c r="MS6" s="98"/>
      <c r="MT6" s="98"/>
      <c r="MU6" s="98"/>
      <c r="MV6" s="98"/>
      <c r="MW6" s="98"/>
      <c r="MX6" s="98"/>
      <c r="MY6" s="98"/>
      <c r="MZ6" s="98"/>
      <c r="NA6" s="98"/>
      <c r="NB6" s="98"/>
      <c r="NC6" s="98"/>
      <c r="ND6" s="98"/>
      <c r="NE6" s="98"/>
      <c r="NF6" s="98"/>
      <c r="NG6" s="98"/>
      <c r="NH6" s="98"/>
      <c r="NI6" s="98"/>
      <c r="NJ6" s="98"/>
      <c r="NK6" s="98"/>
      <c r="NL6" s="98"/>
      <c r="NM6" s="98"/>
      <c r="NN6" s="98"/>
      <c r="NO6" s="98"/>
      <c r="NP6" s="98"/>
      <c r="NQ6" s="98"/>
      <c r="NR6" s="98"/>
      <c r="NS6" s="98"/>
      <c r="NT6" s="98"/>
      <c r="NU6" s="98"/>
      <c r="NV6" s="98"/>
      <c r="NW6" s="98"/>
      <c r="NX6" s="98"/>
      <c r="NY6" s="98"/>
      <c r="NZ6" s="98"/>
      <c r="OA6" s="98"/>
      <c r="OB6" s="98"/>
      <c r="OC6" s="98"/>
      <c r="OD6" s="98"/>
      <c r="OE6" s="98"/>
      <c r="OF6" s="98"/>
      <c r="OG6" s="98"/>
      <c r="OH6" s="98"/>
      <c r="OI6" s="98"/>
      <c r="OJ6" s="98"/>
      <c r="OK6" s="98"/>
      <c r="OL6" s="98"/>
      <c r="OM6" s="98"/>
      <c r="ON6" s="98"/>
      <c r="OO6" s="98"/>
      <c r="OP6" s="98"/>
      <c r="OQ6" s="98"/>
      <c r="OR6" s="98"/>
      <c r="OS6" s="98"/>
      <c r="OT6" s="98"/>
      <c r="OU6" s="98"/>
      <c r="OV6" s="98"/>
      <c r="OW6" s="98"/>
      <c r="OX6" s="98"/>
      <c r="OY6" s="98"/>
      <c r="OZ6" s="98"/>
      <c r="PA6" s="98"/>
      <c r="PB6" s="98"/>
      <c r="PC6" s="98"/>
      <c r="PD6" s="98"/>
      <c r="PE6" s="98"/>
      <c r="PF6" s="98"/>
      <c r="PG6" s="98"/>
      <c r="PH6" s="98"/>
      <c r="PI6" s="98"/>
      <c r="PJ6" s="98"/>
      <c r="PK6" s="98"/>
      <c r="PL6" s="98"/>
      <c r="PM6" s="98"/>
      <c r="PN6" s="98"/>
      <c r="PO6" s="98"/>
      <c r="PP6" s="98"/>
      <c r="PQ6" s="98"/>
      <c r="PR6" s="98"/>
      <c r="PS6" s="98"/>
      <c r="PT6" s="98"/>
      <c r="PU6" s="98"/>
      <c r="PV6" s="98"/>
      <c r="PW6" s="98"/>
      <c r="PX6" s="98"/>
      <c r="PY6" s="98"/>
      <c r="PZ6" s="98"/>
      <c r="QA6" s="98"/>
      <c r="QB6" s="98"/>
      <c r="QC6" s="98"/>
      <c r="QD6" s="98"/>
      <c r="QE6" s="98"/>
      <c r="QF6" s="98"/>
      <c r="QG6" s="98"/>
      <c r="QH6" s="98"/>
      <c r="QI6" s="98"/>
      <c r="QJ6" s="98"/>
      <c r="QK6" s="98"/>
      <c r="QL6" s="98"/>
      <c r="QM6" s="98"/>
      <c r="QN6" s="98"/>
      <c r="QO6" s="98"/>
      <c r="QP6" s="98"/>
      <c r="QQ6" s="98"/>
      <c r="QR6" s="98"/>
      <c r="QS6" s="98"/>
      <c r="QT6" s="98"/>
      <c r="QU6" s="98"/>
      <c r="QV6" s="98"/>
      <c r="QW6" s="98"/>
      <c r="QX6" s="98"/>
      <c r="QY6" s="98"/>
      <c r="QZ6" s="98"/>
      <c r="RA6" s="98"/>
      <c r="RB6" s="98"/>
      <c r="RC6" s="98"/>
      <c r="RD6" s="98"/>
      <c r="RE6" s="98"/>
      <c r="RF6" s="98"/>
      <c r="RG6" s="98"/>
      <c r="RH6" s="98"/>
      <c r="RI6" s="98"/>
      <c r="RJ6" s="98"/>
      <c r="RK6" s="98"/>
      <c r="RL6" s="98"/>
      <c r="RM6" s="98"/>
      <c r="RN6" s="98"/>
      <c r="RO6" s="98"/>
      <c r="RP6" s="98"/>
      <c r="RQ6" s="98"/>
      <c r="RR6" s="98"/>
      <c r="RS6" s="98"/>
      <c r="RT6" s="98"/>
      <c r="RU6" s="98"/>
      <c r="RV6" s="98"/>
      <c r="RW6" s="98"/>
      <c r="RX6" s="98"/>
      <c r="RY6" s="98"/>
      <c r="RZ6" s="98"/>
      <c r="SA6" s="98"/>
      <c r="SB6" s="98"/>
      <c r="SC6" s="98"/>
      <c r="SD6" s="98"/>
      <c r="SE6" s="98"/>
      <c r="SF6" s="98"/>
      <c r="SG6" s="98"/>
      <c r="SH6" s="98"/>
      <c r="SI6" s="98"/>
      <c r="SJ6" s="98"/>
      <c r="SK6" s="98"/>
      <c r="SL6" s="98"/>
      <c r="SM6" s="98"/>
      <c r="SN6" s="98"/>
      <c r="SO6" s="98"/>
      <c r="SP6" s="98"/>
      <c r="SQ6" s="98"/>
      <c r="SR6" s="98"/>
      <c r="SS6" s="98"/>
      <c r="ST6" s="98"/>
      <c r="SU6" s="98"/>
      <c r="SV6" s="98"/>
      <c r="SW6" s="98"/>
      <c r="SX6" s="98"/>
      <c r="SY6" s="98"/>
      <c r="SZ6" s="98"/>
      <c r="TA6" s="98"/>
      <c r="TB6" s="98"/>
      <c r="TC6" s="98"/>
      <c r="TD6" s="98"/>
      <c r="TE6" s="98"/>
      <c r="TF6" s="98"/>
      <c r="TG6" s="98"/>
      <c r="TH6" s="98"/>
      <c r="TI6" s="98"/>
      <c r="TJ6" s="98"/>
      <c r="TK6" s="98"/>
      <c r="TL6" s="98"/>
      <c r="TM6" s="98"/>
      <c r="TN6" s="98"/>
      <c r="TO6" s="98"/>
      <c r="TP6" s="98"/>
      <c r="TQ6" s="98"/>
      <c r="TR6" s="98"/>
      <c r="TS6" s="98"/>
      <c r="TT6" s="98"/>
      <c r="TU6" s="98"/>
      <c r="TV6" s="98"/>
      <c r="TW6" s="98"/>
      <c r="TX6" s="98"/>
      <c r="TY6" s="98"/>
      <c r="TZ6" s="98"/>
      <c r="UA6" s="98"/>
      <c r="UB6" s="98"/>
      <c r="UC6" s="98"/>
      <c r="UD6" s="98"/>
      <c r="UE6" s="98"/>
      <c r="UF6" s="98"/>
      <c r="UG6" s="98"/>
      <c r="UH6" s="98"/>
      <c r="UI6" s="98"/>
      <c r="UJ6" s="98"/>
      <c r="UK6" s="98"/>
      <c r="UL6" s="98"/>
      <c r="UM6" s="98"/>
      <c r="UN6" s="98"/>
      <c r="UO6" s="98"/>
      <c r="UP6" s="98"/>
      <c r="UQ6" s="98"/>
      <c r="UR6" s="98"/>
      <c r="US6" s="98"/>
      <c r="UT6" s="98"/>
      <c r="UU6" s="98"/>
      <c r="UV6" s="98"/>
      <c r="UW6" s="98"/>
      <c r="UX6" s="98"/>
      <c r="UY6" s="98"/>
      <c r="UZ6" s="98"/>
      <c r="VA6" s="98"/>
      <c r="VB6" s="98"/>
      <c r="VC6" s="98"/>
      <c r="VD6" s="98"/>
      <c r="VE6" s="98"/>
      <c r="VF6" s="98"/>
      <c r="VG6" s="98"/>
      <c r="VH6" s="98"/>
      <c r="VI6" s="98"/>
      <c r="VJ6" s="98"/>
      <c r="VK6" s="98"/>
      <c r="VL6" s="98"/>
      <c r="VM6" s="98"/>
      <c r="VN6" s="98"/>
      <c r="VO6" s="98"/>
      <c r="VP6" s="98"/>
      <c r="VQ6" s="98"/>
      <c r="VR6" s="98"/>
      <c r="VS6" s="98"/>
      <c r="VT6" s="98"/>
      <c r="VU6" s="98"/>
      <c r="VV6" s="98"/>
      <c r="VW6" s="98"/>
      <c r="VX6" s="98"/>
      <c r="VY6" s="98"/>
      <c r="VZ6" s="98"/>
      <c r="WA6" s="98"/>
      <c r="WB6" s="98"/>
      <c r="WC6" s="98"/>
      <c r="WD6" s="98"/>
      <c r="WE6" s="98"/>
      <c r="WF6" s="98"/>
      <c r="WG6" s="98"/>
      <c r="WH6" s="98"/>
      <c r="WI6" s="98"/>
      <c r="WJ6" s="98"/>
      <c r="WK6" s="98"/>
      <c r="WL6" s="98"/>
      <c r="WM6" s="98"/>
      <c r="WN6" s="98"/>
      <c r="WO6" s="98"/>
      <c r="WP6" s="98"/>
      <c r="WQ6" s="98"/>
      <c r="WR6" s="98"/>
      <c r="WS6" s="98"/>
      <c r="WT6" s="98"/>
      <c r="WU6" s="98"/>
      <c r="WV6" s="98"/>
      <c r="WW6" s="98"/>
      <c r="WX6" s="98"/>
      <c r="WY6" s="98"/>
      <c r="WZ6" s="98"/>
      <c r="XA6" s="98"/>
      <c r="XB6" s="98"/>
      <c r="XC6" s="98"/>
      <c r="XD6" s="98"/>
      <c r="XE6" s="98"/>
      <c r="XF6" s="98"/>
      <c r="XG6" s="98"/>
      <c r="XH6" s="98"/>
      <c r="XI6" s="98"/>
      <c r="XJ6" s="98"/>
      <c r="XK6" s="98"/>
      <c r="XL6" s="98"/>
      <c r="XM6" s="98"/>
      <c r="XN6" s="98"/>
      <c r="XO6" s="98"/>
      <c r="XP6" s="98"/>
      <c r="XQ6" s="98"/>
      <c r="XR6" s="98"/>
      <c r="XS6" s="98"/>
      <c r="XT6" s="98"/>
      <c r="XU6" s="98"/>
      <c r="XV6" s="98"/>
      <c r="XW6" s="98"/>
      <c r="XX6" s="98"/>
      <c r="XY6" s="98"/>
      <c r="XZ6" s="98"/>
      <c r="YA6" s="98"/>
      <c r="YB6" s="98"/>
      <c r="YC6" s="98"/>
      <c r="YD6" s="98"/>
      <c r="YE6" s="98"/>
      <c r="YF6" s="98"/>
      <c r="YG6" s="98"/>
      <c r="YH6" s="98"/>
      <c r="YI6" s="98"/>
      <c r="YJ6" s="98"/>
      <c r="YK6" s="98"/>
      <c r="YL6" s="98"/>
      <c r="YM6" s="98"/>
      <c r="YN6" s="98"/>
      <c r="YO6" s="98"/>
      <c r="YP6" s="98"/>
      <c r="YQ6" s="98"/>
      <c r="YR6" s="98"/>
      <c r="YS6" s="98"/>
      <c r="YT6" s="98"/>
      <c r="YU6" s="98"/>
      <c r="YV6" s="98"/>
      <c r="YW6" s="98"/>
      <c r="YX6" s="98"/>
      <c r="YY6" s="98"/>
      <c r="YZ6" s="98"/>
      <c r="ZA6" s="98"/>
      <c r="ZB6" s="98"/>
      <c r="ZC6" s="98"/>
      <c r="ZD6" s="98"/>
      <c r="ZE6" s="98"/>
      <c r="ZF6" s="98"/>
      <c r="ZG6" s="98"/>
      <c r="ZH6" s="98"/>
      <c r="ZI6" s="98"/>
      <c r="ZJ6" s="98"/>
      <c r="ZK6" s="98"/>
      <c r="ZL6" s="98"/>
      <c r="ZM6" s="98"/>
      <c r="ZN6" s="98"/>
      <c r="ZO6" s="98"/>
      <c r="ZP6" s="98"/>
      <c r="ZQ6" s="98"/>
      <c r="ZR6" s="98"/>
      <c r="ZS6" s="98"/>
      <c r="ZT6" s="98"/>
      <c r="ZU6" s="98"/>
      <c r="ZV6" s="98"/>
      <c r="ZW6" s="98"/>
      <c r="ZX6" s="98"/>
      <c r="ZY6" s="98"/>
      <c r="ZZ6" s="98"/>
      <c r="AAA6" s="98"/>
      <c r="AAB6" s="98"/>
      <c r="AAC6" s="98"/>
      <c r="AAD6" s="98"/>
      <c r="AAE6" s="98"/>
      <c r="AAF6" s="98"/>
      <c r="AAG6" s="98"/>
      <c r="AAH6" s="98"/>
      <c r="AAI6" s="98"/>
      <c r="AAJ6" s="98"/>
      <c r="AAK6" s="98"/>
      <c r="AAL6" s="98"/>
      <c r="AAM6" s="98"/>
      <c r="AAN6" s="98"/>
      <c r="AAO6" s="98"/>
      <c r="AAP6" s="98"/>
      <c r="AAQ6" s="98"/>
      <c r="AAR6" s="98"/>
      <c r="AAS6" s="98"/>
      <c r="AAT6" s="98"/>
      <c r="AAU6" s="98"/>
      <c r="AAV6" s="98"/>
      <c r="AAW6" s="98"/>
      <c r="AAX6" s="98"/>
      <c r="AAY6" s="98"/>
      <c r="AAZ6" s="98"/>
      <c r="ABA6" s="98"/>
      <c r="ABB6" s="98"/>
      <c r="ABC6" s="98"/>
      <c r="ABD6" s="98"/>
      <c r="ABE6" s="98"/>
      <c r="ABF6" s="98"/>
      <c r="ABG6" s="98"/>
      <c r="ABH6" s="98"/>
      <c r="ABI6" s="98"/>
      <c r="ABJ6" s="98"/>
      <c r="ABK6" s="98"/>
      <c r="ABL6" s="98"/>
      <c r="ABM6" s="98"/>
      <c r="ABN6" s="98"/>
      <c r="ABO6" s="98"/>
      <c r="ABP6" s="98"/>
      <c r="ABQ6" s="98"/>
      <c r="ABR6" s="98"/>
      <c r="ABS6" s="98"/>
      <c r="ABT6" s="98"/>
      <c r="ABU6" s="98"/>
      <c r="ABV6" s="98"/>
      <c r="ABW6" s="98"/>
      <c r="ABX6" s="98"/>
      <c r="ABY6" s="98"/>
      <c r="ABZ6" s="98"/>
      <c r="ACA6" s="98"/>
      <c r="ACB6" s="98"/>
      <c r="ACC6" s="98"/>
      <c r="ACD6" s="98"/>
      <c r="ACE6" s="98"/>
      <c r="ACF6" s="98"/>
      <c r="ACG6" s="98"/>
      <c r="ACH6" s="98"/>
      <c r="ACI6" s="98"/>
      <c r="ACJ6" s="98"/>
      <c r="ACK6" s="98"/>
      <c r="ACL6" s="98"/>
      <c r="ACM6" s="98"/>
      <c r="ACN6" s="98"/>
      <c r="ACO6" s="98"/>
      <c r="ACP6" s="98"/>
      <c r="ACQ6" s="98"/>
      <c r="ACR6" s="98"/>
      <c r="ACS6" s="98"/>
      <c r="ACT6" s="98"/>
      <c r="ACU6" s="98"/>
      <c r="ACV6" s="98"/>
      <c r="ACW6" s="98"/>
      <c r="ACX6" s="98"/>
      <c r="ACY6" s="98"/>
      <c r="ACZ6" s="98"/>
      <c r="ADA6" s="98"/>
      <c r="ADB6" s="98"/>
      <c r="ADC6" s="98"/>
      <c r="ADD6" s="98"/>
      <c r="ADE6" s="98"/>
      <c r="ADF6" s="98"/>
      <c r="ADG6" s="98"/>
      <c r="ADH6" s="98"/>
      <c r="ADI6" s="98"/>
      <c r="ADJ6" s="98"/>
      <c r="ADK6" s="98"/>
      <c r="ADL6" s="98"/>
      <c r="ADM6" s="98"/>
      <c r="ADN6" s="98"/>
      <c r="ADO6" s="98"/>
      <c r="ADP6" s="98"/>
      <c r="ADQ6" s="98"/>
      <c r="ADR6" s="98"/>
      <c r="ADS6" s="98"/>
      <c r="ADT6" s="98"/>
      <c r="ADU6" s="98"/>
      <c r="ADV6" s="98"/>
      <c r="ADW6" s="98"/>
      <c r="ADX6" s="98"/>
      <c r="ADY6" s="98"/>
      <c r="ADZ6" s="98"/>
      <c r="AEA6" s="98"/>
      <c r="AEB6" s="98"/>
      <c r="AEC6" s="98"/>
      <c r="AED6" s="98"/>
      <c r="AEE6" s="98"/>
      <c r="AEF6" s="98"/>
      <c r="AEG6" s="98"/>
      <c r="AEH6" s="98"/>
      <c r="AEI6" s="98"/>
      <c r="AEJ6" s="98"/>
      <c r="AEK6" s="98"/>
      <c r="AEL6" s="98"/>
      <c r="AEM6" s="98"/>
      <c r="AEN6" s="98"/>
      <c r="AEO6" s="98"/>
      <c r="AEP6" s="98"/>
      <c r="AEQ6" s="98"/>
      <c r="AER6" s="98"/>
      <c r="AES6" s="98"/>
      <c r="AET6" s="98"/>
      <c r="AEU6" s="98"/>
      <c r="AEV6" s="98"/>
      <c r="AEW6" s="98"/>
      <c r="AEX6" s="98"/>
      <c r="AEY6" s="98"/>
      <c r="AEZ6" s="98"/>
      <c r="AFA6" s="98"/>
      <c r="AFB6" s="98"/>
      <c r="AFC6" s="98"/>
      <c r="AFD6" s="98"/>
      <c r="AFE6" s="98"/>
      <c r="AFF6" s="98"/>
      <c r="AFG6" s="98"/>
      <c r="AFH6" s="98"/>
      <c r="AFI6" s="98"/>
      <c r="AFJ6" s="98"/>
      <c r="AFK6" s="98"/>
      <c r="AFL6" s="98"/>
      <c r="AFM6" s="98"/>
      <c r="AFN6" s="98"/>
      <c r="AFO6" s="98"/>
      <c r="AFP6" s="98"/>
      <c r="AFQ6" s="98"/>
      <c r="AFR6" s="98"/>
      <c r="AFS6" s="98"/>
      <c r="AFT6" s="98"/>
      <c r="AFU6" s="98"/>
      <c r="AFV6" s="98"/>
      <c r="AFW6" s="98"/>
      <c r="AFX6" s="98"/>
      <c r="AFY6" s="98"/>
      <c r="AFZ6" s="98"/>
      <c r="AGA6" s="98"/>
      <c r="AGB6" s="98"/>
      <c r="AGC6" s="98"/>
      <c r="AGD6" s="98"/>
      <c r="AGE6" s="98"/>
      <c r="AGF6" s="98"/>
      <c r="AGG6" s="98"/>
      <c r="AGH6" s="98"/>
      <c r="AGI6" s="98"/>
      <c r="AGJ6" s="98"/>
      <c r="AGK6" s="98"/>
      <c r="AGL6" s="98"/>
      <c r="AGM6" s="98"/>
      <c r="AGN6" s="98"/>
      <c r="AGO6" s="98"/>
      <c r="AGP6" s="98"/>
      <c r="AGQ6" s="98"/>
      <c r="AGR6" s="98"/>
      <c r="AGS6" s="98"/>
      <c r="AGT6" s="98"/>
      <c r="AGU6" s="98"/>
      <c r="AGV6" s="98"/>
      <c r="AGW6" s="98"/>
      <c r="AGX6" s="98"/>
      <c r="AGY6" s="98"/>
      <c r="AGZ6" s="98"/>
      <c r="AHA6" s="98"/>
      <c r="AHB6" s="98"/>
      <c r="AHC6" s="98"/>
      <c r="AHD6" s="98"/>
      <c r="AHE6" s="98"/>
      <c r="AHF6" s="98"/>
      <c r="AHG6" s="98"/>
      <c r="AHH6" s="98"/>
      <c r="AHI6" s="98"/>
      <c r="AHJ6" s="98"/>
      <c r="AHK6" s="98"/>
      <c r="AHL6" s="98"/>
      <c r="AHM6" s="98"/>
      <c r="AHN6" s="98"/>
      <c r="AHO6" s="98"/>
      <c r="AHP6" s="98"/>
      <c r="AHQ6" s="98"/>
      <c r="AHR6" s="98"/>
      <c r="AHS6" s="98"/>
      <c r="AHT6" s="98"/>
      <c r="AHU6" s="98"/>
      <c r="AHV6" s="98"/>
      <c r="AHW6" s="98"/>
      <c r="AHX6" s="98"/>
      <c r="AHY6" s="98"/>
      <c r="AHZ6" s="98"/>
      <c r="AIA6" s="98"/>
      <c r="AIB6" s="98"/>
      <c r="AIC6" s="98"/>
      <c r="AID6" s="98"/>
      <c r="AIE6" s="98"/>
      <c r="AIF6" s="98"/>
      <c r="AIG6" s="98"/>
      <c r="AIH6" s="98"/>
      <c r="AII6" s="98"/>
      <c r="AIJ6" s="98"/>
      <c r="AIK6" s="98"/>
      <c r="AIL6" s="98"/>
      <c r="AIM6" s="98"/>
      <c r="AIN6" s="98"/>
      <c r="AIO6" s="98"/>
      <c r="AIP6" s="98"/>
      <c r="AIQ6" s="98"/>
      <c r="AIR6" s="98"/>
      <c r="AIS6" s="98"/>
      <c r="AIT6" s="98"/>
      <c r="AIU6" s="98"/>
      <c r="AIV6" s="98"/>
      <c r="AIW6" s="98"/>
      <c r="AIX6" s="98"/>
      <c r="AIY6" s="98"/>
      <c r="AIZ6" s="98"/>
      <c r="AJA6" s="98"/>
      <c r="AJB6" s="98"/>
      <c r="AJC6" s="98"/>
      <c r="AJD6" s="98"/>
      <c r="AJE6" s="98"/>
      <c r="AJF6" s="98"/>
      <c r="AJG6" s="98"/>
      <c r="AJH6" s="98"/>
      <c r="AJI6" s="98"/>
      <c r="AJJ6" s="98"/>
      <c r="AJK6" s="98"/>
      <c r="AJL6" s="98"/>
      <c r="AJM6" s="98"/>
      <c r="AJN6" s="98"/>
      <c r="AJO6" s="98"/>
      <c r="AJP6" s="98"/>
      <c r="AJQ6" s="98"/>
      <c r="AJR6" s="98"/>
      <c r="AJS6" s="98"/>
      <c r="AJT6" s="98"/>
      <c r="AJU6" s="98"/>
      <c r="AJV6" s="98"/>
      <c r="AJW6" s="98"/>
      <c r="AJX6" s="98"/>
      <c r="AJY6" s="98"/>
      <c r="AJZ6" s="98"/>
      <c r="AKA6" s="98"/>
      <c r="AKB6" s="98"/>
      <c r="AKC6" s="98"/>
      <c r="AKD6" s="98"/>
      <c r="AKE6" s="98"/>
      <c r="AKF6" s="98"/>
      <c r="AKG6" s="98"/>
      <c r="AKH6" s="98"/>
      <c r="AKI6" s="98"/>
      <c r="AKJ6" s="98"/>
      <c r="AKK6" s="98"/>
      <c r="AKL6" s="98"/>
      <c r="AKM6" s="98"/>
      <c r="AKN6" s="98"/>
      <c r="AKO6" s="98"/>
      <c r="AKP6" s="98"/>
      <c r="AKQ6" s="98"/>
      <c r="AKR6" s="98"/>
      <c r="AKS6" s="98"/>
      <c r="AKT6" s="98"/>
      <c r="AKU6" s="98"/>
      <c r="AKV6" s="98"/>
      <c r="AKW6" s="98"/>
      <c r="AKX6" s="98"/>
      <c r="AKY6" s="98"/>
      <c r="AKZ6" s="98"/>
      <c r="ALA6" s="98"/>
      <c r="ALB6" s="98"/>
      <c r="ALC6" s="98"/>
      <c r="ALD6" s="98"/>
      <c r="ALE6" s="98"/>
      <c r="ALF6" s="98"/>
      <c r="ALG6" s="98"/>
      <c r="ALH6" s="98"/>
      <c r="ALI6" s="98"/>
      <c r="ALJ6" s="98"/>
      <c r="ALK6" s="98"/>
      <c r="ALL6" s="98"/>
      <c r="ALM6" s="98"/>
      <c r="ALN6" s="98"/>
      <c r="ALO6" s="98"/>
      <c r="ALP6" s="98"/>
      <c r="ALQ6" s="98"/>
      <c r="ALR6" s="98"/>
      <c r="ALS6" s="98"/>
      <c r="ALT6" s="98"/>
      <c r="ALU6" s="98"/>
      <c r="ALV6" s="98"/>
      <c r="ALW6" s="98"/>
      <c r="ALX6" s="98"/>
      <c r="ALY6" s="98"/>
      <c r="ALZ6" s="98"/>
      <c r="AMA6" s="98"/>
      <c r="AMB6" s="98"/>
      <c r="AMC6" s="98"/>
      <c r="AMD6" s="98"/>
      <c r="AME6" s="98"/>
      <c r="AMF6" s="98"/>
      <c r="AMG6" s="98"/>
      <c r="AMH6" s="98"/>
      <c r="AMI6" s="98"/>
      <c r="AMJ6" s="98"/>
      <c r="AMK6" s="98"/>
      <c r="AML6" s="98"/>
      <c r="AMM6" s="98"/>
      <c r="AMN6" s="98"/>
      <c r="AMO6" s="98"/>
      <c r="AMP6" s="98"/>
      <c r="AMQ6" s="98"/>
      <c r="AMR6" s="98"/>
      <c r="AMS6" s="98"/>
      <c r="AMT6" s="98"/>
      <c r="AMU6" s="98"/>
      <c r="AMV6" s="98"/>
      <c r="AMW6" s="98"/>
      <c r="AMX6" s="98"/>
      <c r="AMY6" s="98"/>
      <c r="AMZ6" s="98"/>
      <c r="ANA6" s="98"/>
      <c r="ANB6" s="98"/>
      <c r="ANC6" s="98"/>
      <c r="AND6" s="98"/>
      <c r="ANE6" s="98"/>
      <c r="ANF6" s="98"/>
      <c r="ANG6" s="98"/>
      <c r="ANH6" s="98"/>
      <c r="ANI6" s="98"/>
      <c r="ANJ6" s="98"/>
      <c r="ANK6" s="98"/>
      <c r="ANL6" s="98"/>
      <c r="ANM6" s="98"/>
      <c r="ANN6" s="98"/>
      <c r="ANO6" s="98"/>
      <c r="ANP6" s="98"/>
      <c r="ANQ6" s="98"/>
      <c r="ANR6" s="98"/>
      <c r="ANS6" s="98"/>
      <c r="ANT6" s="98"/>
      <c r="ANU6" s="98"/>
      <c r="ANV6" s="98"/>
      <c r="ANW6" s="98"/>
      <c r="ANX6" s="98"/>
      <c r="ANY6" s="98"/>
      <c r="ANZ6" s="98"/>
      <c r="AOA6" s="98"/>
      <c r="AOB6" s="98"/>
      <c r="AOC6" s="98"/>
      <c r="AOD6" s="98"/>
      <c r="AOE6" s="98"/>
      <c r="AOF6" s="98"/>
      <c r="AOG6" s="98"/>
      <c r="AOH6" s="98"/>
      <c r="AOI6" s="98"/>
      <c r="AOJ6" s="98"/>
      <c r="AOK6" s="98"/>
      <c r="AOL6" s="98"/>
      <c r="AOM6" s="98"/>
      <c r="AON6" s="98"/>
      <c r="AOO6" s="98"/>
      <c r="AOP6" s="98"/>
      <c r="AOQ6" s="98"/>
      <c r="AOR6" s="98"/>
      <c r="AOS6" s="98"/>
      <c r="AOT6" s="98"/>
      <c r="AOU6" s="98"/>
      <c r="AOV6" s="98"/>
      <c r="AOW6" s="98"/>
      <c r="AOX6" s="98"/>
      <c r="AOY6" s="98"/>
      <c r="AOZ6" s="98"/>
      <c r="APA6" s="98"/>
      <c r="APB6" s="98"/>
      <c r="APC6" s="98"/>
      <c r="APD6" s="98"/>
      <c r="APE6" s="98"/>
      <c r="APF6" s="98"/>
      <c r="APG6" s="98"/>
      <c r="APH6" s="98"/>
      <c r="API6" s="98"/>
      <c r="APJ6" s="98"/>
      <c r="APK6" s="98"/>
      <c r="APL6" s="98"/>
      <c r="APM6" s="98"/>
      <c r="APN6" s="98"/>
      <c r="APO6" s="98"/>
      <c r="APP6" s="98"/>
      <c r="APQ6" s="98"/>
      <c r="APR6" s="98"/>
      <c r="APS6" s="98"/>
      <c r="APT6" s="98"/>
      <c r="APU6" s="98"/>
      <c r="APV6" s="98"/>
      <c r="APW6" s="98"/>
      <c r="APX6" s="98"/>
      <c r="APY6" s="98"/>
      <c r="APZ6" s="98"/>
      <c r="AQA6" s="98"/>
      <c r="AQB6" s="98"/>
      <c r="AQC6" s="98"/>
      <c r="AQD6" s="98"/>
      <c r="AQE6" s="98"/>
      <c r="AQF6" s="98"/>
      <c r="AQG6" s="98"/>
      <c r="AQH6" s="98"/>
      <c r="AQI6" s="98"/>
      <c r="AQJ6" s="98"/>
      <c r="AQK6" s="98"/>
      <c r="AQL6" s="98"/>
      <c r="AQM6" s="98"/>
      <c r="AQN6" s="98"/>
      <c r="AQO6" s="98"/>
      <c r="AQP6" s="98"/>
      <c r="AQQ6" s="98"/>
      <c r="AQR6" s="98"/>
      <c r="AQS6" s="98"/>
      <c r="AQT6" s="98"/>
      <c r="AQU6" s="98"/>
      <c r="AQV6" s="98"/>
      <c r="AQW6" s="98"/>
      <c r="AQX6" s="98"/>
      <c r="AQY6" s="98"/>
      <c r="AQZ6" s="98"/>
      <c r="ARA6" s="98"/>
      <c r="ARB6" s="98"/>
      <c r="ARC6" s="98"/>
      <c r="ARD6" s="98"/>
      <c r="ARE6" s="98"/>
      <c r="ARF6" s="98"/>
      <c r="ARG6" s="98"/>
      <c r="ARH6" s="98"/>
      <c r="ARI6" s="98"/>
      <c r="ARJ6" s="98"/>
      <c r="ARK6" s="98"/>
      <c r="ARL6" s="98"/>
      <c r="ARM6" s="98"/>
      <c r="ARN6" s="98"/>
      <c r="ARO6" s="98"/>
      <c r="ARP6" s="98"/>
      <c r="ARQ6" s="98"/>
      <c r="ARR6" s="98"/>
      <c r="ARS6" s="98"/>
      <c r="ART6" s="98"/>
      <c r="ARU6" s="98"/>
      <c r="ARV6" s="98"/>
      <c r="ARW6" s="98"/>
      <c r="ARX6" s="98"/>
      <c r="ARY6" s="98"/>
      <c r="ARZ6" s="98"/>
      <c r="ASA6" s="98"/>
      <c r="ASB6" s="98"/>
      <c r="ASC6" s="98"/>
      <c r="ASD6" s="98"/>
      <c r="ASE6" s="98"/>
      <c r="ASF6" s="98"/>
      <c r="ASG6" s="98"/>
      <c r="ASH6" s="98"/>
      <c r="ASI6" s="98"/>
      <c r="ASJ6" s="98"/>
      <c r="ASK6" s="98"/>
      <c r="ASL6" s="98"/>
      <c r="ASM6" s="98"/>
      <c r="ASN6" s="98"/>
      <c r="ASO6" s="98"/>
      <c r="ASP6" s="98"/>
      <c r="ASQ6" s="98"/>
      <c r="ASR6" s="98"/>
      <c r="ASS6" s="98"/>
      <c r="AST6" s="98"/>
      <c r="ASU6" s="98"/>
      <c r="ASV6" s="98"/>
      <c r="ASW6" s="98"/>
      <c r="ASX6" s="98"/>
      <c r="ASY6" s="98"/>
      <c r="ASZ6" s="98"/>
      <c r="ATA6" s="98"/>
      <c r="ATB6" s="98"/>
      <c r="ATC6" s="98"/>
      <c r="ATD6" s="98"/>
      <c r="ATE6" s="98"/>
      <c r="ATF6" s="98"/>
      <c r="ATG6" s="98"/>
      <c r="ATH6" s="98"/>
      <c r="ATI6" s="98"/>
      <c r="ATJ6" s="98"/>
      <c r="ATK6" s="98"/>
      <c r="ATL6" s="98"/>
      <c r="ATM6" s="98"/>
      <c r="ATN6" s="98"/>
      <c r="ATO6" s="98"/>
      <c r="ATP6" s="98"/>
      <c r="ATQ6" s="98"/>
      <c r="ATR6" s="98"/>
      <c r="ATS6" s="98"/>
      <c r="ATT6" s="98"/>
      <c r="ATU6" s="98"/>
      <c r="ATV6" s="98"/>
      <c r="ATW6" s="98"/>
      <c r="ATX6" s="98"/>
      <c r="ATY6" s="98"/>
      <c r="ATZ6" s="98"/>
      <c r="AUA6" s="98"/>
      <c r="AUB6" s="98"/>
      <c r="AUC6" s="98"/>
      <c r="AUD6" s="98"/>
      <c r="AUE6" s="98"/>
      <c r="AUF6" s="98"/>
      <c r="AUG6" s="98"/>
      <c r="AUH6" s="98"/>
      <c r="AUI6" s="98"/>
      <c r="AUJ6" s="98"/>
      <c r="AUK6" s="98"/>
      <c r="AUL6" s="98"/>
      <c r="AUM6" s="98"/>
      <c r="AUN6" s="98"/>
      <c r="AUO6" s="98"/>
      <c r="AUP6" s="98"/>
      <c r="AUQ6" s="98"/>
      <c r="AUR6" s="98"/>
      <c r="AUS6" s="98"/>
      <c r="AUT6" s="98"/>
      <c r="AUU6" s="98"/>
      <c r="AUV6" s="98"/>
      <c r="AUW6" s="98"/>
      <c r="AUX6" s="98"/>
      <c r="AUY6" s="98"/>
      <c r="AUZ6" s="98"/>
      <c r="AVA6" s="98"/>
      <c r="AVB6" s="98"/>
      <c r="AVC6" s="98"/>
      <c r="AVD6" s="98"/>
      <c r="AVE6" s="98"/>
      <c r="AVF6" s="98"/>
      <c r="AVG6" s="98"/>
      <c r="AVH6" s="98"/>
      <c r="AVI6" s="98"/>
      <c r="AVJ6" s="98"/>
      <c r="AVK6" s="98"/>
      <c r="AVL6" s="98"/>
      <c r="AVM6" s="98"/>
      <c r="AVN6" s="98"/>
      <c r="AVO6" s="98"/>
      <c r="AVP6" s="98"/>
      <c r="AVQ6" s="98"/>
      <c r="AVR6" s="98"/>
      <c r="AVS6" s="98"/>
      <c r="AVT6" s="98"/>
      <c r="AVU6" s="98"/>
      <c r="AVV6" s="98"/>
      <c r="AVW6" s="98"/>
      <c r="AVX6" s="98"/>
      <c r="AVY6" s="98"/>
      <c r="AVZ6" s="98"/>
      <c r="AWA6" s="98"/>
      <c r="AWB6" s="98"/>
      <c r="AWC6" s="98"/>
      <c r="AWD6" s="98"/>
      <c r="AWE6" s="98"/>
      <c r="AWF6" s="98"/>
      <c r="AWG6" s="98"/>
      <c r="AWH6" s="98"/>
      <c r="AWI6" s="98"/>
      <c r="AWJ6" s="98"/>
      <c r="AWK6" s="98"/>
      <c r="AWL6" s="98"/>
      <c r="AWM6" s="98"/>
      <c r="AWN6" s="98"/>
      <c r="AWO6" s="98"/>
      <c r="AWP6" s="98"/>
      <c r="AWQ6" s="98"/>
      <c r="AWR6" s="98"/>
      <c r="AWS6" s="98"/>
      <c r="AWT6" s="98"/>
      <c r="AWU6" s="98"/>
      <c r="AWV6" s="98"/>
      <c r="AWW6" s="98"/>
      <c r="AWX6" s="98"/>
      <c r="AWY6" s="98"/>
      <c r="AWZ6" s="98"/>
      <c r="AXA6" s="98"/>
      <c r="AXB6" s="98"/>
      <c r="AXC6" s="98"/>
      <c r="AXD6" s="98"/>
      <c r="AXE6" s="98"/>
      <c r="AXF6" s="98"/>
      <c r="AXG6" s="98"/>
      <c r="AXH6" s="98"/>
      <c r="AXI6" s="98"/>
      <c r="AXJ6" s="98"/>
      <c r="AXK6" s="98"/>
      <c r="AXL6" s="98"/>
      <c r="AXM6" s="98"/>
      <c r="AXN6" s="98"/>
      <c r="AXO6" s="98"/>
      <c r="AXP6" s="98"/>
      <c r="AXQ6" s="98"/>
      <c r="AXR6" s="98"/>
      <c r="AXS6" s="98"/>
      <c r="AXT6" s="98"/>
      <c r="AXU6" s="98"/>
      <c r="AXV6" s="98"/>
      <c r="AXW6" s="98"/>
      <c r="AXX6" s="98"/>
      <c r="AXY6" s="98"/>
      <c r="AXZ6" s="98"/>
      <c r="AYA6" s="98"/>
      <c r="AYB6" s="98"/>
      <c r="AYC6" s="98"/>
      <c r="AYD6" s="98"/>
      <c r="AYE6" s="98"/>
      <c r="AYF6" s="98"/>
      <c r="AYG6" s="98"/>
      <c r="AYH6" s="98"/>
      <c r="AYI6" s="98"/>
      <c r="AYJ6" s="98"/>
      <c r="AYK6" s="98"/>
      <c r="AYL6" s="98"/>
      <c r="AYM6" s="98"/>
      <c r="AYN6" s="98"/>
      <c r="AYO6" s="98"/>
      <c r="AYP6" s="98"/>
      <c r="AYQ6" s="98"/>
      <c r="AYR6" s="98"/>
      <c r="AYS6" s="98"/>
      <c r="AYT6" s="98"/>
      <c r="AYU6" s="98"/>
      <c r="AYV6" s="98"/>
      <c r="AYW6" s="98"/>
      <c r="AYX6" s="98"/>
      <c r="AYY6" s="98"/>
      <c r="AYZ6" s="98"/>
      <c r="AZA6" s="98"/>
      <c r="AZB6" s="98"/>
      <c r="AZC6" s="98"/>
      <c r="AZD6" s="98"/>
      <c r="AZE6" s="98"/>
      <c r="AZF6" s="98"/>
      <c r="AZG6" s="98"/>
      <c r="AZH6" s="98"/>
      <c r="AZI6" s="98"/>
      <c r="AZJ6" s="98"/>
      <c r="AZK6" s="98"/>
      <c r="AZL6" s="98"/>
      <c r="AZM6" s="98"/>
      <c r="AZN6" s="98"/>
      <c r="AZO6" s="98"/>
      <c r="AZP6" s="98"/>
      <c r="AZQ6" s="98"/>
      <c r="AZR6" s="98"/>
      <c r="AZS6" s="98"/>
      <c r="AZT6" s="98"/>
      <c r="AZU6" s="98"/>
      <c r="AZV6" s="98"/>
      <c r="AZW6" s="98"/>
      <c r="AZX6" s="98"/>
      <c r="AZY6" s="98"/>
      <c r="AZZ6" s="98"/>
      <c r="BAA6" s="98"/>
      <c r="BAB6" s="98"/>
      <c r="BAC6" s="98"/>
      <c r="BAD6" s="98"/>
      <c r="BAE6" s="98"/>
      <c r="BAF6" s="98"/>
      <c r="BAG6" s="98"/>
      <c r="BAH6" s="98"/>
      <c r="BAI6" s="98"/>
      <c r="BAJ6" s="98"/>
      <c r="BAK6" s="98"/>
      <c r="BAL6" s="98"/>
      <c r="BAM6" s="98"/>
      <c r="BAN6" s="98"/>
      <c r="BAO6" s="98"/>
      <c r="BAP6" s="98"/>
      <c r="BAQ6" s="98"/>
      <c r="BAR6" s="98"/>
      <c r="BAS6" s="98"/>
      <c r="BAT6" s="98"/>
      <c r="BAU6" s="98"/>
      <c r="BAV6" s="98"/>
      <c r="BAW6" s="98"/>
      <c r="BAX6" s="98"/>
      <c r="BAY6" s="98"/>
      <c r="BAZ6" s="98"/>
      <c r="BBA6" s="98"/>
      <c r="BBB6" s="98"/>
      <c r="BBC6" s="98"/>
      <c r="BBD6" s="98"/>
      <c r="BBE6" s="98"/>
      <c r="BBF6" s="98"/>
      <c r="BBG6" s="98"/>
      <c r="BBH6" s="98"/>
      <c r="BBI6" s="98"/>
      <c r="BBJ6" s="98"/>
      <c r="BBK6" s="98"/>
      <c r="BBL6" s="98"/>
      <c r="BBM6" s="98"/>
      <c r="BBN6" s="98"/>
      <c r="BBO6" s="98"/>
      <c r="BBP6" s="98"/>
      <c r="BBQ6" s="98"/>
      <c r="BBR6" s="98"/>
      <c r="BBS6" s="98"/>
      <c r="BBT6" s="98"/>
      <c r="BBU6" s="98"/>
      <c r="BBV6" s="98"/>
      <c r="BBW6" s="98"/>
      <c r="BBX6" s="98"/>
      <c r="BBY6" s="98"/>
      <c r="BBZ6" s="98"/>
      <c r="BCA6" s="98"/>
      <c r="BCB6" s="98"/>
      <c r="BCC6" s="98"/>
      <c r="BCD6" s="98"/>
      <c r="BCE6" s="98"/>
      <c r="BCF6" s="98"/>
      <c r="BCG6" s="98"/>
      <c r="BCH6" s="98"/>
      <c r="BCI6" s="98"/>
      <c r="BCJ6" s="98"/>
      <c r="BCK6" s="98"/>
      <c r="BCL6" s="98"/>
      <c r="BCM6" s="98"/>
      <c r="BCN6" s="98"/>
      <c r="BCO6" s="98"/>
      <c r="BCP6" s="98"/>
      <c r="BCQ6" s="98"/>
      <c r="BCR6" s="98"/>
      <c r="BCS6" s="98"/>
      <c r="BCT6" s="98"/>
      <c r="BCU6" s="98"/>
      <c r="BCV6" s="98"/>
      <c r="BCW6" s="98"/>
      <c r="BCX6" s="98"/>
      <c r="BCY6" s="98"/>
      <c r="BCZ6" s="98"/>
      <c r="BDA6" s="98"/>
      <c r="BDB6" s="98"/>
      <c r="BDC6" s="98"/>
      <c r="BDD6" s="98"/>
      <c r="BDE6" s="98"/>
      <c r="BDF6" s="98"/>
      <c r="BDG6" s="98"/>
      <c r="BDH6" s="98"/>
      <c r="BDI6" s="98"/>
      <c r="BDJ6" s="98"/>
      <c r="BDK6" s="98"/>
      <c r="BDL6" s="98"/>
      <c r="BDM6" s="98"/>
      <c r="BDN6" s="98"/>
      <c r="BDO6" s="98"/>
      <c r="BDP6" s="98"/>
      <c r="BDQ6" s="98"/>
      <c r="BDR6" s="98"/>
      <c r="BDS6" s="98"/>
      <c r="BDT6" s="98"/>
      <c r="BDU6" s="98"/>
      <c r="BDV6" s="98"/>
      <c r="BDW6" s="98"/>
      <c r="BDX6" s="98"/>
      <c r="BDY6" s="98"/>
      <c r="BDZ6" s="98"/>
      <c r="BEA6" s="98"/>
      <c r="BEB6" s="98"/>
      <c r="BEC6" s="98"/>
      <c r="BED6" s="98"/>
      <c r="BEE6" s="98"/>
      <c r="BEF6" s="98"/>
      <c r="BEG6" s="98"/>
      <c r="BEH6" s="98"/>
      <c r="BEI6" s="98"/>
      <c r="BEJ6" s="98"/>
      <c r="BEK6" s="98"/>
      <c r="BEL6" s="98"/>
      <c r="BEM6" s="98"/>
      <c r="BEN6" s="98"/>
      <c r="BEO6" s="98"/>
      <c r="BEP6" s="98"/>
      <c r="BEQ6" s="98"/>
      <c r="BER6" s="98"/>
      <c r="BES6" s="98"/>
      <c r="BET6" s="98"/>
      <c r="BEU6" s="98"/>
      <c r="BEV6" s="98"/>
      <c r="BEW6" s="98"/>
      <c r="BEX6" s="98"/>
      <c r="BEY6" s="98"/>
      <c r="BEZ6" s="98"/>
      <c r="BFA6" s="98"/>
      <c r="BFB6" s="98"/>
      <c r="BFC6" s="98"/>
      <c r="BFD6" s="98"/>
      <c r="BFE6" s="98"/>
      <c r="BFF6" s="98"/>
      <c r="BFG6" s="98"/>
      <c r="BFH6" s="98"/>
      <c r="BFI6" s="98"/>
      <c r="BFJ6" s="98"/>
      <c r="BFK6" s="98"/>
      <c r="BFL6" s="98"/>
      <c r="BFM6" s="98"/>
      <c r="BFN6" s="98"/>
      <c r="BFO6" s="98"/>
      <c r="BFP6" s="98"/>
      <c r="BFQ6" s="98"/>
      <c r="BFR6" s="98"/>
      <c r="BFS6" s="98"/>
      <c r="BFT6" s="98"/>
      <c r="BFU6" s="98"/>
      <c r="BFV6" s="98"/>
      <c r="BFW6" s="98"/>
      <c r="BFX6" s="98"/>
      <c r="BFY6" s="98"/>
      <c r="BFZ6" s="98"/>
      <c r="BGA6" s="98"/>
      <c r="BGB6" s="98"/>
      <c r="BGC6" s="98"/>
      <c r="BGD6" s="98"/>
      <c r="BGE6" s="98"/>
      <c r="BGF6" s="98"/>
      <c r="BGG6" s="98"/>
      <c r="BGH6" s="98"/>
      <c r="BGI6" s="98"/>
      <c r="BGJ6" s="98"/>
      <c r="BGK6" s="98"/>
      <c r="BGL6" s="98"/>
      <c r="BGM6" s="98"/>
      <c r="BGN6" s="98"/>
      <c r="BGO6" s="98"/>
      <c r="BGP6" s="98"/>
      <c r="BGQ6" s="98"/>
      <c r="BGR6" s="98"/>
      <c r="BGS6" s="98"/>
      <c r="BGT6" s="98"/>
      <c r="BGU6" s="98"/>
      <c r="BGV6" s="98"/>
      <c r="BGW6" s="98"/>
      <c r="BGX6" s="98"/>
      <c r="BGY6" s="98"/>
      <c r="BGZ6" s="98"/>
      <c r="BHA6" s="98"/>
      <c r="BHB6" s="98"/>
      <c r="BHC6" s="98"/>
      <c r="BHD6" s="98"/>
      <c r="BHE6" s="98"/>
      <c r="BHF6" s="98"/>
      <c r="BHG6" s="98"/>
      <c r="BHH6" s="98"/>
      <c r="BHI6" s="98"/>
      <c r="BHJ6" s="98"/>
      <c r="BHK6" s="98"/>
      <c r="BHL6" s="98"/>
      <c r="BHM6" s="98"/>
      <c r="BHN6" s="98"/>
      <c r="BHO6" s="98"/>
      <c r="BHP6" s="98"/>
      <c r="BHQ6" s="98"/>
      <c r="BHR6" s="98"/>
      <c r="BHS6" s="98"/>
      <c r="BHT6" s="98"/>
      <c r="BHU6" s="98"/>
      <c r="BHV6" s="98"/>
      <c r="BHW6" s="98"/>
      <c r="BHX6" s="98"/>
      <c r="BHY6" s="98"/>
      <c r="BHZ6" s="98"/>
      <c r="BIA6" s="98"/>
      <c r="BIB6" s="98"/>
      <c r="BIC6" s="98"/>
      <c r="BID6" s="98"/>
      <c r="BIE6" s="98"/>
      <c r="BIF6" s="98"/>
      <c r="BIG6" s="98"/>
      <c r="BIH6" s="98"/>
      <c r="BII6" s="98"/>
      <c r="BIJ6" s="98"/>
      <c r="BIK6" s="98"/>
      <c r="BIL6" s="98"/>
      <c r="BIM6" s="98"/>
      <c r="BIN6" s="98"/>
      <c r="BIO6" s="98"/>
      <c r="BIP6" s="98"/>
      <c r="BIQ6" s="98"/>
      <c r="BIR6" s="98"/>
      <c r="BIS6" s="98"/>
      <c r="BIT6" s="98"/>
      <c r="BIU6" s="98"/>
      <c r="BIV6" s="98"/>
      <c r="BIW6" s="98"/>
      <c r="BIX6" s="98"/>
      <c r="BIY6" s="98"/>
      <c r="BIZ6" s="98"/>
      <c r="BJA6" s="98"/>
      <c r="BJB6" s="98"/>
      <c r="BJC6" s="98"/>
      <c r="BJD6" s="98"/>
      <c r="BJE6" s="98"/>
      <c r="BJF6" s="98"/>
      <c r="BJG6" s="98"/>
      <c r="BJH6" s="98"/>
      <c r="BJI6" s="98"/>
      <c r="BJJ6" s="98"/>
      <c r="BJK6" s="98"/>
      <c r="BJL6" s="98"/>
      <c r="BJM6" s="98"/>
      <c r="BJN6" s="98"/>
      <c r="BJO6" s="98"/>
      <c r="BJP6" s="98"/>
      <c r="BJQ6" s="98"/>
      <c r="BJR6" s="98"/>
      <c r="BJS6" s="98"/>
      <c r="BJT6" s="98"/>
      <c r="BJU6" s="98"/>
      <c r="BJV6" s="98"/>
      <c r="BJW6" s="98"/>
      <c r="BJX6" s="98"/>
      <c r="BJY6" s="98"/>
      <c r="BJZ6" s="98"/>
      <c r="BKA6" s="98"/>
      <c r="BKB6" s="98"/>
      <c r="BKC6" s="98"/>
      <c r="BKD6" s="98"/>
      <c r="BKE6" s="98"/>
      <c r="BKF6" s="98"/>
      <c r="BKG6" s="98"/>
      <c r="BKH6" s="98"/>
      <c r="BKI6" s="98"/>
      <c r="BKJ6" s="98"/>
      <c r="BKK6" s="98"/>
      <c r="BKL6" s="98"/>
      <c r="BKM6" s="98"/>
      <c r="BKN6" s="98"/>
      <c r="BKO6" s="98"/>
      <c r="BKP6" s="98"/>
      <c r="BKQ6" s="98"/>
      <c r="BKR6" s="98"/>
      <c r="BKS6" s="98"/>
      <c r="BKT6" s="98"/>
      <c r="BKU6" s="98"/>
      <c r="BKV6" s="98"/>
      <c r="BKW6" s="98"/>
      <c r="BKX6" s="98"/>
      <c r="BKY6" s="98"/>
      <c r="BKZ6" s="98"/>
      <c r="BLA6" s="98"/>
      <c r="BLB6" s="98"/>
      <c r="BLC6" s="98"/>
      <c r="BLD6" s="98"/>
      <c r="BLE6" s="98"/>
      <c r="BLF6" s="98"/>
      <c r="BLG6" s="98"/>
      <c r="BLH6" s="98"/>
      <c r="BLI6" s="98"/>
      <c r="BLJ6" s="98"/>
      <c r="BLK6" s="98"/>
      <c r="BLL6" s="98"/>
      <c r="BLM6" s="98"/>
      <c r="BLN6" s="98"/>
      <c r="BLO6" s="98"/>
      <c r="BLP6" s="98"/>
      <c r="BLQ6" s="98"/>
      <c r="BLR6" s="98"/>
      <c r="BLS6" s="98"/>
      <c r="BLT6" s="98"/>
      <c r="BLU6" s="98"/>
      <c r="BLV6" s="98"/>
      <c r="BLW6" s="98"/>
      <c r="BLX6" s="98"/>
      <c r="BLY6" s="98"/>
      <c r="BLZ6" s="98"/>
      <c r="BMA6" s="98"/>
      <c r="BMB6" s="98"/>
      <c r="BMC6" s="98"/>
      <c r="BMD6" s="98"/>
      <c r="BME6" s="98"/>
      <c r="BMF6" s="98"/>
      <c r="BMG6" s="98"/>
      <c r="BMH6" s="98"/>
      <c r="BMI6" s="98"/>
      <c r="BMJ6" s="98"/>
      <c r="BMK6" s="98"/>
      <c r="BML6" s="98"/>
      <c r="BMM6" s="98"/>
      <c r="BMN6" s="98"/>
      <c r="BMO6" s="98"/>
      <c r="BMP6" s="98"/>
      <c r="BMQ6" s="98"/>
      <c r="BMR6" s="98"/>
      <c r="BMS6" s="98"/>
      <c r="BMT6" s="98"/>
      <c r="BMU6" s="98"/>
      <c r="BMV6" s="98"/>
      <c r="BMW6" s="98"/>
      <c r="BMX6" s="98"/>
      <c r="BMY6" s="98"/>
      <c r="BMZ6" s="98"/>
      <c r="BNA6" s="98"/>
      <c r="BNB6" s="98"/>
      <c r="BNC6" s="98"/>
      <c r="BND6" s="98"/>
      <c r="BNE6" s="98"/>
      <c r="BNF6" s="98"/>
      <c r="BNG6" s="98"/>
      <c r="BNH6" s="98"/>
      <c r="BNI6" s="98"/>
      <c r="BNJ6" s="98"/>
      <c r="BNK6" s="98"/>
      <c r="BNL6" s="98"/>
      <c r="BNM6" s="98"/>
      <c r="BNN6" s="98"/>
      <c r="BNO6" s="98"/>
      <c r="BNP6" s="98"/>
      <c r="BNQ6" s="98"/>
      <c r="BNR6" s="98"/>
      <c r="BNS6" s="98"/>
      <c r="BNT6" s="98"/>
      <c r="BNU6" s="98"/>
      <c r="BNV6" s="98"/>
      <c r="BNW6" s="98"/>
      <c r="BNX6" s="98"/>
      <c r="BNY6" s="98"/>
      <c r="BNZ6" s="98"/>
      <c r="BOA6" s="98"/>
      <c r="BOB6" s="98"/>
      <c r="BOC6" s="98"/>
      <c r="BOD6" s="98"/>
      <c r="BOE6" s="98"/>
      <c r="BOF6" s="98"/>
      <c r="BOG6" s="98"/>
      <c r="BOH6" s="98"/>
      <c r="BOI6" s="98"/>
      <c r="BOJ6" s="98"/>
      <c r="BOK6" s="98"/>
      <c r="BOL6" s="98"/>
      <c r="BOM6" s="98"/>
      <c r="BON6" s="98"/>
      <c r="BOO6" s="98"/>
      <c r="BOP6" s="98"/>
      <c r="BOQ6" s="98"/>
      <c r="BOR6" s="98"/>
      <c r="BOS6" s="98"/>
      <c r="BOT6" s="98"/>
      <c r="BOU6" s="98"/>
      <c r="BOV6" s="98"/>
      <c r="BOW6" s="98"/>
      <c r="BOX6" s="98"/>
      <c r="BOY6" s="98"/>
      <c r="BOZ6" s="98"/>
      <c r="BPA6" s="98"/>
      <c r="BPB6" s="98"/>
      <c r="BPC6" s="98"/>
      <c r="BPD6" s="98"/>
      <c r="BPE6" s="98"/>
      <c r="BPF6" s="98"/>
      <c r="BPG6" s="98"/>
      <c r="BPH6" s="98"/>
      <c r="BPI6" s="98"/>
      <c r="BPJ6" s="98"/>
      <c r="BPK6" s="98"/>
      <c r="BPL6" s="98"/>
      <c r="BPM6" s="98"/>
      <c r="BPN6" s="98"/>
      <c r="BPO6" s="98"/>
      <c r="BPP6" s="98"/>
      <c r="BPQ6" s="98"/>
      <c r="BPR6" s="98"/>
      <c r="BPS6" s="98"/>
      <c r="BPT6" s="98"/>
      <c r="BPU6" s="98"/>
      <c r="BPV6" s="98"/>
      <c r="BPW6" s="98"/>
      <c r="BPX6" s="98"/>
      <c r="BPY6" s="98"/>
      <c r="BPZ6" s="98"/>
      <c r="BQA6" s="98"/>
      <c r="BQB6" s="98"/>
      <c r="BQC6" s="98"/>
      <c r="BQD6" s="98"/>
      <c r="BQE6" s="98"/>
      <c r="BQF6" s="98"/>
      <c r="BQG6" s="98"/>
      <c r="BQH6" s="98"/>
      <c r="BQI6" s="98"/>
      <c r="BQJ6" s="98"/>
      <c r="BQK6" s="98"/>
      <c r="BQL6" s="98"/>
      <c r="BQM6" s="98"/>
      <c r="BQN6" s="98"/>
      <c r="BQO6" s="98"/>
      <c r="BQP6" s="98"/>
      <c r="BQQ6" s="98"/>
      <c r="BQR6" s="98"/>
      <c r="BQS6" s="98"/>
      <c r="BQT6" s="98"/>
      <c r="BQU6" s="98"/>
      <c r="BQV6" s="98"/>
      <c r="BQW6" s="98"/>
      <c r="BQX6" s="98"/>
      <c r="BQY6" s="98"/>
      <c r="BQZ6" s="98"/>
      <c r="BRA6" s="98"/>
      <c r="BRB6" s="98"/>
      <c r="BRC6" s="98"/>
      <c r="BRD6" s="98"/>
      <c r="BRE6" s="98"/>
      <c r="BRF6" s="98"/>
      <c r="BRG6" s="98"/>
      <c r="BRH6" s="98"/>
      <c r="BRI6" s="98"/>
      <c r="BRJ6" s="98"/>
      <c r="BRK6" s="98"/>
      <c r="BRL6" s="98"/>
      <c r="BRM6" s="98"/>
      <c r="BRN6" s="98"/>
      <c r="BRO6" s="98"/>
      <c r="BRP6" s="98"/>
      <c r="BRQ6" s="98"/>
      <c r="BRR6" s="98"/>
      <c r="BRS6" s="98"/>
      <c r="BRT6" s="98"/>
      <c r="BRU6" s="98"/>
      <c r="BRV6" s="98"/>
      <c r="BRW6" s="98"/>
      <c r="BRX6" s="98"/>
      <c r="BRY6" s="98"/>
      <c r="BRZ6" s="98"/>
      <c r="BSA6" s="98"/>
      <c r="BSB6" s="98"/>
      <c r="BSC6" s="98"/>
      <c r="BSD6" s="98"/>
      <c r="BSE6" s="98"/>
      <c r="BSF6" s="98"/>
      <c r="BSG6" s="98"/>
      <c r="BSH6" s="98"/>
      <c r="BSI6" s="98"/>
      <c r="BSJ6" s="98"/>
      <c r="BSK6" s="98"/>
      <c r="BSL6" s="98"/>
      <c r="BSM6" s="98"/>
      <c r="BSN6" s="98"/>
      <c r="BSO6" s="98"/>
      <c r="BSP6" s="98"/>
      <c r="BSQ6" s="98"/>
      <c r="BSR6" s="98"/>
      <c r="BSS6" s="98"/>
      <c r="BST6" s="98"/>
      <c r="BSU6" s="98"/>
      <c r="BSV6" s="98"/>
      <c r="BSW6" s="98"/>
      <c r="BSX6" s="98"/>
      <c r="BSY6" s="98"/>
      <c r="BSZ6" s="98"/>
      <c r="BTA6" s="98"/>
      <c r="BTB6" s="98"/>
      <c r="BTC6" s="98"/>
      <c r="BTD6" s="98"/>
      <c r="BTE6" s="98"/>
      <c r="BTF6" s="98"/>
      <c r="BTG6" s="98"/>
      <c r="BTH6" s="98"/>
      <c r="BTI6" s="98"/>
      <c r="BTJ6" s="98"/>
      <c r="BTK6" s="98"/>
      <c r="BTL6" s="98"/>
      <c r="BTM6" s="98"/>
      <c r="BTN6" s="98"/>
      <c r="BTO6" s="98"/>
      <c r="BTP6" s="98"/>
      <c r="BTQ6" s="98"/>
      <c r="BTR6" s="98"/>
      <c r="BTS6" s="98"/>
      <c r="BTT6" s="98"/>
      <c r="BTU6" s="98"/>
      <c r="BTV6" s="98"/>
      <c r="BTW6" s="98"/>
      <c r="BTX6" s="98"/>
      <c r="BTY6" s="98"/>
      <c r="BTZ6" s="98"/>
      <c r="BUA6" s="98"/>
      <c r="BUB6" s="98"/>
      <c r="BUC6" s="98"/>
      <c r="BUD6" s="98"/>
      <c r="BUE6" s="98"/>
      <c r="BUF6" s="98"/>
      <c r="BUG6" s="98"/>
      <c r="BUH6" s="98"/>
      <c r="BUI6" s="98"/>
      <c r="BUJ6" s="98"/>
      <c r="BUK6" s="98"/>
      <c r="BUL6" s="98"/>
      <c r="BUM6" s="98"/>
      <c r="BUN6" s="98"/>
      <c r="BUO6" s="98"/>
      <c r="BUP6" s="98"/>
      <c r="BUQ6" s="98"/>
      <c r="BUR6" s="98"/>
      <c r="BUS6" s="98"/>
      <c r="BUT6" s="98"/>
      <c r="BUU6" s="98"/>
      <c r="BUV6" s="98"/>
      <c r="BUW6" s="98"/>
      <c r="BUX6" s="98"/>
      <c r="BUY6" s="98"/>
      <c r="BUZ6" s="98"/>
      <c r="BVA6" s="98"/>
      <c r="BVB6" s="98"/>
      <c r="BVC6" s="98"/>
      <c r="BVD6" s="98"/>
      <c r="BVE6" s="98"/>
      <c r="BVF6" s="98"/>
      <c r="BVG6" s="98"/>
      <c r="BVH6" s="98"/>
      <c r="BVI6" s="98"/>
      <c r="BVJ6" s="98"/>
      <c r="BVK6" s="98"/>
      <c r="BVL6" s="98"/>
      <c r="BVM6" s="98"/>
      <c r="BVN6" s="98"/>
      <c r="BVO6" s="98"/>
      <c r="BVP6" s="98"/>
      <c r="BVQ6" s="98"/>
      <c r="BVR6" s="98"/>
      <c r="BVS6" s="98"/>
      <c r="BVT6" s="98"/>
      <c r="BVU6" s="98"/>
      <c r="BVV6" s="98"/>
      <c r="BVW6" s="98"/>
      <c r="BVX6" s="98"/>
      <c r="BVY6" s="98"/>
      <c r="BVZ6" s="98"/>
      <c r="BWA6" s="98"/>
      <c r="BWB6" s="98"/>
      <c r="BWC6" s="98"/>
      <c r="BWD6" s="98"/>
      <c r="BWE6" s="98"/>
      <c r="BWF6" s="98"/>
      <c r="BWG6" s="98"/>
      <c r="BWH6" s="98"/>
      <c r="BWI6" s="98"/>
      <c r="BWJ6" s="98"/>
      <c r="BWK6" s="98"/>
      <c r="BWL6" s="98"/>
      <c r="BWM6" s="98"/>
      <c r="BWN6" s="98"/>
      <c r="BWO6" s="98"/>
      <c r="BWP6" s="98"/>
      <c r="BWQ6" s="98"/>
      <c r="BWR6" s="98"/>
      <c r="BWS6" s="98"/>
      <c r="BWT6" s="98"/>
      <c r="BWU6" s="98"/>
      <c r="BWV6" s="98"/>
      <c r="BWW6" s="98"/>
      <c r="BWX6" s="98"/>
      <c r="BWY6" s="98"/>
      <c r="BWZ6" s="98"/>
      <c r="BXA6" s="98"/>
      <c r="BXB6" s="98"/>
      <c r="BXC6" s="98"/>
      <c r="BXD6" s="98"/>
      <c r="BXE6" s="98"/>
      <c r="BXF6" s="98"/>
      <c r="BXG6" s="98"/>
      <c r="BXH6" s="98"/>
      <c r="BXI6" s="98"/>
      <c r="BXJ6" s="98"/>
      <c r="BXK6" s="98"/>
      <c r="BXL6" s="98"/>
      <c r="BXM6" s="98"/>
      <c r="BXN6" s="98"/>
      <c r="BXO6" s="98"/>
      <c r="BXP6" s="98"/>
      <c r="BXQ6" s="98"/>
      <c r="BXR6" s="98"/>
      <c r="BXS6" s="98"/>
      <c r="BXT6" s="98"/>
      <c r="BXU6" s="98"/>
      <c r="BXV6" s="98"/>
      <c r="BXW6" s="98"/>
      <c r="BXX6" s="98"/>
      <c r="BXY6" s="98"/>
      <c r="BXZ6" s="98"/>
      <c r="BYA6" s="98"/>
      <c r="BYB6" s="98"/>
      <c r="BYC6" s="98"/>
      <c r="BYD6" s="98"/>
      <c r="BYE6" s="98"/>
      <c r="BYF6" s="98"/>
      <c r="BYG6" s="98"/>
      <c r="BYH6" s="98"/>
      <c r="BYI6" s="98"/>
      <c r="BYJ6" s="98"/>
      <c r="BYK6" s="98"/>
      <c r="BYL6" s="98"/>
      <c r="BYM6" s="98"/>
      <c r="BYN6" s="98"/>
      <c r="BYO6" s="98"/>
      <c r="BYP6" s="98"/>
      <c r="BYQ6" s="98"/>
      <c r="BYR6" s="98"/>
      <c r="BYS6" s="98"/>
      <c r="BYT6" s="98"/>
      <c r="BYU6" s="98"/>
      <c r="BYV6" s="98"/>
      <c r="BYW6" s="98"/>
      <c r="BYX6" s="98"/>
      <c r="BYY6" s="98"/>
      <c r="BYZ6" s="98"/>
      <c r="BZA6" s="98"/>
      <c r="BZB6" s="98"/>
      <c r="BZC6" s="98"/>
      <c r="BZD6" s="98"/>
      <c r="BZE6" s="98"/>
      <c r="BZF6" s="98"/>
      <c r="BZG6" s="98"/>
      <c r="BZH6" s="98"/>
      <c r="BZI6" s="98"/>
      <c r="BZJ6" s="98"/>
      <c r="BZK6" s="98"/>
      <c r="BZL6" s="98"/>
      <c r="BZM6" s="98"/>
      <c r="BZN6" s="98"/>
      <c r="BZO6" s="98"/>
      <c r="BZP6" s="98"/>
      <c r="BZQ6" s="98"/>
      <c r="BZR6" s="98"/>
      <c r="BZS6" s="98"/>
      <c r="BZT6" s="98"/>
      <c r="BZU6" s="98"/>
      <c r="BZV6" s="98"/>
      <c r="BZW6" s="98"/>
      <c r="BZX6" s="98"/>
      <c r="BZY6" s="98"/>
      <c r="BZZ6" s="98"/>
      <c r="CAA6" s="98"/>
      <c r="CAB6" s="98"/>
      <c r="CAC6" s="98"/>
      <c r="CAD6" s="98"/>
      <c r="CAE6" s="98"/>
      <c r="CAF6" s="98"/>
      <c r="CAG6" s="98"/>
      <c r="CAH6" s="98"/>
      <c r="CAI6" s="98"/>
      <c r="CAJ6" s="98"/>
      <c r="CAK6" s="98"/>
      <c r="CAL6" s="98"/>
      <c r="CAM6" s="98"/>
      <c r="CAN6" s="98"/>
      <c r="CAO6" s="98"/>
      <c r="CAP6" s="98"/>
      <c r="CAQ6" s="98"/>
      <c r="CAR6" s="98"/>
      <c r="CAS6" s="98"/>
      <c r="CAT6" s="98"/>
      <c r="CAU6" s="98"/>
      <c r="CAV6" s="98"/>
      <c r="CAW6" s="98"/>
      <c r="CAX6" s="98"/>
      <c r="CAY6" s="98"/>
      <c r="CAZ6" s="98"/>
      <c r="CBA6" s="98"/>
      <c r="CBB6" s="98"/>
      <c r="CBC6" s="98"/>
      <c r="CBD6" s="98"/>
      <c r="CBE6" s="98"/>
      <c r="CBF6" s="98"/>
      <c r="CBG6" s="98"/>
      <c r="CBH6" s="98"/>
      <c r="CBI6" s="98"/>
      <c r="CBJ6" s="98"/>
      <c r="CBK6" s="98"/>
      <c r="CBL6" s="98"/>
      <c r="CBM6" s="98"/>
      <c r="CBN6" s="98"/>
      <c r="CBO6" s="98"/>
      <c r="CBP6" s="98"/>
      <c r="CBQ6" s="98"/>
      <c r="CBR6" s="98"/>
      <c r="CBS6" s="98"/>
      <c r="CBT6" s="98"/>
      <c r="CBU6" s="98"/>
      <c r="CBV6" s="98"/>
      <c r="CBW6" s="98"/>
      <c r="CBX6" s="98"/>
      <c r="CBY6" s="98"/>
      <c r="CBZ6" s="98"/>
      <c r="CCA6" s="98"/>
      <c r="CCB6" s="98"/>
      <c r="CCC6" s="98"/>
      <c r="CCD6" s="98"/>
      <c r="CCE6" s="98"/>
      <c r="CCF6" s="98"/>
      <c r="CCG6" s="98"/>
      <c r="CCH6" s="98"/>
      <c r="CCI6" s="98"/>
      <c r="CCJ6" s="98"/>
      <c r="CCK6" s="98"/>
      <c r="CCL6" s="98"/>
      <c r="CCM6" s="98"/>
      <c r="CCN6" s="98"/>
      <c r="CCO6" s="98"/>
      <c r="CCP6" s="98"/>
      <c r="CCQ6" s="98"/>
      <c r="CCR6" s="98"/>
      <c r="CCS6" s="98"/>
      <c r="CCT6" s="98"/>
      <c r="CCU6" s="98"/>
      <c r="CCV6" s="98"/>
    </row>
    <row r="7" spans="1:2129 15008:15070 15386:15394" ht="14.1" customHeight="1" x14ac:dyDescent="0.25">
      <c r="G7" s="195" t="s">
        <v>96</v>
      </c>
      <c r="H7" s="196"/>
      <c r="I7" s="97"/>
      <c r="J7" s="197"/>
      <c r="K7" s="97"/>
      <c r="L7" s="96"/>
      <c r="M7" s="95"/>
      <c r="N7" s="167"/>
      <c r="O7" s="167"/>
      <c r="P7" s="181"/>
      <c r="Q7" s="174"/>
      <c r="R7" s="96"/>
      <c r="S7" s="96"/>
      <c r="T7" s="95"/>
      <c r="U7" s="192"/>
      <c r="V7" s="192"/>
      <c r="W7" s="192"/>
      <c r="X7" s="94"/>
      <c r="Y7" s="94"/>
      <c r="Z7" s="94"/>
      <c r="AA7" s="94"/>
      <c r="AB7" s="94"/>
      <c r="AC7" s="92" t="s">
        <v>95</v>
      </c>
      <c r="AD7" s="92"/>
      <c r="AE7" s="92"/>
      <c r="AF7" s="92"/>
      <c r="AG7" s="92"/>
      <c r="AH7" s="92"/>
      <c r="AI7" s="92"/>
      <c r="AJ7" s="91" t="s">
        <v>94</v>
      </c>
      <c r="AK7" s="91"/>
      <c r="AL7" s="91"/>
      <c r="AM7" s="91"/>
      <c r="AN7" s="91"/>
      <c r="AO7" s="91"/>
      <c r="AP7" s="91"/>
      <c r="AQ7" s="92" t="s">
        <v>93</v>
      </c>
      <c r="AR7" s="92"/>
      <c r="AS7" s="92"/>
      <c r="AT7" s="92"/>
      <c r="AU7" s="92"/>
      <c r="AV7" s="92"/>
      <c r="AW7" s="92"/>
      <c r="AX7" s="91" t="s">
        <v>92</v>
      </c>
      <c r="AY7" s="91"/>
      <c r="AZ7" s="91"/>
      <c r="BA7" s="91"/>
      <c r="BB7" s="91"/>
      <c r="BC7" s="93"/>
      <c r="BD7" s="91"/>
      <c r="BE7" s="92" t="s">
        <v>91</v>
      </c>
      <c r="BF7" s="92"/>
      <c r="BG7" s="92"/>
      <c r="BH7" s="92"/>
      <c r="BI7" s="92"/>
      <c r="BJ7" s="92"/>
      <c r="BK7" s="92"/>
      <c r="BL7" s="91" t="s">
        <v>90</v>
      </c>
      <c r="BM7" s="91"/>
      <c r="BN7" s="91"/>
      <c r="BO7" s="93"/>
      <c r="BP7" s="91"/>
      <c r="BQ7" s="91"/>
      <c r="BR7" s="91"/>
      <c r="BS7" s="92" t="s">
        <v>89</v>
      </c>
      <c r="BT7" s="92"/>
      <c r="BU7" s="92"/>
      <c r="BV7" s="92"/>
      <c r="BW7" s="92"/>
      <c r="BX7" s="92"/>
      <c r="BY7" s="92"/>
      <c r="BZ7" s="91" t="s">
        <v>88</v>
      </c>
      <c r="CA7" s="91"/>
      <c r="CB7" s="91"/>
      <c r="CC7" s="91"/>
      <c r="CD7" s="91"/>
      <c r="CE7" s="91"/>
      <c r="CF7" s="91"/>
      <c r="CG7" s="92"/>
      <c r="CH7" s="92"/>
      <c r="CI7" s="92"/>
      <c r="CJ7" s="92"/>
      <c r="CK7" s="92"/>
      <c r="CL7" s="92"/>
      <c r="CM7" s="92"/>
      <c r="CN7" s="91"/>
      <c r="CO7" s="91"/>
      <c r="CP7" s="91"/>
      <c r="CQ7" s="91"/>
      <c r="CR7" s="91"/>
      <c r="CS7" s="91"/>
      <c r="CT7" s="91"/>
      <c r="CU7" s="92"/>
      <c r="CV7" s="92"/>
      <c r="CW7" s="92"/>
      <c r="CX7" s="92"/>
      <c r="CY7" s="92"/>
      <c r="CZ7" s="92"/>
      <c r="DA7" s="92"/>
      <c r="DB7" s="91"/>
      <c r="DC7" s="91"/>
      <c r="DD7" s="91"/>
      <c r="DE7" s="91"/>
      <c r="DF7" s="91"/>
      <c r="DG7" s="91"/>
      <c r="DH7" s="91"/>
      <c r="DI7" s="92"/>
      <c r="DJ7" s="92"/>
      <c r="DK7" s="92"/>
      <c r="DL7" s="92"/>
      <c r="DM7" s="92"/>
      <c r="DN7" s="92"/>
      <c r="DO7" s="92"/>
      <c r="DP7" s="91"/>
      <c r="DQ7" s="91"/>
      <c r="DR7" s="91"/>
      <c r="DS7" s="91"/>
      <c r="DT7" s="91"/>
      <c r="DU7" s="91"/>
      <c r="DV7" s="91"/>
      <c r="DW7" s="92"/>
      <c r="DX7" s="92"/>
      <c r="DY7" s="92"/>
      <c r="DZ7" s="92"/>
      <c r="EA7" s="92"/>
      <c r="EB7" s="92"/>
      <c r="EC7" s="92"/>
      <c r="ED7" s="91"/>
      <c r="EE7" s="91"/>
      <c r="EF7" s="91"/>
      <c r="EG7" s="91"/>
      <c r="EH7" s="91"/>
      <c r="EI7" s="91"/>
      <c r="EJ7" s="91"/>
      <c r="EK7" s="92"/>
      <c r="EL7" s="92"/>
      <c r="EM7" s="92"/>
      <c r="EN7" s="92"/>
      <c r="EO7" s="92"/>
      <c r="EP7" s="92"/>
      <c r="EQ7" s="92"/>
      <c r="ER7" s="91"/>
      <c r="ES7" s="91"/>
      <c r="ET7" s="91"/>
      <c r="EU7" s="91"/>
      <c r="EV7" s="91"/>
      <c r="EW7" s="91"/>
      <c r="EX7" s="91"/>
      <c r="EY7" s="92"/>
      <c r="EZ7" s="92"/>
      <c r="FA7" s="92"/>
      <c r="FB7" s="92"/>
      <c r="FC7" s="92"/>
      <c r="FD7" s="92"/>
      <c r="FE7" s="92"/>
      <c r="FF7" s="91"/>
      <c r="FG7" s="91"/>
      <c r="FH7" s="91"/>
      <c r="FI7" s="91"/>
      <c r="FJ7" s="91"/>
      <c r="FK7" s="91"/>
      <c r="FL7" s="91"/>
      <c r="FM7" s="92"/>
      <c r="FN7" s="92"/>
      <c r="FO7" s="92"/>
      <c r="FP7" s="92"/>
      <c r="FQ7" s="92"/>
      <c r="FR7" s="92"/>
      <c r="FS7" s="92"/>
      <c r="FT7" s="91"/>
      <c r="FU7" s="91"/>
      <c r="FV7" s="91"/>
      <c r="FW7" s="91"/>
      <c r="FX7" s="91"/>
      <c r="FY7" s="91"/>
      <c r="FZ7" s="91"/>
      <c r="GA7" s="92"/>
      <c r="GB7" s="92"/>
      <c r="GC7" s="92"/>
      <c r="GD7" s="92"/>
      <c r="GE7" s="92"/>
      <c r="GF7" s="92"/>
      <c r="GG7" s="92"/>
      <c r="GH7" s="91"/>
      <c r="GI7" s="91"/>
      <c r="GJ7" s="91"/>
      <c r="GK7" s="91"/>
      <c r="GL7" s="91"/>
      <c r="GM7" s="91"/>
      <c r="GN7" s="91"/>
      <c r="GO7" s="92"/>
      <c r="GP7" s="92"/>
      <c r="GQ7" s="92"/>
      <c r="GR7" s="92"/>
      <c r="GS7" s="92"/>
      <c r="GT7" s="92"/>
      <c r="GU7" s="92"/>
      <c r="GV7" s="91"/>
      <c r="GW7" s="91"/>
      <c r="GX7" s="91"/>
      <c r="GY7" s="91"/>
      <c r="GZ7" s="91"/>
      <c r="HA7" s="91"/>
      <c r="HB7" s="91"/>
      <c r="HC7" s="92"/>
      <c r="HD7" s="92"/>
      <c r="HE7" s="92"/>
      <c r="HF7" s="92"/>
      <c r="HG7" s="92"/>
      <c r="HH7" s="92"/>
      <c r="HI7" s="92"/>
      <c r="HJ7" s="91"/>
      <c r="HK7" s="91"/>
      <c r="HL7" s="91"/>
      <c r="HM7" s="91"/>
      <c r="HN7" s="91"/>
      <c r="HO7" s="91"/>
      <c r="HP7" s="91"/>
      <c r="HQ7" s="92"/>
      <c r="HR7" s="92"/>
      <c r="HS7" s="92"/>
      <c r="HT7" s="92"/>
      <c r="HU7" s="92"/>
      <c r="HV7" s="92"/>
      <c r="HW7" s="92"/>
      <c r="HX7" s="91"/>
      <c r="HY7" s="91"/>
      <c r="HZ7" s="91"/>
      <c r="IA7" s="91"/>
      <c r="IB7" s="91"/>
      <c r="IC7" s="91"/>
      <c r="ID7" s="91"/>
      <c r="IE7" s="92"/>
      <c r="IF7" s="92"/>
      <c r="IG7" s="92"/>
      <c r="IH7" s="92"/>
      <c r="II7" s="92"/>
      <c r="IJ7" s="92"/>
      <c r="IK7" s="92"/>
      <c r="IL7" s="91"/>
      <c r="IM7" s="91"/>
      <c r="IN7" s="91"/>
      <c r="IO7" s="91"/>
      <c r="IP7" s="91"/>
      <c r="IQ7" s="91"/>
      <c r="IR7" s="91"/>
      <c r="IS7" s="92"/>
      <c r="IT7" s="92"/>
      <c r="IU7" s="92"/>
      <c r="IV7" s="92"/>
      <c r="IW7" s="92"/>
      <c r="IX7" s="92"/>
      <c r="IY7" s="92"/>
      <c r="IZ7" s="91"/>
      <c r="JA7" s="91"/>
      <c r="JB7" s="91"/>
      <c r="JC7" s="91"/>
      <c r="JD7" s="91"/>
      <c r="JE7" s="91"/>
      <c r="JF7" s="91"/>
      <c r="JG7" s="92"/>
      <c r="JH7" s="92"/>
      <c r="JI7" s="92"/>
      <c r="JJ7" s="92"/>
      <c r="JK7" s="92"/>
      <c r="JL7" s="92"/>
      <c r="JM7" s="92"/>
      <c r="JN7" s="91"/>
      <c r="JO7" s="91"/>
      <c r="JP7" s="91"/>
      <c r="JQ7" s="91"/>
      <c r="JR7" s="91"/>
      <c r="JS7" s="91"/>
      <c r="JT7" s="91"/>
      <c r="JU7" s="92"/>
      <c r="JV7" s="92"/>
      <c r="JW7" s="92"/>
      <c r="JX7" s="92"/>
      <c r="JY7" s="92"/>
      <c r="JZ7" s="92"/>
      <c r="KA7" s="92"/>
      <c r="KB7" s="91"/>
      <c r="KC7" s="91"/>
      <c r="KD7" s="91"/>
      <c r="KE7" s="91"/>
      <c r="KF7" s="91"/>
      <c r="KG7" s="91"/>
      <c r="KH7" s="91"/>
      <c r="KI7" s="92"/>
      <c r="KJ7" s="92"/>
      <c r="KK7" s="92"/>
      <c r="KL7" s="92"/>
      <c r="KM7" s="92"/>
      <c r="KN7" s="92"/>
      <c r="KO7" s="92"/>
      <c r="KP7" s="91"/>
      <c r="KQ7" s="91"/>
      <c r="KR7" s="91"/>
      <c r="KS7" s="91"/>
      <c r="KT7" s="91"/>
      <c r="KU7" s="91"/>
      <c r="KV7" s="91"/>
      <c r="KW7" s="92"/>
      <c r="KX7" s="92"/>
      <c r="KY7" s="92"/>
      <c r="KZ7" s="92"/>
      <c r="LA7" s="92"/>
      <c r="LB7" s="92"/>
      <c r="LC7" s="92"/>
      <c r="LD7" s="91"/>
      <c r="LE7" s="91"/>
      <c r="LF7" s="91"/>
      <c r="LG7" s="91"/>
      <c r="LH7" s="91"/>
      <c r="LI7" s="91"/>
      <c r="LJ7" s="91"/>
      <c r="LK7" s="92"/>
      <c r="LL7" s="92"/>
      <c r="LM7" s="92"/>
      <c r="LN7" s="92"/>
      <c r="LO7" s="92"/>
      <c r="LP7" s="92"/>
      <c r="LQ7" s="92"/>
      <c r="LR7" s="91"/>
      <c r="LS7" s="91"/>
      <c r="LT7" s="91"/>
      <c r="LU7" s="91"/>
      <c r="LV7" s="91"/>
      <c r="LW7" s="91"/>
      <c r="LX7" s="91"/>
      <c r="LY7" s="92"/>
      <c r="LZ7" s="92"/>
      <c r="MA7" s="92"/>
      <c r="MB7" s="92"/>
      <c r="MC7" s="92"/>
      <c r="MD7" s="92"/>
      <c r="ME7" s="92"/>
      <c r="MF7" s="91"/>
      <c r="MG7" s="91"/>
      <c r="MH7" s="91"/>
      <c r="MI7" s="91"/>
      <c r="MJ7" s="91"/>
      <c r="MK7" s="91"/>
      <c r="ML7" s="91"/>
      <c r="MM7" s="92"/>
      <c r="MN7" s="92"/>
      <c r="MO7" s="92"/>
      <c r="MP7" s="92"/>
      <c r="MQ7" s="92"/>
      <c r="MR7" s="92"/>
      <c r="MS7" s="92"/>
      <c r="MT7" s="91"/>
      <c r="MU7" s="91"/>
      <c r="MV7" s="91"/>
      <c r="MW7" s="91"/>
      <c r="MX7" s="91"/>
      <c r="MY7" s="91"/>
      <c r="MZ7" s="91"/>
      <c r="NA7" s="92"/>
      <c r="NB7" s="92"/>
      <c r="NC7" s="92"/>
      <c r="ND7" s="92"/>
      <c r="NE7" s="92"/>
      <c r="NF7" s="92"/>
      <c r="NG7" s="92"/>
      <c r="NH7" s="91"/>
      <c r="NI7" s="91"/>
      <c r="NJ7" s="91"/>
      <c r="NK7" s="91"/>
      <c r="NL7" s="91"/>
      <c r="NM7" s="91"/>
      <c r="NN7" s="91"/>
      <c r="NO7" s="92"/>
      <c r="NP7" s="92"/>
      <c r="NQ7" s="92"/>
      <c r="NR7" s="92"/>
      <c r="NS7" s="92"/>
      <c r="NT7" s="92"/>
      <c r="NU7" s="92"/>
      <c r="NV7" s="91"/>
      <c r="NW7" s="91"/>
      <c r="NX7" s="91"/>
      <c r="NY7" s="91"/>
      <c r="NZ7" s="91"/>
      <c r="OA7" s="91"/>
      <c r="OB7" s="91"/>
      <c r="OC7" s="92"/>
      <c r="OD7" s="92"/>
      <c r="OE7" s="92"/>
      <c r="OF7" s="92"/>
      <c r="OG7" s="92"/>
      <c r="OH7" s="92"/>
      <c r="OI7" s="92"/>
      <c r="OJ7" s="91"/>
      <c r="OK7" s="91"/>
      <c r="OL7" s="91"/>
      <c r="OM7" s="91"/>
      <c r="ON7" s="91"/>
      <c r="OO7" s="91"/>
      <c r="OP7" s="91"/>
      <c r="OQ7" s="92"/>
      <c r="OR7" s="92"/>
      <c r="OS7" s="92"/>
      <c r="OT7" s="92"/>
      <c r="OU7" s="92"/>
      <c r="OV7" s="92"/>
      <c r="OW7" s="92"/>
      <c r="OX7" s="91"/>
      <c r="OY7" s="91"/>
      <c r="OZ7" s="91"/>
      <c r="PA7" s="91"/>
      <c r="PB7" s="91"/>
      <c r="PC7" s="91"/>
      <c r="PD7" s="91"/>
      <c r="PE7" s="92"/>
      <c r="PF7" s="92"/>
      <c r="PG7" s="92"/>
      <c r="PH7" s="92"/>
      <c r="PI7" s="92"/>
      <c r="PJ7" s="92"/>
      <c r="PK7" s="92"/>
      <c r="PL7" s="91"/>
      <c r="PM7" s="91"/>
      <c r="PN7" s="91"/>
      <c r="PO7" s="91"/>
      <c r="PP7" s="91"/>
      <c r="PQ7" s="91"/>
      <c r="PR7" s="91"/>
      <c r="PS7" s="92"/>
      <c r="PT7" s="92"/>
      <c r="PU7" s="92"/>
      <c r="PV7" s="92"/>
      <c r="PW7" s="92"/>
      <c r="PX7" s="92"/>
      <c r="PY7" s="92"/>
      <c r="PZ7" s="91"/>
      <c r="QA7" s="91"/>
      <c r="QB7" s="91"/>
      <c r="QC7" s="91"/>
      <c r="QD7" s="91"/>
      <c r="QE7" s="91"/>
      <c r="QF7" s="91"/>
      <c r="QG7" s="92"/>
      <c r="QH7" s="92"/>
      <c r="QI7" s="92"/>
      <c r="QJ7" s="92"/>
      <c r="QK7" s="92"/>
      <c r="QL7" s="92"/>
      <c r="QM7" s="92"/>
      <c r="QN7" s="91"/>
      <c r="QO7" s="91"/>
      <c r="QP7" s="91"/>
      <c r="QQ7" s="91"/>
      <c r="QR7" s="91"/>
      <c r="QS7" s="91"/>
      <c r="QT7" s="91"/>
      <c r="QU7" s="92"/>
      <c r="QV7" s="92"/>
      <c r="QW7" s="92"/>
      <c r="QX7" s="92"/>
      <c r="QY7" s="92"/>
      <c r="QZ7" s="92"/>
      <c r="RA7" s="92"/>
      <c r="RB7" s="91"/>
      <c r="RC7" s="91"/>
      <c r="RD7" s="91"/>
      <c r="RE7" s="91"/>
      <c r="RF7" s="91"/>
      <c r="RG7" s="91"/>
      <c r="RH7" s="91"/>
      <c r="RI7" s="92"/>
      <c r="RJ7" s="92"/>
      <c r="RK7" s="92"/>
      <c r="RL7" s="92"/>
      <c r="RM7" s="92"/>
      <c r="RN7" s="92"/>
      <c r="RO7" s="92"/>
      <c r="RP7" s="91"/>
      <c r="RQ7" s="91"/>
      <c r="RR7" s="91"/>
      <c r="RS7" s="91"/>
      <c r="RT7" s="91"/>
      <c r="RU7" s="91"/>
      <c r="RV7" s="91"/>
      <c r="RW7" s="92"/>
      <c r="RX7" s="92"/>
      <c r="RY7" s="92"/>
      <c r="RZ7" s="92"/>
      <c r="SA7" s="92"/>
      <c r="SB7" s="92"/>
      <c r="SC7" s="92"/>
      <c r="SD7" s="91"/>
      <c r="SE7" s="91"/>
      <c r="SF7" s="91"/>
      <c r="SG7" s="91"/>
      <c r="SH7" s="91"/>
      <c r="SI7" s="91"/>
      <c r="SJ7" s="91"/>
      <c r="SK7" s="92"/>
      <c r="SL7" s="92"/>
      <c r="SM7" s="92"/>
      <c r="SN7" s="92"/>
      <c r="SO7" s="92"/>
      <c r="SP7" s="92"/>
      <c r="SQ7" s="92"/>
      <c r="SR7" s="91"/>
      <c r="SS7" s="91"/>
      <c r="ST7" s="91"/>
      <c r="SU7" s="91"/>
      <c r="SV7" s="91"/>
      <c r="SW7" s="91"/>
      <c r="SX7" s="91"/>
      <c r="SY7" s="92"/>
      <c r="SZ7" s="92"/>
      <c r="TA7" s="92"/>
      <c r="TB7" s="92"/>
      <c r="TC7" s="92"/>
      <c r="TD7" s="92"/>
      <c r="TE7" s="92"/>
      <c r="TF7" s="91"/>
      <c r="TG7" s="91"/>
      <c r="TH7" s="91"/>
      <c r="TI7" s="91"/>
      <c r="TJ7" s="91"/>
      <c r="TK7" s="91"/>
      <c r="TL7" s="91"/>
      <c r="TM7" s="92"/>
      <c r="TN7" s="92"/>
      <c r="TO7" s="92"/>
      <c r="TP7" s="92"/>
      <c r="TQ7" s="92"/>
      <c r="TR7" s="92"/>
      <c r="TS7" s="92"/>
      <c r="TT7" s="91"/>
      <c r="TU7" s="91"/>
      <c r="TV7" s="91"/>
      <c r="TW7" s="91"/>
      <c r="TX7" s="91"/>
      <c r="TY7" s="91"/>
      <c r="TZ7" s="91"/>
      <c r="UA7" s="92"/>
      <c r="UB7" s="92"/>
      <c r="UC7" s="92"/>
      <c r="UD7" s="92"/>
      <c r="UE7" s="92"/>
      <c r="UF7" s="92"/>
      <c r="UG7" s="92"/>
      <c r="UH7" s="91"/>
      <c r="UI7" s="91"/>
      <c r="UJ7" s="91"/>
      <c r="UK7" s="91"/>
      <c r="UL7" s="91"/>
      <c r="UM7" s="91"/>
      <c r="UN7" s="91"/>
      <c r="UO7" s="92"/>
      <c r="UP7" s="92"/>
      <c r="UQ7" s="92"/>
      <c r="UR7" s="92"/>
      <c r="US7" s="92"/>
      <c r="UT7" s="92"/>
      <c r="UU7" s="92"/>
      <c r="UV7" s="91"/>
      <c r="UW7" s="91"/>
      <c r="UX7" s="91"/>
      <c r="UY7" s="91"/>
      <c r="UZ7" s="91"/>
      <c r="VA7" s="91"/>
      <c r="VB7" s="91"/>
      <c r="VC7" s="92"/>
      <c r="VD7" s="92"/>
      <c r="VE7" s="92"/>
      <c r="VF7" s="92"/>
      <c r="VG7" s="92"/>
      <c r="VH7" s="92"/>
      <c r="VI7" s="92"/>
      <c r="VJ7" s="91"/>
      <c r="VK7" s="91"/>
      <c r="VL7" s="91"/>
      <c r="VM7" s="91"/>
      <c r="VN7" s="91"/>
      <c r="VO7" s="91"/>
      <c r="VP7" s="91"/>
      <c r="VQ7" s="92"/>
      <c r="VR7" s="92"/>
      <c r="VS7" s="92"/>
      <c r="VT7" s="92"/>
      <c r="VU7" s="92"/>
      <c r="VV7" s="92"/>
      <c r="VW7" s="92"/>
      <c r="VX7" s="91"/>
      <c r="VY7" s="91"/>
      <c r="VZ7" s="91"/>
      <c r="WA7" s="91"/>
      <c r="WB7" s="91"/>
      <c r="WC7" s="91"/>
      <c r="WD7" s="91"/>
      <c r="WE7" s="92"/>
      <c r="WF7" s="92"/>
      <c r="WG7" s="92"/>
      <c r="WH7" s="92"/>
      <c r="WI7" s="92"/>
      <c r="WJ7" s="92"/>
      <c r="WK7" s="92"/>
      <c r="WL7" s="91"/>
      <c r="WM7" s="91"/>
      <c r="WN7" s="91"/>
      <c r="WO7" s="91"/>
      <c r="WP7" s="91"/>
      <c r="WQ7" s="91"/>
      <c r="WR7" s="91"/>
      <c r="WS7" s="92"/>
      <c r="WT7" s="92"/>
      <c r="WU7" s="92"/>
      <c r="WV7" s="92"/>
      <c r="WW7" s="92"/>
      <c r="WX7" s="92"/>
      <c r="WY7" s="92"/>
      <c r="WZ7" s="91"/>
      <c r="XA7" s="91"/>
      <c r="XB7" s="91"/>
      <c r="XC7" s="91"/>
      <c r="XD7" s="91"/>
      <c r="XE7" s="91"/>
      <c r="XF7" s="91"/>
      <c r="XG7" s="92"/>
      <c r="XH7" s="92"/>
      <c r="XI7" s="92"/>
      <c r="XJ7" s="92"/>
      <c r="XK7" s="92"/>
      <c r="XL7" s="92"/>
      <c r="XM7" s="92"/>
      <c r="XN7" s="91"/>
      <c r="XO7" s="91"/>
      <c r="XP7" s="91"/>
      <c r="XQ7" s="91"/>
      <c r="XR7" s="91"/>
      <c r="XS7" s="91"/>
      <c r="XT7" s="91"/>
      <c r="XU7" s="92"/>
      <c r="XV7" s="92"/>
      <c r="XW7" s="92"/>
      <c r="XX7" s="92"/>
      <c r="XY7" s="92"/>
      <c r="XZ7" s="92"/>
      <c r="YA7" s="92"/>
      <c r="YB7" s="91"/>
      <c r="YC7" s="91"/>
      <c r="YD7" s="91"/>
      <c r="YE7" s="91"/>
      <c r="YF7" s="91"/>
      <c r="YG7" s="91"/>
      <c r="YH7" s="91"/>
      <c r="YI7" s="92"/>
      <c r="YJ7" s="92"/>
      <c r="YK7" s="92"/>
      <c r="YL7" s="92"/>
      <c r="YM7" s="92"/>
      <c r="YN7" s="92"/>
      <c r="YO7" s="92"/>
      <c r="YP7" s="91"/>
      <c r="YQ7" s="91"/>
      <c r="YR7" s="91"/>
      <c r="YS7" s="91"/>
      <c r="YT7" s="91"/>
      <c r="YU7" s="91"/>
      <c r="YV7" s="91"/>
      <c r="YW7" s="92"/>
      <c r="YX7" s="92"/>
      <c r="YY7" s="92"/>
      <c r="YZ7" s="92"/>
      <c r="ZA7" s="92"/>
      <c r="ZB7" s="92"/>
      <c r="ZC7" s="92"/>
      <c r="ZD7" s="91"/>
      <c r="ZE7" s="91"/>
      <c r="ZF7" s="91"/>
      <c r="ZG7" s="91"/>
      <c r="ZH7" s="91"/>
      <c r="ZI7" s="91"/>
      <c r="ZJ7" s="91"/>
      <c r="ZK7" s="92"/>
      <c r="ZL7" s="92"/>
      <c r="ZM7" s="92"/>
      <c r="ZN7" s="92"/>
      <c r="ZO7" s="92"/>
      <c r="ZP7" s="92"/>
      <c r="ZQ7" s="92"/>
      <c r="ZR7" s="91"/>
      <c r="ZS7" s="91"/>
      <c r="ZT7" s="91"/>
      <c r="ZU7" s="91"/>
      <c r="ZV7" s="91"/>
      <c r="ZW7" s="91"/>
      <c r="ZX7" s="91"/>
      <c r="ZY7" s="92"/>
      <c r="ZZ7" s="92"/>
      <c r="AAA7" s="92"/>
      <c r="AAB7" s="92"/>
      <c r="AAC7" s="92"/>
      <c r="AAD7" s="92"/>
      <c r="AAE7" s="92"/>
      <c r="AAF7" s="91"/>
      <c r="AAG7" s="91"/>
      <c r="AAH7" s="91"/>
      <c r="AAI7" s="91"/>
      <c r="AAJ7" s="91"/>
      <c r="AAK7" s="91"/>
      <c r="AAL7" s="91"/>
      <c r="AAM7" s="92"/>
      <c r="AAN7" s="92"/>
      <c r="AAO7" s="92"/>
      <c r="AAP7" s="92"/>
      <c r="AAQ7" s="92"/>
      <c r="AAR7" s="92"/>
      <c r="AAS7" s="92"/>
      <c r="AAT7" s="91"/>
      <c r="AAU7" s="91"/>
      <c r="AAV7" s="91"/>
      <c r="AAW7" s="91"/>
      <c r="AAX7" s="91"/>
      <c r="AAY7" s="91"/>
      <c r="AAZ7" s="91"/>
      <c r="ABA7" s="92"/>
      <c r="ABB7" s="92"/>
      <c r="ABC7" s="92"/>
      <c r="ABD7" s="92"/>
      <c r="ABE7" s="92"/>
      <c r="ABF7" s="92"/>
      <c r="ABG7" s="92"/>
      <c r="ABH7" s="91"/>
      <c r="ABI7" s="91"/>
      <c r="ABJ7" s="91"/>
      <c r="ABK7" s="91"/>
      <c r="ABL7" s="91"/>
      <c r="ABM7" s="91"/>
      <c r="ABN7" s="91"/>
      <c r="ABO7" s="92"/>
      <c r="ABP7" s="92"/>
      <c r="ABQ7" s="92"/>
      <c r="ABR7" s="92"/>
      <c r="ABS7" s="92"/>
      <c r="ABT7" s="92"/>
      <c r="ABU7" s="92"/>
      <c r="ABV7" s="91"/>
      <c r="ABW7" s="91"/>
      <c r="ABX7" s="91"/>
      <c r="ABY7" s="91"/>
      <c r="ABZ7" s="91"/>
      <c r="ACA7" s="91"/>
      <c r="ACB7" s="91"/>
      <c r="ACC7" s="92"/>
      <c r="ACD7" s="92"/>
      <c r="ACE7" s="92"/>
      <c r="ACF7" s="92"/>
      <c r="ACG7" s="92"/>
      <c r="ACH7" s="92"/>
      <c r="ACI7" s="92"/>
      <c r="ACJ7" s="91"/>
      <c r="ACK7" s="91"/>
      <c r="ACL7" s="91"/>
      <c r="ACM7" s="91"/>
      <c r="ACN7" s="91"/>
      <c r="ACO7" s="91"/>
      <c r="ACP7" s="91"/>
      <c r="ACQ7" s="92"/>
      <c r="ACR7" s="92"/>
      <c r="ACS7" s="92"/>
      <c r="ACT7" s="92"/>
      <c r="ACU7" s="92"/>
      <c r="ACV7" s="92"/>
      <c r="ACW7" s="92"/>
      <c r="ACX7" s="91"/>
      <c r="ACY7" s="91"/>
      <c r="ACZ7" s="91"/>
      <c r="ADA7" s="91"/>
      <c r="ADB7" s="91"/>
      <c r="ADC7" s="91"/>
      <c r="ADD7" s="91"/>
      <c r="ADE7" s="92"/>
      <c r="ADF7" s="92"/>
      <c r="ADG7" s="92"/>
      <c r="ADH7" s="92"/>
      <c r="ADI7" s="92"/>
      <c r="ADJ7" s="92"/>
      <c r="ADK7" s="92"/>
      <c r="ADL7" s="91"/>
      <c r="ADM7" s="91"/>
      <c r="ADN7" s="91"/>
      <c r="ADO7" s="91"/>
      <c r="ADP7" s="91"/>
      <c r="ADQ7" s="91"/>
      <c r="ADR7" s="91"/>
      <c r="ADS7" s="92"/>
      <c r="ADT7" s="92"/>
      <c r="ADU7" s="92"/>
      <c r="ADV7" s="92"/>
      <c r="ADW7" s="92"/>
      <c r="ADX7" s="92"/>
      <c r="ADY7" s="92"/>
      <c r="ADZ7" s="91"/>
      <c r="AEA7" s="91"/>
      <c r="AEB7" s="91"/>
      <c r="AEC7" s="91"/>
      <c r="AED7" s="91"/>
      <c r="AEE7" s="91"/>
      <c r="AEF7" s="91"/>
      <c r="AEG7" s="92"/>
      <c r="AEH7" s="92"/>
      <c r="AEI7" s="92"/>
      <c r="AEJ7" s="92"/>
      <c r="AEK7" s="92"/>
      <c r="AEL7" s="92"/>
      <c r="AEM7" s="92"/>
      <c r="AEN7" s="91"/>
      <c r="AEO7" s="91"/>
      <c r="AEP7" s="91"/>
      <c r="AEQ7" s="91"/>
      <c r="AER7" s="91"/>
      <c r="AES7" s="91"/>
      <c r="AET7" s="91"/>
      <c r="AEU7" s="92"/>
      <c r="AEV7" s="92"/>
      <c r="AEW7" s="92"/>
      <c r="AEX7" s="92"/>
      <c r="AEY7" s="92"/>
      <c r="AEZ7" s="92"/>
      <c r="AFA7" s="92"/>
      <c r="AFB7" s="91"/>
      <c r="AFC7" s="91"/>
      <c r="AFD7" s="91"/>
      <c r="AFE7" s="91"/>
      <c r="AFF7" s="91"/>
      <c r="AFG7" s="91"/>
      <c r="AFH7" s="91"/>
      <c r="AFI7" s="92"/>
      <c r="AFJ7" s="92"/>
      <c r="AFK7" s="92"/>
      <c r="AFL7" s="92"/>
      <c r="AFM7" s="92"/>
      <c r="AFN7" s="92"/>
      <c r="AFO7" s="92"/>
      <c r="AFP7" s="91"/>
      <c r="AFQ7" s="91"/>
      <c r="AFR7" s="91"/>
      <c r="AFS7" s="91"/>
      <c r="AFT7" s="91"/>
      <c r="AFU7" s="91"/>
      <c r="AFV7" s="91"/>
      <c r="AFW7" s="92"/>
      <c r="AFX7" s="92"/>
      <c r="AFY7" s="92"/>
      <c r="AFZ7" s="92"/>
      <c r="AGA7" s="92"/>
      <c r="AGB7" s="92"/>
      <c r="AGC7" s="92"/>
      <c r="AGD7" s="91"/>
      <c r="AGE7" s="91"/>
      <c r="AGF7" s="91"/>
      <c r="AGG7" s="91"/>
      <c r="AGH7" s="91"/>
      <c r="AGI7" s="91"/>
      <c r="AGJ7" s="91"/>
      <c r="AGK7" s="92"/>
      <c r="AGL7" s="92"/>
      <c r="AGM7" s="92"/>
      <c r="AGN7" s="92"/>
      <c r="AGO7" s="92"/>
      <c r="AGP7" s="92"/>
      <c r="AGQ7" s="92"/>
      <c r="AGR7" s="91"/>
      <c r="AGS7" s="91"/>
      <c r="AGT7" s="91"/>
      <c r="AGU7" s="91"/>
      <c r="AGV7" s="91"/>
      <c r="AGW7" s="91"/>
      <c r="AGX7" s="91"/>
      <c r="AGY7" s="92"/>
      <c r="AGZ7" s="92"/>
      <c r="AHA7" s="92"/>
      <c r="AHB7" s="92"/>
      <c r="AHC7" s="92"/>
      <c r="AHD7" s="92"/>
      <c r="AHE7" s="92"/>
      <c r="AHF7" s="91"/>
      <c r="AHG7" s="91"/>
      <c r="AHH7" s="91"/>
      <c r="AHI7" s="91"/>
      <c r="AHJ7" s="91"/>
      <c r="AHK7" s="91"/>
      <c r="AHL7" s="91"/>
      <c r="AHM7" s="92"/>
      <c r="AHN7" s="92"/>
      <c r="AHO7" s="92"/>
      <c r="AHP7" s="92"/>
      <c r="AHQ7" s="92"/>
      <c r="AHR7" s="92"/>
      <c r="AHS7" s="92"/>
      <c r="AHT7" s="91"/>
      <c r="AHU7" s="91"/>
      <c r="AHV7" s="91"/>
      <c r="AHW7" s="91"/>
      <c r="AHX7" s="91"/>
      <c r="AHY7" s="91"/>
      <c r="AHZ7" s="91"/>
      <c r="AIA7" s="92"/>
      <c r="AIB7" s="92"/>
      <c r="AIC7" s="92"/>
      <c r="AID7" s="92"/>
      <c r="AIE7" s="92"/>
      <c r="AIF7" s="92"/>
      <c r="AIG7" s="92"/>
      <c r="AIH7" s="91"/>
      <c r="AII7" s="91"/>
      <c r="AIJ7" s="91"/>
      <c r="AIK7" s="91"/>
      <c r="AIL7" s="91"/>
      <c r="AIM7" s="91"/>
      <c r="AIN7" s="91"/>
      <c r="AIO7" s="92"/>
      <c r="AIP7" s="92"/>
      <c r="AIQ7" s="92"/>
      <c r="AIR7" s="92"/>
      <c r="AIS7" s="92"/>
      <c r="AIT7" s="92"/>
      <c r="AIU7" s="92"/>
      <c r="AIV7" s="91"/>
      <c r="AIW7" s="91"/>
      <c r="AIX7" s="91"/>
      <c r="AIY7" s="91"/>
      <c r="AIZ7" s="91"/>
      <c r="AJA7" s="91"/>
      <c r="AJB7" s="91"/>
      <c r="AJC7" s="92"/>
      <c r="AJD7" s="92"/>
      <c r="AJE7" s="92"/>
      <c r="AJF7" s="92"/>
      <c r="AJG7" s="92"/>
      <c r="AJH7" s="92"/>
      <c r="AJI7" s="92"/>
      <c r="AJJ7" s="91"/>
      <c r="AJK7" s="91"/>
      <c r="AJL7" s="91"/>
      <c r="AJM7" s="91"/>
      <c r="AJN7" s="91"/>
      <c r="AJO7" s="91"/>
      <c r="AJP7" s="91"/>
      <c r="AJQ7" s="92"/>
      <c r="AJR7" s="92"/>
      <c r="AJS7" s="92"/>
      <c r="AJT7" s="92"/>
      <c r="AJU7" s="92"/>
      <c r="AJV7" s="92"/>
      <c r="AJW7" s="92"/>
      <c r="AJX7" s="91"/>
      <c r="AJY7" s="91"/>
      <c r="AJZ7" s="91"/>
      <c r="AKA7" s="91"/>
      <c r="AKB7" s="91"/>
      <c r="AKC7" s="91"/>
      <c r="AKD7" s="91"/>
      <c r="AKE7" s="92"/>
      <c r="AKF7" s="92"/>
      <c r="AKG7" s="92"/>
      <c r="AKH7" s="92"/>
      <c r="AKI7" s="92"/>
      <c r="AKJ7" s="92"/>
      <c r="AKK7" s="92"/>
      <c r="AKL7" s="91"/>
      <c r="AKM7" s="91"/>
      <c r="AKN7" s="91"/>
      <c r="AKO7" s="91"/>
      <c r="AKP7" s="91"/>
      <c r="AKQ7" s="91"/>
      <c r="AKR7" s="91"/>
      <c r="AKS7" s="92"/>
      <c r="AKT7" s="92"/>
      <c r="AKU7" s="92"/>
      <c r="AKV7" s="92"/>
      <c r="AKW7" s="92"/>
      <c r="AKX7" s="92"/>
      <c r="AKY7" s="92"/>
      <c r="AKZ7" s="91"/>
      <c r="ALA7" s="91"/>
      <c r="ALB7" s="91"/>
      <c r="ALC7" s="91"/>
      <c r="ALD7" s="91"/>
      <c r="ALE7" s="91"/>
      <c r="ALF7" s="91"/>
      <c r="ALG7" s="92"/>
      <c r="ALH7" s="92"/>
      <c r="ALI7" s="92"/>
      <c r="ALJ7" s="92"/>
      <c r="ALK7" s="92"/>
      <c r="ALL7" s="92"/>
      <c r="ALM7" s="92"/>
      <c r="ALN7" s="91"/>
      <c r="ALO7" s="91"/>
      <c r="ALP7" s="91"/>
      <c r="ALQ7" s="91"/>
      <c r="ALR7" s="91"/>
      <c r="ALS7" s="91"/>
      <c r="ALT7" s="91"/>
      <c r="ALU7" s="92"/>
      <c r="ALV7" s="92"/>
      <c r="ALW7" s="92"/>
      <c r="ALX7" s="92"/>
      <c r="ALY7" s="92"/>
      <c r="ALZ7" s="92"/>
      <c r="AMA7" s="92"/>
      <c r="AMB7" s="91"/>
      <c r="AMC7" s="91"/>
      <c r="AMD7" s="91"/>
      <c r="AME7" s="91"/>
      <c r="AMF7" s="91"/>
      <c r="AMG7" s="91"/>
      <c r="AMH7" s="91"/>
      <c r="AMI7" s="92"/>
      <c r="AMJ7" s="92"/>
      <c r="AMK7" s="92"/>
      <c r="AML7" s="92"/>
      <c r="AMM7" s="92"/>
      <c r="AMN7" s="92"/>
      <c r="AMO7" s="92"/>
      <c r="AMP7" s="91"/>
      <c r="AMQ7" s="91"/>
      <c r="AMR7" s="91"/>
      <c r="AMS7" s="91"/>
      <c r="AMT7" s="91"/>
      <c r="AMU7" s="91"/>
      <c r="AMV7" s="91"/>
      <c r="AMW7" s="92"/>
      <c r="AMX7" s="92"/>
      <c r="AMY7" s="92"/>
      <c r="AMZ7" s="92"/>
      <c r="ANA7" s="92"/>
      <c r="ANB7" s="92"/>
      <c r="ANC7" s="92"/>
      <c r="AND7" s="91"/>
      <c r="ANE7" s="91"/>
      <c r="ANF7" s="91"/>
      <c r="ANG7" s="91"/>
      <c r="ANH7" s="91"/>
      <c r="ANI7" s="91"/>
      <c r="ANJ7" s="91"/>
      <c r="ANK7" s="92"/>
      <c r="ANL7" s="92"/>
      <c r="ANM7" s="92"/>
      <c r="ANN7" s="92"/>
      <c r="ANO7" s="92"/>
      <c r="ANP7" s="92"/>
      <c r="ANQ7" s="92"/>
      <c r="ANR7" s="91"/>
      <c r="ANS7" s="91"/>
      <c r="ANT7" s="91"/>
      <c r="ANU7" s="91"/>
      <c r="ANV7" s="91"/>
      <c r="ANW7" s="91"/>
      <c r="ANX7" s="91"/>
      <c r="ANY7" s="92"/>
      <c r="ANZ7" s="92"/>
      <c r="AOA7" s="92"/>
      <c r="AOB7" s="92"/>
      <c r="AOC7" s="92"/>
      <c r="AOD7" s="92"/>
      <c r="AOE7" s="92"/>
      <c r="AOF7" s="91"/>
      <c r="AOG7" s="91"/>
      <c r="AOH7" s="91"/>
      <c r="AOI7" s="91"/>
      <c r="AOJ7" s="91"/>
      <c r="AOK7" s="91"/>
      <c r="AOL7" s="91"/>
      <c r="AOM7" s="92"/>
      <c r="AON7" s="92"/>
      <c r="AOO7" s="92"/>
      <c r="AOP7" s="92"/>
      <c r="AOQ7" s="92"/>
      <c r="AOR7" s="92"/>
      <c r="AOS7" s="92"/>
      <c r="AOT7" s="91"/>
      <c r="AOU7" s="91"/>
      <c r="AOV7" s="91"/>
      <c r="AOW7" s="91"/>
      <c r="AOX7" s="91"/>
      <c r="AOY7" s="91"/>
      <c r="AOZ7" s="91"/>
      <c r="APA7" s="92"/>
      <c r="APB7" s="92"/>
      <c r="APC7" s="92"/>
      <c r="APD7" s="92"/>
      <c r="APE7" s="92"/>
      <c r="APF7" s="92"/>
      <c r="APG7" s="92"/>
      <c r="APH7" s="91"/>
      <c r="API7" s="91"/>
      <c r="APJ7" s="91"/>
      <c r="APK7" s="91"/>
      <c r="APL7" s="91"/>
      <c r="APM7" s="91"/>
      <c r="APN7" s="91"/>
      <c r="APO7" s="92"/>
      <c r="APP7" s="92"/>
      <c r="APQ7" s="92"/>
      <c r="APR7" s="92"/>
      <c r="APS7" s="92"/>
      <c r="APT7" s="92"/>
      <c r="APU7" s="92"/>
      <c r="APV7" s="91"/>
      <c r="APW7" s="91"/>
      <c r="APX7" s="91"/>
      <c r="APY7" s="91"/>
      <c r="APZ7" s="91"/>
      <c r="AQA7" s="91"/>
      <c r="AQB7" s="91"/>
      <c r="AQC7" s="92"/>
      <c r="AQD7" s="92"/>
      <c r="AQE7" s="92"/>
      <c r="AQF7" s="92"/>
      <c r="AQG7" s="92"/>
      <c r="AQH7" s="92"/>
      <c r="AQI7" s="92"/>
      <c r="AQJ7" s="91"/>
      <c r="AQK7" s="91"/>
      <c r="AQL7" s="91"/>
      <c r="AQM7" s="91"/>
      <c r="AQN7" s="91"/>
      <c r="AQO7" s="91"/>
      <c r="AQP7" s="91"/>
      <c r="AQQ7" s="92"/>
      <c r="AQR7" s="92"/>
      <c r="AQS7" s="92"/>
      <c r="AQT7" s="92"/>
      <c r="AQU7" s="92"/>
      <c r="AQV7" s="92"/>
      <c r="AQW7" s="92"/>
      <c r="AQX7" s="91"/>
      <c r="AQY7" s="91"/>
      <c r="AQZ7" s="91"/>
      <c r="ARA7" s="91"/>
      <c r="ARB7" s="91"/>
      <c r="ARC7" s="91"/>
      <c r="ARD7" s="91"/>
      <c r="ARE7" s="92"/>
      <c r="ARF7" s="92"/>
      <c r="ARG7" s="92"/>
      <c r="ARH7" s="92"/>
      <c r="ARI7" s="92"/>
      <c r="ARJ7" s="92"/>
      <c r="ARK7" s="92"/>
      <c r="ARL7" s="91"/>
      <c r="ARM7" s="91"/>
      <c r="ARN7" s="91"/>
      <c r="ARO7" s="91"/>
      <c r="ARP7" s="91"/>
      <c r="ARQ7" s="91"/>
      <c r="ARR7" s="91"/>
      <c r="ARS7" s="92"/>
      <c r="ART7" s="92"/>
      <c r="ARU7" s="92"/>
      <c r="ARV7" s="92"/>
      <c r="ARW7" s="92"/>
      <c r="ARX7" s="92"/>
      <c r="ARY7" s="92"/>
      <c r="ARZ7" s="91"/>
      <c r="ASA7" s="91"/>
      <c r="ASB7" s="91"/>
      <c r="ASC7" s="91"/>
      <c r="ASD7" s="91"/>
      <c r="ASE7" s="91"/>
      <c r="ASF7" s="91"/>
      <c r="ASG7" s="92"/>
      <c r="ASH7" s="92"/>
      <c r="ASI7" s="92"/>
      <c r="ASJ7" s="92"/>
      <c r="ASK7" s="92"/>
      <c r="ASL7" s="92"/>
      <c r="ASM7" s="92"/>
      <c r="ASN7" s="91"/>
      <c r="ASO7" s="91"/>
      <c r="ASP7" s="91"/>
      <c r="ASQ7" s="91"/>
      <c r="ASR7" s="91"/>
      <c r="ASS7" s="91"/>
      <c r="AST7" s="91"/>
      <c r="ASU7" s="92"/>
      <c r="ASV7" s="92"/>
      <c r="ASW7" s="92"/>
      <c r="ASX7" s="92"/>
      <c r="ASY7" s="92"/>
      <c r="ASZ7" s="92"/>
      <c r="ATA7" s="92"/>
      <c r="ATB7" s="91"/>
      <c r="ATC7" s="91"/>
      <c r="ATD7" s="91"/>
      <c r="ATE7" s="91"/>
      <c r="ATF7" s="91"/>
      <c r="ATG7" s="91"/>
      <c r="ATH7" s="91"/>
      <c r="ATI7" s="92"/>
      <c r="ATJ7" s="92"/>
      <c r="ATK7" s="92"/>
      <c r="ATL7" s="92"/>
      <c r="ATM7" s="92"/>
      <c r="ATN7" s="92"/>
      <c r="ATO7" s="92"/>
      <c r="ATP7" s="91"/>
      <c r="ATQ7" s="91"/>
      <c r="ATR7" s="91"/>
      <c r="ATS7" s="91"/>
      <c r="ATT7" s="91"/>
      <c r="ATU7" s="91"/>
      <c r="ATV7" s="91"/>
      <c r="ATW7" s="92"/>
      <c r="ATX7" s="92"/>
      <c r="ATY7" s="92"/>
      <c r="ATZ7" s="92"/>
      <c r="AUA7" s="92"/>
      <c r="AUB7" s="92"/>
      <c r="AUC7" s="92"/>
      <c r="AUD7" s="91"/>
      <c r="AUE7" s="91"/>
      <c r="AUF7" s="91"/>
      <c r="AUG7" s="91"/>
      <c r="AUH7" s="91"/>
      <c r="AUI7" s="91"/>
      <c r="AUJ7" s="91"/>
      <c r="AUK7" s="92"/>
      <c r="AUL7" s="92"/>
      <c r="AUM7" s="92"/>
      <c r="AUN7" s="92"/>
      <c r="AUO7" s="92"/>
      <c r="AUP7" s="92"/>
      <c r="AUQ7" s="92"/>
      <c r="AUR7" s="91"/>
      <c r="AUS7" s="91"/>
      <c r="AUT7" s="91"/>
      <c r="AUU7" s="91"/>
      <c r="AUV7" s="91"/>
      <c r="AUW7" s="91"/>
      <c r="AUX7" s="91"/>
      <c r="AUY7" s="92"/>
      <c r="AUZ7" s="92"/>
      <c r="AVA7" s="92"/>
      <c r="AVB7" s="92"/>
      <c r="AVC7" s="92"/>
      <c r="AVD7" s="92"/>
      <c r="AVE7" s="92"/>
      <c r="AVF7" s="91"/>
      <c r="AVG7" s="91"/>
      <c r="AVH7" s="91"/>
      <c r="AVI7" s="91"/>
      <c r="AVJ7" s="91"/>
      <c r="AVK7" s="91"/>
      <c r="AVL7" s="91"/>
      <c r="AVM7" s="92"/>
      <c r="AVN7" s="92"/>
      <c r="AVO7" s="92"/>
      <c r="AVP7" s="92"/>
      <c r="AVQ7" s="92"/>
      <c r="AVR7" s="92"/>
      <c r="AVS7" s="92"/>
      <c r="AVT7" s="91"/>
      <c r="AVU7" s="91"/>
      <c r="AVV7" s="91"/>
      <c r="AVW7" s="91"/>
      <c r="AVX7" s="91"/>
      <c r="AVY7" s="91"/>
      <c r="AVZ7" s="91"/>
      <c r="AWA7" s="92"/>
      <c r="AWB7" s="92"/>
      <c r="AWC7" s="92"/>
      <c r="AWD7" s="92"/>
      <c r="AWE7" s="92"/>
      <c r="AWF7" s="92"/>
      <c r="AWG7" s="92"/>
      <c r="AWH7" s="91"/>
      <c r="AWI7" s="91"/>
      <c r="AWJ7" s="91"/>
      <c r="AWK7" s="91"/>
      <c r="AWL7" s="91"/>
      <c r="AWM7" s="91"/>
      <c r="AWN7" s="91"/>
      <c r="AWO7" s="92"/>
      <c r="AWP7" s="92"/>
      <c r="AWQ7" s="92"/>
      <c r="AWR7" s="92"/>
      <c r="AWS7" s="92"/>
      <c r="AWT7" s="92"/>
      <c r="AWU7" s="92"/>
      <c r="AWV7" s="91"/>
      <c r="AWW7" s="91"/>
      <c r="AWX7" s="91"/>
      <c r="AWY7" s="91"/>
      <c r="AWZ7" s="91"/>
      <c r="AXA7" s="91"/>
      <c r="AXB7" s="91"/>
      <c r="AXC7" s="92"/>
      <c r="AXD7" s="92"/>
      <c r="AXE7" s="92"/>
      <c r="AXF7" s="92"/>
      <c r="AXG7" s="92"/>
      <c r="AXH7" s="92"/>
      <c r="AXI7" s="92"/>
      <c r="AXJ7" s="91"/>
      <c r="AXK7" s="91"/>
      <c r="AXL7" s="91"/>
      <c r="AXM7" s="91"/>
      <c r="AXN7" s="91"/>
      <c r="AXO7" s="91"/>
      <c r="AXP7" s="91"/>
      <c r="AXQ7" s="92"/>
      <c r="AXR7" s="92"/>
      <c r="AXS7" s="92"/>
      <c r="AXT7" s="92"/>
      <c r="AXU7" s="92"/>
      <c r="AXV7" s="92"/>
      <c r="AXW7" s="92"/>
      <c r="AXX7" s="91"/>
      <c r="AXY7" s="91"/>
      <c r="AXZ7" s="91"/>
      <c r="AYA7" s="91"/>
      <c r="AYB7" s="91"/>
      <c r="AYC7" s="91"/>
      <c r="AYD7" s="91"/>
      <c r="AYE7" s="92"/>
      <c r="AYF7" s="92"/>
      <c r="AYG7" s="92"/>
      <c r="AYH7" s="92"/>
      <c r="AYI7" s="92"/>
      <c r="AYJ7" s="92"/>
      <c r="AYK7" s="92"/>
      <c r="AYL7" s="91"/>
      <c r="AYM7" s="91"/>
      <c r="AYN7" s="91"/>
      <c r="AYO7" s="91"/>
      <c r="AYP7" s="91"/>
      <c r="AYQ7" s="91"/>
      <c r="AYR7" s="91"/>
      <c r="AYS7" s="92"/>
      <c r="AYT7" s="92"/>
      <c r="AYU7" s="92"/>
      <c r="AYV7" s="92"/>
      <c r="AYW7" s="92"/>
      <c r="AYX7" s="92"/>
      <c r="AYY7" s="92"/>
      <c r="AYZ7" s="91"/>
      <c r="AZA7" s="91"/>
      <c r="AZB7" s="91"/>
      <c r="AZC7" s="91"/>
      <c r="AZD7" s="91"/>
      <c r="AZE7" s="91"/>
      <c r="AZF7" s="91"/>
      <c r="AZG7" s="92"/>
      <c r="AZH7" s="92"/>
      <c r="AZI7" s="92"/>
      <c r="AZJ7" s="92"/>
      <c r="AZK7" s="92"/>
      <c r="AZL7" s="92"/>
      <c r="AZM7" s="92"/>
      <c r="AZN7" s="91"/>
      <c r="AZO7" s="91"/>
      <c r="AZP7" s="91"/>
      <c r="AZQ7" s="91"/>
      <c r="AZR7" s="91"/>
      <c r="AZS7" s="91"/>
      <c r="AZT7" s="91"/>
      <c r="AZU7" s="92"/>
      <c r="AZV7" s="92"/>
      <c r="AZW7" s="92"/>
      <c r="AZX7" s="92"/>
      <c r="AZY7" s="92"/>
      <c r="AZZ7" s="92"/>
      <c r="BAA7" s="92"/>
      <c r="BAB7" s="91"/>
      <c r="BAC7" s="91"/>
      <c r="BAD7" s="91"/>
      <c r="BAE7" s="91"/>
      <c r="BAF7" s="91"/>
      <c r="BAG7" s="91"/>
      <c r="BAH7" s="91"/>
      <c r="BAI7" s="92"/>
      <c r="BAJ7" s="92"/>
      <c r="BAK7" s="92"/>
      <c r="BAL7" s="92"/>
      <c r="BAM7" s="92"/>
      <c r="BAN7" s="92"/>
      <c r="BAO7" s="92"/>
      <c r="BAP7" s="91"/>
      <c r="BAQ7" s="91"/>
      <c r="BAR7" s="91"/>
      <c r="BAS7" s="91"/>
      <c r="BAT7" s="91"/>
      <c r="BAU7" s="91"/>
      <c r="BAV7" s="91"/>
      <c r="BAW7" s="92"/>
      <c r="BAX7" s="92"/>
      <c r="BAY7" s="92"/>
      <c r="BAZ7" s="92"/>
      <c r="BBA7" s="92"/>
      <c r="BBB7" s="92"/>
      <c r="BBC7" s="92"/>
      <c r="BBD7" s="91"/>
      <c r="BBE7" s="91"/>
      <c r="BBF7" s="91"/>
      <c r="BBG7" s="91"/>
      <c r="BBH7" s="91"/>
      <c r="BBI7" s="91"/>
      <c r="BBJ7" s="91"/>
      <c r="BBK7" s="92"/>
      <c r="BBL7" s="92"/>
      <c r="BBM7" s="92"/>
      <c r="BBN7" s="92"/>
      <c r="BBO7" s="92"/>
      <c r="BBP7" s="92"/>
      <c r="BBQ7" s="92"/>
      <c r="BBR7" s="91"/>
      <c r="BBS7" s="91"/>
      <c r="BBT7" s="91"/>
      <c r="BBU7" s="91"/>
      <c r="BBV7" s="91"/>
      <c r="BBW7" s="91"/>
      <c r="BBX7" s="91"/>
      <c r="BBY7" s="92"/>
      <c r="BBZ7" s="92"/>
      <c r="BCA7" s="92"/>
      <c r="BCB7" s="92"/>
      <c r="BCC7" s="92"/>
      <c r="BCD7" s="92"/>
      <c r="BCE7" s="92"/>
      <c r="BCF7" s="91"/>
      <c r="BCG7" s="91"/>
      <c r="BCH7" s="91"/>
      <c r="BCI7" s="91"/>
      <c r="BCJ7" s="91"/>
      <c r="BCK7" s="91"/>
      <c r="BCL7" s="91"/>
      <c r="BCM7" s="92"/>
      <c r="BCN7" s="92"/>
      <c r="BCO7" s="92"/>
      <c r="BCP7" s="92"/>
      <c r="BCQ7" s="92"/>
      <c r="BCR7" s="92"/>
      <c r="BCS7" s="92"/>
      <c r="BCT7" s="91"/>
      <c r="BCU7" s="91"/>
      <c r="BCV7" s="91"/>
      <c r="BCW7" s="91"/>
      <c r="BCX7" s="91"/>
      <c r="BCY7" s="91"/>
      <c r="BCZ7" s="91"/>
      <c r="BDA7" s="92"/>
      <c r="BDB7" s="92"/>
      <c r="BDC7" s="92"/>
      <c r="BDD7" s="92"/>
      <c r="BDE7" s="92"/>
      <c r="BDF7" s="92"/>
      <c r="BDG7" s="92"/>
      <c r="BDH7" s="91"/>
      <c r="BDI7" s="91"/>
      <c r="BDJ7" s="91"/>
      <c r="BDK7" s="91"/>
      <c r="BDL7" s="91"/>
      <c r="BDM7" s="91"/>
      <c r="BDN7" s="91"/>
      <c r="BDO7" s="92"/>
      <c r="BDP7" s="92"/>
      <c r="BDQ7" s="92"/>
      <c r="BDR7" s="92"/>
      <c r="BDS7" s="92"/>
      <c r="BDT7" s="92"/>
      <c r="BDU7" s="92"/>
      <c r="BDV7" s="91"/>
      <c r="BDW7" s="91"/>
      <c r="BDX7" s="91"/>
      <c r="BDY7" s="91"/>
      <c r="BDZ7" s="91"/>
      <c r="BEA7" s="91"/>
      <c r="BEB7" s="91"/>
      <c r="BEC7" s="92"/>
      <c r="BED7" s="92"/>
      <c r="BEE7" s="92"/>
      <c r="BEF7" s="92"/>
      <c r="BEG7" s="92"/>
      <c r="BEH7" s="92"/>
      <c r="BEI7" s="92"/>
      <c r="BEJ7" s="91"/>
      <c r="BEK7" s="91"/>
      <c r="BEL7" s="91"/>
      <c r="BEM7" s="91"/>
      <c r="BEN7" s="91"/>
      <c r="BEO7" s="91"/>
      <c r="BEP7" s="91"/>
      <c r="BEQ7" s="92"/>
      <c r="BER7" s="92"/>
      <c r="BES7" s="92"/>
      <c r="BET7" s="92"/>
      <c r="BEU7" s="92"/>
      <c r="BEV7" s="92"/>
      <c r="BEW7" s="92"/>
      <c r="BEX7" s="91"/>
      <c r="BEY7" s="91"/>
      <c r="BEZ7" s="91"/>
      <c r="BFA7" s="91"/>
      <c r="BFB7" s="91"/>
      <c r="BFC7" s="91"/>
      <c r="BFD7" s="91"/>
      <c r="BFE7" s="92"/>
      <c r="BFF7" s="92"/>
      <c r="BFG7" s="92"/>
      <c r="BFH7" s="92"/>
      <c r="BFI7" s="92"/>
      <c r="BFJ7" s="92"/>
      <c r="BFK7" s="92"/>
      <c r="BFL7" s="91"/>
      <c r="BFM7" s="91"/>
      <c r="BFN7" s="91"/>
      <c r="BFO7" s="91"/>
      <c r="BFP7" s="91"/>
      <c r="BFQ7" s="91"/>
      <c r="BFR7" s="91"/>
      <c r="BFS7" s="92"/>
      <c r="BFT7" s="92"/>
      <c r="BFU7" s="92"/>
      <c r="BFV7" s="92"/>
      <c r="BFW7" s="92"/>
      <c r="BFX7" s="92"/>
      <c r="BFY7" s="92"/>
      <c r="BFZ7" s="91"/>
      <c r="BGA7" s="91"/>
      <c r="BGB7" s="91"/>
      <c r="BGC7" s="91"/>
      <c r="BGD7" s="91"/>
      <c r="BGE7" s="91"/>
      <c r="BGF7" s="91"/>
      <c r="BGG7" s="92"/>
      <c r="BGH7" s="92"/>
      <c r="BGI7" s="92"/>
      <c r="BGJ7" s="92"/>
      <c r="BGK7" s="92"/>
      <c r="BGL7" s="92"/>
      <c r="BGM7" s="92"/>
      <c r="BGN7" s="91"/>
      <c r="BGO7" s="91"/>
      <c r="BGP7" s="91"/>
      <c r="BGQ7" s="91"/>
      <c r="BGR7" s="91"/>
      <c r="BGS7" s="91"/>
      <c r="BGT7" s="91"/>
      <c r="BGU7" s="92"/>
      <c r="BGV7" s="92"/>
      <c r="BGW7" s="92"/>
      <c r="BGX7" s="92"/>
      <c r="BGY7" s="92"/>
      <c r="BGZ7" s="92"/>
      <c r="BHA7" s="92"/>
      <c r="BHB7" s="91"/>
      <c r="BHC7" s="91"/>
      <c r="BHD7" s="91"/>
      <c r="BHE7" s="91"/>
      <c r="BHF7" s="91"/>
      <c r="BHG7" s="91"/>
      <c r="BHH7" s="91"/>
      <c r="BHI7" s="92"/>
      <c r="BHJ7" s="92"/>
      <c r="BHK7" s="92"/>
      <c r="BHL7" s="92"/>
      <c r="BHM7" s="92"/>
      <c r="BHN7" s="92"/>
      <c r="BHO7" s="92"/>
      <c r="BHP7" s="91"/>
      <c r="BHQ7" s="91"/>
      <c r="BHR7" s="91"/>
      <c r="BHS7" s="91"/>
      <c r="BHT7" s="91"/>
      <c r="BHU7" s="91"/>
      <c r="BHV7" s="91"/>
      <c r="BHW7" s="92"/>
      <c r="BHX7" s="92"/>
      <c r="BHY7" s="92"/>
      <c r="BHZ7" s="92"/>
      <c r="BIA7" s="92"/>
      <c r="BIB7" s="92"/>
      <c r="BIC7" s="92"/>
      <c r="BID7" s="91"/>
      <c r="BIE7" s="91"/>
      <c r="BIF7" s="91"/>
      <c r="BIG7" s="91"/>
      <c r="BIH7" s="91"/>
      <c r="BII7" s="91"/>
      <c r="BIJ7" s="91"/>
      <c r="BIK7" s="92"/>
      <c r="BIL7" s="92"/>
      <c r="BIM7" s="92"/>
      <c r="BIN7" s="92"/>
      <c r="BIO7" s="92"/>
      <c r="BIP7" s="92"/>
      <c r="BIQ7" s="92"/>
      <c r="BIR7" s="91"/>
      <c r="BIS7" s="91"/>
      <c r="BIT7" s="91"/>
      <c r="BIU7" s="91"/>
      <c r="BIV7" s="91"/>
      <c r="BIW7" s="91"/>
      <c r="BIX7" s="91"/>
      <c r="BIY7" s="92"/>
      <c r="BIZ7" s="92"/>
      <c r="BJA7" s="92"/>
      <c r="BJB7" s="92"/>
      <c r="BJC7" s="92"/>
      <c r="BJD7" s="92"/>
      <c r="BJE7" s="92"/>
      <c r="BJF7" s="91"/>
      <c r="BJG7" s="91"/>
      <c r="BJH7" s="91"/>
      <c r="BJI7" s="91"/>
      <c r="BJJ7" s="91"/>
      <c r="BJK7" s="91"/>
      <c r="BJL7" s="91"/>
      <c r="BJM7" s="92"/>
      <c r="BJN7" s="92"/>
      <c r="BJO7" s="92"/>
      <c r="BJP7" s="92"/>
      <c r="BJQ7" s="92"/>
      <c r="BJR7" s="92"/>
      <c r="BJS7" s="92"/>
      <c r="BJT7" s="91"/>
      <c r="BJU7" s="91"/>
      <c r="BJV7" s="91"/>
      <c r="BJW7" s="91"/>
      <c r="BJX7" s="91"/>
      <c r="BJY7" s="91"/>
      <c r="BJZ7" s="91"/>
      <c r="BKA7" s="92"/>
      <c r="BKB7" s="92"/>
      <c r="BKC7" s="92"/>
      <c r="BKD7" s="92"/>
      <c r="BKE7" s="92"/>
      <c r="BKF7" s="92"/>
      <c r="BKG7" s="92"/>
      <c r="BKH7" s="91"/>
      <c r="BKI7" s="91"/>
      <c r="BKJ7" s="91"/>
      <c r="BKK7" s="91"/>
      <c r="BKL7" s="91"/>
      <c r="BKM7" s="91"/>
      <c r="BKN7" s="91"/>
      <c r="BKO7" s="92"/>
      <c r="BKP7" s="92"/>
      <c r="BKQ7" s="92"/>
      <c r="BKR7" s="92"/>
      <c r="BKS7" s="92"/>
      <c r="BKT7" s="92"/>
      <c r="BKU7" s="92"/>
      <c r="BKV7" s="91"/>
      <c r="BKW7" s="91"/>
      <c r="BKX7" s="91"/>
      <c r="BKY7" s="91"/>
      <c r="BKZ7" s="91"/>
      <c r="BLA7" s="91"/>
      <c r="BLB7" s="91"/>
      <c r="BLC7" s="92"/>
      <c r="BLD7" s="92"/>
      <c r="BLE7" s="92"/>
      <c r="BLF7" s="92"/>
      <c r="BLG7" s="92"/>
      <c r="BLH7" s="92"/>
      <c r="BLI7" s="92"/>
      <c r="BLJ7" s="91"/>
      <c r="BLK7" s="91"/>
      <c r="BLL7" s="91"/>
      <c r="BLM7" s="91"/>
      <c r="BLN7" s="91"/>
      <c r="BLO7" s="91"/>
      <c r="BLP7" s="91"/>
      <c r="BLQ7" s="92"/>
      <c r="BLR7" s="92"/>
      <c r="BLS7" s="92"/>
      <c r="BLT7" s="92"/>
      <c r="BLU7" s="92"/>
      <c r="BLV7" s="92"/>
      <c r="BLW7" s="92"/>
      <c r="BLX7" s="91"/>
      <c r="BLY7" s="91"/>
      <c r="BLZ7" s="91"/>
      <c r="BMA7" s="91"/>
      <c r="BMB7" s="91"/>
      <c r="BMC7" s="91"/>
      <c r="BMD7" s="91"/>
      <c r="BME7" s="92"/>
      <c r="BMF7" s="92"/>
      <c r="BMG7" s="92"/>
      <c r="BMH7" s="92"/>
      <c r="BMI7" s="92"/>
      <c r="BMJ7" s="92"/>
      <c r="BMK7" s="92"/>
      <c r="BML7" s="91"/>
      <c r="BMM7" s="91"/>
      <c r="BMN7" s="91"/>
      <c r="BMO7" s="91"/>
      <c r="BMP7" s="91"/>
      <c r="BMQ7" s="91"/>
      <c r="BMR7" s="91"/>
      <c r="BMS7" s="92"/>
      <c r="BMT7" s="92"/>
      <c r="BMU7" s="92"/>
      <c r="BMV7" s="92"/>
      <c r="BMW7" s="92"/>
      <c r="BMX7" s="92"/>
      <c r="BMY7" s="92"/>
      <c r="BMZ7" s="91"/>
      <c r="BNA7" s="91"/>
      <c r="BNB7" s="91"/>
      <c r="BNC7" s="91"/>
      <c r="BND7" s="91"/>
      <c r="BNE7" s="91"/>
      <c r="BNF7" s="91"/>
      <c r="BNG7" s="92"/>
      <c r="BNH7" s="92"/>
      <c r="BNI7" s="92"/>
      <c r="BNJ7" s="92"/>
      <c r="BNK7" s="92"/>
      <c r="BNL7" s="92"/>
      <c r="BNM7" s="92"/>
      <c r="BNN7" s="91"/>
      <c r="BNO7" s="91"/>
      <c r="BNP7" s="91"/>
      <c r="BNQ7" s="91"/>
      <c r="BNR7" s="91"/>
      <c r="BNS7" s="91"/>
      <c r="BNT7" s="91"/>
      <c r="BNU7" s="92"/>
      <c r="BNV7" s="92"/>
      <c r="BNW7" s="92"/>
      <c r="BNX7" s="92"/>
      <c r="BNY7" s="92"/>
      <c r="BNZ7" s="92"/>
      <c r="BOA7" s="92"/>
      <c r="BOB7" s="91"/>
      <c r="BOC7" s="91"/>
      <c r="BOD7" s="91"/>
      <c r="BOE7" s="91"/>
      <c r="BOF7" s="91"/>
      <c r="BOG7" s="91"/>
      <c r="BOH7" s="91"/>
      <c r="BOI7" s="92"/>
      <c r="BOJ7" s="92"/>
      <c r="BOK7" s="92"/>
      <c r="BOL7" s="92"/>
      <c r="BOM7" s="92"/>
      <c r="BON7" s="92"/>
      <c r="BOO7" s="92"/>
      <c r="BOP7" s="91"/>
      <c r="BOQ7" s="91"/>
      <c r="BOR7" s="91"/>
      <c r="BOS7" s="91"/>
      <c r="BOT7" s="91"/>
      <c r="BOU7" s="91"/>
      <c r="BOV7" s="91"/>
      <c r="BOW7" s="92"/>
      <c r="BOX7" s="92"/>
      <c r="BOY7" s="92"/>
      <c r="BOZ7" s="92"/>
      <c r="BPA7" s="92"/>
      <c r="BPB7" s="92"/>
      <c r="BPC7" s="92"/>
      <c r="BPD7" s="91"/>
      <c r="BPE7" s="91"/>
      <c r="BPF7" s="91"/>
      <c r="BPG7" s="91"/>
      <c r="BPH7" s="91"/>
      <c r="BPI7" s="91"/>
      <c r="BPJ7" s="91"/>
      <c r="BPK7" s="92"/>
      <c r="BPL7" s="92"/>
      <c r="BPM7" s="92"/>
      <c r="BPN7" s="92"/>
      <c r="BPO7" s="92"/>
      <c r="BPP7" s="92"/>
      <c r="BPQ7" s="92"/>
      <c r="BPR7" s="91"/>
      <c r="BPS7" s="91"/>
      <c r="BPT7" s="91"/>
      <c r="BPU7" s="91"/>
      <c r="BPV7" s="91"/>
      <c r="BPW7" s="91"/>
      <c r="BPX7" s="91"/>
      <c r="BPY7" s="92"/>
      <c r="BPZ7" s="92"/>
      <c r="BQA7" s="92"/>
      <c r="BQB7" s="92"/>
      <c r="BQC7" s="92"/>
      <c r="BQD7" s="92"/>
      <c r="BQE7" s="92"/>
      <c r="BQF7" s="91"/>
      <c r="BQG7" s="91"/>
      <c r="BQH7" s="91"/>
      <c r="BQI7" s="91"/>
      <c r="BQJ7" s="91"/>
      <c r="BQK7" s="91"/>
      <c r="BQL7" s="91"/>
      <c r="BQM7" s="92"/>
      <c r="BQN7" s="92"/>
      <c r="BQO7" s="92"/>
      <c r="BQP7" s="92"/>
      <c r="BQQ7" s="92"/>
      <c r="BQR7" s="92"/>
      <c r="BQS7" s="92"/>
      <c r="BQT7" s="91"/>
      <c r="BQU7" s="91"/>
      <c r="BQV7" s="91"/>
      <c r="BQW7" s="91"/>
      <c r="BQX7" s="91"/>
      <c r="BQY7" s="91"/>
      <c r="BQZ7" s="91"/>
      <c r="BRA7" s="92"/>
      <c r="BRB7" s="92"/>
      <c r="BRC7" s="92"/>
      <c r="BRD7" s="92"/>
      <c r="BRE7" s="92"/>
      <c r="BRF7" s="92"/>
      <c r="BRG7" s="92"/>
      <c r="BRH7" s="91"/>
      <c r="BRI7" s="91"/>
      <c r="BRJ7" s="91"/>
      <c r="BRK7" s="91"/>
      <c r="BRL7" s="91"/>
      <c r="BRM7" s="91"/>
      <c r="BRN7" s="91"/>
      <c r="BRO7" s="92"/>
      <c r="BRP7" s="92"/>
      <c r="BRQ7" s="92"/>
      <c r="BRR7" s="92"/>
      <c r="BRS7" s="92"/>
      <c r="BRT7" s="92"/>
      <c r="BRU7" s="92"/>
      <c r="BRV7" s="91"/>
      <c r="BRW7" s="91"/>
      <c r="BRX7" s="91"/>
      <c r="BRY7" s="91"/>
      <c r="BRZ7" s="91"/>
      <c r="BSA7" s="91"/>
      <c r="BSB7" s="91"/>
      <c r="BSC7" s="92"/>
      <c r="BSD7" s="92"/>
      <c r="BSE7" s="92"/>
      <c r="BSF7" s="92"/>
      <c r="BSG7" s="92"/>
      <c r="BSH7" s="92"/>
      <c r="BSI7" s="92"/>
      <c r="BSJ7" s="91"/>
      <c r="BSK7" s="91"/>
      <c r="BSL7" s="91"/>
      <c r="BSM7" s="91"/>
      <c r="BSN7" s="91"/>
      <c r="BSO7" s="91"/>
      <c r="BSP7" s="91"/>
      <c r="BSQ7" s="92"/>
      <c r="BSR7" s="92"/>
      <c r="BSS7" s="92"/>
      <c r="BST7" s="92"/>
      <c r="BSU7" s="92"/>
      <c r="BSV7" s="92"/>
      <c r="BSW7" s="92"/>
      <c r="BSX7" s="91"/>
      <c r="BSY7" s="91"/>
      <c r="BSZ7" s="91"/>
      <c r="BTA7" s="91"/>
      <c r="BTB7" s="91"/>
      <c r="BTC7" s="91"/>
      <c r="BTD7" s="91"/>
      <c r="BTE7" s="92"/>
      <c r="BTF7" s="92"/>
      <c r="BTG7" s="92"/>
      <c r="BTH7" s="92"/>
      <c r="BTI7" s="92"/>
      <c r="BTJ7" s="92"/>
      <c r="BTK7" s="92"/>
      <c r="BTL7" s="91"/>
      <c r="BTM7" s="91"/>
      <c r="BTN7" s="91"/>
      <c r="BTO7" s="91"/>
      <c r="BTP7" s="91"/>
      <c r="BTQ7" s="91"/>
      <c r="BTR7" s="91"/>
      <c r="BTS7" s="92"/>
      <c r="BTT7" s="92"/>
      <c r="BTU7" s="92"/>
      <c r="BTV7" s="92"/>
      <c r="BTW7" s="92"/>
      <c r="BTX7" s="92"/>
      <c r="BTY7" s="92"/>
      <c r="BTZ7" s="91"/>
      <c r="BUA7" s="91"/>
      <c r="BUB7" s="91"/>
      <c r="BUC7" s="91"/>
      <c r="BUD7" s="91"/>
      <c r="BUE7" s="91"/>
      <c r="BUF7" s="91"/>
      <c r="BUG7" s="92"/>
      <c r="BUH7" s="92"/>
      <c r="BUI7" s="92"/>
      <c r="BUJ7" s="92"/>
      <c r="BUK7" s="92"/>
      <c r="BUL7" s="92"/>
      <c r="BUM7" s="92"/>
      <c r="BUN7" s="91"/>
      <c r="BUO7" s="91"/>
      <c r="BUP7" s="91"/>
      <c r="BUQ7" s="91"/>
      <c r="BUR7" s="91"/>
      <c r="BUS7" s="91"/>
      <c r="BUT7" s="91"/>
      <c r="BUU7" s="92"/>
      <c r="BUV7" s="92"/>
      <c r="BUW7" s="92"/>
      <c r="BUX7" s="92"/>
      <c r="BUY7" s="92"/>
      <c r="BUZ7" s="92"/>
      <c r="BVA7" s="92"/>
      <c r="BVB7" s="91"/>
      <c r="BVC7" s="91"/>
      <c r="BVD7" s="91"/>
      <c r="BVE7" s="91"/>
      <c r="BVF7" s="91"/>
      <c r="BVG7" s="91"/>
      <c r="BVH7" s="91"/>
      <c r="BVI7" s="92"/>
      <c r="BVJ7" s="92"/>
      <c r="BVK7" s="92"/>
      <c r="BVL7" s="92"/>
      <c r="BVM7" s="92"/>
      <c r="BVN7" s="92"/>
      <c r="BVO7" s="92"/>
      <c r="BVP7" s="91"/>
      <c r="BVQ7" s="91"/>
      <c r="BVR7" s="91"/>
      <c r="BVS7" s="91"/>
      <c r="BVT7" s="91"/>
      <c r="BVU7" s="91"/>
      <c r="BVV7" s="91"/>
      <c r="BVW7" s="92"/>
      <c r="BVX7" s="92"/>
      <c r="BVY7" s="92"/>
      <c r="BVZ7" s="92"/>
      <c r="BWA7" s="92"/>
      <c r="BWB7" s="92"/>
      <c r="BWC7" s="92"/>
      <c r="BWD7" s="91"/>
      <c r="BWE7" s="91"/>
      <c r="BWF7" s="91"/>
      <c r="BWG7" s="91"/>
      <c r="BWH7" s="91"/>
      <c r="BWI7" s="91"/>
      <c r="BWJ7" s="91"/>
      <c r="BWK7" s="92"/>
      <c r="BWL7" s="92"/>
      <c r="BWM7" s="92"/>
      <c r="BWN7" s="92"/>
      <c r="BWO7" s="92"/>
      <c r="BWP7" s="92"/>
      <c r="BWQ7" s="92"/>
      <c r="BWR7" s="91"/>
      <c r="BWS7" s="91"/>
      <c r="BWT7" s="91"/>
      <c r="BWU7" s="91"/>
      <c r="BWV7" s="91"/>
      <c r="BWW7" s="91"/>
      <c r="BWX7" s="91"/>
      <c r="BWY7" s="92"/>
      <c r="BWZ7" s="92"/>
      <c r="BXA7" s="92"/>
      <c r="BXB7" s="92"/>
      <c r="BXC7" s="92"/>
      <c r="BXD7" s="92"/>
      <c r="BXE7" s="92"/>
      <c r="BXF7" s="91"/>
      <c r="BXG7" s="91"/>
      <c r="BXH7" s="91"/>
      <c r="BXI7" s="91"/>
      <c r="BXJ7" s="91"/>
      <c r="BXK7" s="91"/>
      <c r="BXL7" s="91"/>
      <c r="BXM7" s="92"/>
      <c r="BXN7" s="92"/>
      <c r="BXO7" s="92"/>
      <c r="BXP7" s="92"/>
      <c r="BXQ7" s="92"/>
      <c r="BXR7" s="92"/>
      <c r="BXS7" s="92"/>
      <c r="BXT7" s="91"/>
      <c r="BXU7" s="91"/>
      <c r="BXV7" s="91"/>
      <c r="BXW7" s="91"/>
      <c r="BXX7" s="91"/>
      <c r="BXY7" s="91"/>
      <c r="BXZ7" s="91"/>
      <c r="BYA7" s="92"/>
      <c r="BYB7" s="92"/>
      <c r="BYC7" s="92"/>
      <c r="BYD7" s="92"/>
      <c r="BYE7" s="92"/>
      <c r="BYF7" s="92"/>
      <c r="BYG7" s="92"/>
      <c r="BYH7" s="91"/>
      <c r="BYI7" s="91"/>
      <c r="BYJ7" s="91"/>
      <c r="BYK7" s="91"/>
      <c r="BYL7" s="91"/>
      <c r="BYM7" s="91"/>
      <c r="BYN7" s="91"/>
      <c r="BYO7" s="92"/>
      <c r="BYP7" s="92"/>
      <c r="BYQ7" s="92"/>
      <c r="BYR7" s="92"/>
      <c r="BYS7" s="92"/>
      <c r="BYT7" s="92"/>
      <c r="BYU7" s="92"/>
      <c r="BYV7" s="91"/>
      <c r="BYW7" s="91"/>
      <c r="BYX7" s="91"/>
      <c r="BYY7" s="91"/>
      <c r="BYZ7" s="91"/>
      <c r="BZA7" s="91"/>
      <c r="BZB7" s="91"/>
      <c r="BZC7" s="92"/>
      <c r="BZD7" s="92"/>
      <c r="BZE7" s="92"/>
      <c r="BZF7" s="92"/>
      <c r="BZG7" s="92"/>
      <c r="BZH7" s="92"/>
      <c r="BZI7" s="92"/>
      <c r="BZJ7" s="91"/>
      <c r="BZK7" s="91"/>
      <c r="BZL7" s="91"/>
      <c r="BZM7" s="91"/>
      <c r="BZN7" s="91"/>
      <c r="BZO7" s="91"/>
      <c r="BZP7" s="91"/>
      <c r="BZQ7" s="92"/>
      <c r="BZR7" s="92"/>
      <c r="BZS7" s="92"/>
      <c r="BZT7" s="92"/>
      <c r="BZU7" s="92"/>
      <c r="BZV7" s="92"/>
      <c r="BZW7" s="92"/>
      <c r="BZX7" s="91"/>
      <c r="BZY7" s="91"/>
      <c r="BZZ7" s="91"/>
      <c r="CAA7" s="91"/>
      <c r="CAB7" s="91"/>
      <c r="CAC7" s="91"/>
      <c r="CAD7" s="91"/>
      <c r="CAE7" s="92"/>
      <c r="CAF7" s="92"/>
      <c r="CAG7" s="92"/>
      <c r="CAH7" s="92"/>
      <c r="CAI7" s="92"/>
      <c r="CAJ7" s="92"/>
      <c r="CAK7" s="92"/>
      <c r="CAL7" s="91"/>
      <c r="CAM7" s="91"/>
      <c r="CAN7" s="91"/>
      <c r="CAO7" s="91"/>
      <c r="CAP7" s="91"/>
      <c r="CAQ7" s="91"/>
      <c r="CAR7" s="91"/>
      <c r="CAS7" s="92"/>
      <c r="CAT7" s="92"/>
      <c r="CAU7" s="92"/>
      <c r="CAV7" s="92"/>
      <c r="CAW7" s="92"/>
      <c r="CAX7" s="92"/>
      <c r="CAY7" s="92"/>
      <c r="CAZ7" s="91"/>
      <c r="CBA7" s="91"/>
      <c r="CBB7" s="91"/>
      <c r="CBC7" s="91"/>
      <c r="CBD7" s="91"/>
      <c r="CBE7" s="91"/>
      <c r="CBF7" s="91"/>
      <c r="CBG7" s="92"/>
      <c r="CBH7" s="92"/>
      <c r="CBI7" s="92"/>
      <c r="CBJ7" s="92"/>
      <c r="CBK7" s="92"/>
      <c r="CBL7" s="92"/>
      <c r="CBM7" s="92"/>
      <c r="CBN7" s="91"/>
      <c r="CBO7" s="91"/>
      <c r="CBP7" s="91"/>
      <c r="CBQ7" s="91"/>
      <c r="CBR7" s="91"/>
      <c r="CBS7" s="91"/>
      <c r="CBT7" s="91"/>
      <c r="CBU7" s="92"/>
      <c r="CBV7" s="92"/>
      <c r="CBW7" s="92"/>
      <c r="CBX7" s="92"/>
      <c r="CBY7" s="92"/>
      <c r="CBZ7" s="92"/>
      <c r="CCA7" s="92"/>
      <c r="CCB7" s="91"/>
      <c r="CCC7" s="91"/>
      <c r="CCD7" s="91"/>
      <c r="CCE7" s="91"/>
      <c r="CCF7" s="91"/>
      <c r="CCG7" s="91"/>
      <c r="CCH7" s="91"/>
      <c r="CCI7" s="92"/>
      <c r="CCJ7" s="92"/>
      <c r="CCK7" s="92"/>
      <c r="CCL7" s="92"/>
      <c r="CCM7" s="92"/>
      <c r="CCN7" s="92"/>
      <c r="CCO7" s="92"/>
      <c r="CCP7" s="91"/>
      <c r="CCQ7" s="91"/>
      <c r="CCR7" s="91"/>
      <c r="CCS7" s="91"/>
      <c r="CCT7" s="91"/>
      <c r="CCU7" s="91"/>
      <c r="CCV7" s="91"/>
    </row>
    <row r="8" spans="1:2129 15008:15070 15386:15394" ht="14.1" customHeight="1" x14ac:dyDescent="0.2">
      <c r="G8" s="90" t="s">
        <v>87</v>
      </c>
      <c r="H8" s="89"/>
      <c r="I8" s="89"/>
      <c r="J8" s="88"/>
      <c r="K8" s="89"/>
      <c r="L8" s="89"/>
      <c r="M8" s="88"/>
      <c r="N8" s="168"/>
      <c r="O8" s="168"/>
      <c r="P8" s="182"/>
      <c r="Q8" s="175"/>
      <c r="R8" s="89"/>
      <c r="S8" s="89"/>
      <c r="T8" s="88"/>
      <c r="U8" s="193"/>
      <c r="V8" s="193"/>
      <c r="W8" s="193"/>
      <c r="X8" s="87"/>
      <c r="Y8" s="87"/>
      <c r="Z8" s="87"/>
      <c r="AA8" s="87"/>
      <c r="AB8" s="87"/>
      <c r="AC8" s="184">
        <v>18</v>
      </c>
      <c r="AD8" s="184">
        <v>19</v>
      </c>
      <c r="AE8" s="184">
        <v>20</v>
      </c>
      <c r="AF8" s="184">
        <v>21</v>
      </c>
      <c r="AG8" s="184">
        <v>22</v>
      </c>
      <c r="AH8" s="184">
        <v>23</v>
      </c>
      <c r="AI8" s="184">
        <v>24</v>
      </c>
      <c r="AJ8" s="184">
        <v>25</v>
      </c>
      <c r="AK8" s="184">
        <v>26</v>
      </c>
      <c r="AL8" s="184">
        <v>27</v>
      </c>
      <c r="AM8" s="184">
        <v>28</v>
      </c>
      <c r="AN8" s="184">
        <v>29</v>
      </c>
      <c r="AO8" s="184">
        <v>30</v>
      </c>
      <c r="AP8" s="184">
        <v>31</v>
      </c>
      <c r="AQ8" s="184">
        <v>1</v>
      </c>
      <c r="AR8" s="184">
        <v>2</v>
      </c>
      <c r="AS8" s="184">
        <v>3</v>
      </c>
      <c r="AT8" s="184">
        <v>4</v>
      </c>
      <c r="AU8" s="184">
        <v>5</v>
      </c>
      <c r="AV8" s="184">
        <v>6</v>
      </c>
      <c r="AW8" s="184">
        <v>7</v>
      </c>
      <c r="AX8" s="184">
        <v>8</v>
      </c>
      <c r="AY8" s="184">
        <v>9</v>
      </c>
      <c r="AZ8" s="184">
        <v>10</v>
      </c>
      <c r="BA8" s="184">
        <v>11</v>
      </c>
      <c r="BB8" s="184">
        <v>12</v>
      </c>
      <c r="BC8" s="184">
        <v>13</v>
      </c>
      <c r="BD8" s="184">
        <v>14</v>
      </c>
      <c r="BE8" s="184">
        <v>15</v>
      </c>
      <c r="BF8" s="184">
        <v>16</v>
      </c>
      <c r="BG8" s="184">
        <v>17</v>
      </c>
      <c r="BH8" s="184">
        <v>18</v>
      </c>
      <c r="BI8" s="184">
        <v>19</v>
      </c>
      <c r="BJ8" s="184">
        <v>20</v>
      </c>
      <c r="BK8" s="184">
        <v>21</v>
      </c>
      <c r="BL8" s="184">
        <v>22</v>
      </c>
      <c r="BM8" s="184">
        <v>23</v>
      </c>
      <c r="BN8" s="184">
        <v>24</v>
      </c>
      <c r="BO8" s="184">
        <v>25</v>
      </c>
      <c r="BP8" s="184">
        <v>26</v>
      </c>
      <c r="BQ8" s="184">
        <v>27</v>
      </c>
      <c r="BR8" s="184">
        <v>28</v>
      </c>
      <c r="BS8" s="184">
        <v>29</v>
      </c>
      <c r="BT8" s="184">
        <v>1</v>
      </c>
      <c r="BU8" s="184">
        <v>2</v>
      </c>
      <c r="BV8" s="184">
        <v>3</v>
      </c>
      <c r="BW8" s="184">
        <v>4</v>
      </c>
      <c r="BX8" s="184">
        <v>5</v>
      </c>
      <c r="BY8" s="184">
        <v>6</v>
      </c>
      <c r="BZ8" s="184">
        <v>7</v>
      </c>
      <c r="CA8" s="184">
        <v>8</v>
      </c>
      <c r="CB8" s="184">
        <v>9</v>
      </c>
      <c r="CC8" s="184">
        <v>10</v>
      </c>
      <c r="CD8" s="184">
        <v>11</v>
      </c>
      <c r="CE8" s="184">
        <v>12</v>
      </c>
      <c r="CF8" s="184">
        <v>13</v>
      </c>
      <c r="CG8" s="184"/>
      <c r="CH8" s="184"/>
      <c r="CI8" s="184"/>
      <c r="CJ8" s="184"/>
      <c r="CK8" s="184"/>
      <c r="CL8" s="184"/>
      <c r="CM8" s="184"/>
      <c r="CN8" s="184"/>
      <c r="CO8" s="184"/>
      <c r="CP8" s="184"/>
      <c r="CQ8" s="184"/>
      <c r="CR8" s="184"/>
      <c r="CS8" s="184"/>
      <c r="CT8" s="184"/>
      <c r="CU8" s="184"/>
      <c r="CV8" s="184"/>
      <c r="CW8" s="184"/>
      <c r="CX8" s="184"/>
      <c r="CY8" s="184"/>
      <c r="CZ8" s="184"/>
      <c r="DA8" s="184"/>
      <c r="DB8" s="184"/>
      <c r="DC8" s="184"/>
      <c r="DD8" s="184"/>
      <c r="DE8" s="184"/>
      <c r="DF8" s="184"/>
      <c r="DG8" s="184"/>
      <c r="DH8" s="184"/>
      <c r="DI8" s="184"/>
      <c r="DJ8" s="184"/>
      <c r="DK8" s="184"/>
      <c r="DL8" s="184"/>
      <c r="DM8" s="184"/>
      <c r="DN8" s="184"/>
      <c r="DO8" s="184"/>
      <c r="DP8" s="184"/>
      <c r="DQ8" s="184"/>
      <c r="DR8" s="184"/>
      <c r="DS8" s="184"/>
      <c r="DT8" s="184"/>
      <c r="DU8" s="184"/>
      <c r="DV8" s="184"/>
      <c r="DW8" s="184"/>
      <c r="DX8" s="184"/>
      <c r="DY8" s="184"/>
      <c r="DZ8" s="184"/>
      <c r="EA8" s="184"/>
      <c r="EB8" s="184"/>
      <c r="EC8" s="184"/>
      <c r="ED8" s="184"/>
      <c r="EE8" s="184"/>
      <c r="EF8" s="184"/>
      <c r="EG8" s="184"/>
      <c r="EH8" s="184"/>
      <c r="EI8" s="184"/>
      <c r="EJ8" s="184"/>
      <c r="EK8" s="184"/>
      <c r="EL8" s="184"/>
      <c r="EM8" s="184"/>
      <c r="EN8" s="184"/>
      <c r="EO8" s="184"/>
      <c r="EP8" s="184"/>
      <c r="EQ8" s="184"/>
      <c r="ER8" s="184"/>
      <c r="ES8" s="184"/>
      <c r="ET8" s="184"/>
      <c r="EU8" s="184"/>
      <c r="EV8" s="184"/>
      <c r="EW8" s="184"/>
      <c r="EX8" s="184"/>
      <c r="EY8" s="184"/>
      <c r="EZ8" s="184"/>
      <c r="FA8" s="184"/>
      <c r="FB8" s="184"/>
      <c r="FC8" s="184"/>
      <c r="FD8" s="184"/>
      <c r="FE8" s="184"/>
      <c r="FF8" s="184"/>
      <c r="FG8" s="184"/>
      <c r="FH8" s="184"/>
      <c r="FI8" s="184"/>
      <c r="FJ8" s="184"/>
      <c r="FK8" s="184"/>
      <c r="FL8" s="184"/>
      <c r="FM8" s="184"/>
      <c r="FN8" s="184"/>
      <c r="FO8" s="184"/>
      <c r="FP8" s="184"/>
      <c r="FQ8" s="184"/>
      <c r="FR8" s="184"/>
      <c r="FS8" s="184"/>
      <c r="FT8" s="184"/>
      <c r="FU8" s="184"/>
      <c r="FV8" s="184"/>
      <c r="FW8" s="184"/>
      <c r="FX8" s="184"/>
      <c r="FY8" s="184"/>
      <c r="FZ8" s="184"/>
      <c r="GA8" s="184"/>
      <c r="GB8" s="184"/>
      <c r="GC8" s="184"/>
      <c r="GD8" s="184"/>
      <c r="GE8" s="184"/>
      <c r="GF8" s="184"/>
      <c r="GG8" s="184"/>
      <c r="GH8" s="184"/>
      <c r="GI8" s="184"/>
      <c r="GJ8" s="184"/>
      <c r="GK8" s="184"/>
      <c r="GL8" s="184"/>
      <c r="GM8" s="184"/>
      <c r="GN8" s="184"/>
      <c r="GO8" s="184"/>
      <c r="GP8" s="184"/>
      <c r="GQ8" s="184"/>
      <c r="GR8" s="184"/>
      <c r="GS8" s="184"/>
      <c r="GT8" s="184"/>
      <c r="GU8" s="184"/>
      <c r="GV8" s="184"/>
      <c r="GW8" s="184"/>
      <c r="GX8" s="184"/>
      <c r="GY8" s="184"/>
      <c r="GZ8" s="184"/>
      <c r="HA8" s="184"/>
      <c r="HB8" s="184"/>
      <c r="HC8" s="184"/>
      <c r="HD8" s="184"/>
      <c r="HE8" s="184"/>
      <c r="HF8" s="184"/>
      <c r="HG8" s="184"/>
      <c r="HH8" s="184"/>
      <c r="HI8" s="184"/>
      <c r="HJ8" s="184"/>
      <c r="HK8" s="184"/>
      <c r="HL8" s="184"/>
      <c r="HM8" s="184"/>
      <c r="HN8" s="184"/>
      <c r="HO8" s="184"/>
      <c r="HP8" s="184"/>
      <c r="HQ8" s="184"/>
      <c r="HR8" s="184"/>
      <c r="HS8" s="184"/>
      <c r="HT8" s="184"/>
      <c r="HU8" s="184"/>
      <c r="HV8" s="184"/>
      <c r="HW8" s="184"/>
      <c r="HX8" s="184"/>
      <c r="HY8" s="184"/>
      <c r="HZ8" s="184"/>
      <c r="IA8" s="184"/>
      <c r="IB8" s="184"/>
      <c r="IC8" s="184"/>
      <c r="ID8" s="184"/>
      <c r="IE8" s="184"/>
      <c r="IF8" s="184"/>
      <c r="IG8" s="184"/>
      <c r="IH8" s="184"/>
      <c r="II8" s="184"/>
      <c r="IJ8" s="184"/>
      <c r="IK8" s="184"/>
      <c r="IL8" s="184"/>
      <c r="IM8" s="184"/>
      <c r="IN8" s="184"/>
      <c r="IO8" s="184"/>
      <c r="IP8" s="184"/>
      <c r="IQ8" s="184"/>
      <c r="IR8" s="184"/>
      <c r="IS8" s="184"/>
      <c r="IT8" s="184"/>
      <c r="IU8" s="184"/>
      <c r="IV8" s="184"/>
      <c r="IW8" s="184"/>
      <c r="IX8" s="184"/>
      <c r="IY8" s="184"/>
      <c r="IZ8" s="184"/>
      <c r="JA8" s="184"/>
      <c r="JB8" s="184"/>
      <c r="JC8" s="184"/>
      <c r="JD8" s="184"/>
      <c r="JE8" s="184"/>
      <c r="JF8" s="184"/>
      <c r="JG8" s="184"/>
      <c r="JH8" s="184"/>
      <c r="JI8" s="184"/>
      <c r="JJ8" s="184"/>
      <c r="JK8" s="184"/>
      <c r="JL8" s="184"/>
      <c r="JM8" s="184"/>
      <c r="JN8" s="184"/>
      <c r="JO8" s="184"/>
      <c r="JP8" s="184"/>
      <c r="JQ8" s="184"/>
      <c r="JR8" s="184"/>
      <c r="JS8" s="184"/>
      <c r="JT8" s="184"/>
      <c r="JU8" s="184"/>
      <c r="JV8" s="184"/>
      <c r="JW8" s="184"/>
      <c r="JX8" s="184"/>
      <c r="JY8" s="184"/>
      <c r="JZ8" s="184"/>
      <c r="KA8" s="184"/>
      <c r="KB8" s="184"/>
      <c r="KC8" s="184"/>
      <c r="KD8" s="184"/>
      <c r="KE8" s="184"/>
      <c r="KF8" s="184"/>
      <c r="KG8" s="184"/>
      <c r="KH8" s="184"/>
      <c r="KI8" s="184"/>
      <c r="KJ8" s="184"/>
      <c r="KK8" s="184"/>
      <c r="KL8" s="184"/>
      <c r="KM8" s="184"/>
      <c r="KN8" s="184"/>
      <c r="KO8" s="184"/>
      <c r="KP8" s="184"/>
      <c r="KQ8" s="184"/>
      <c r="KR8" s="184"/>
      <c r="KS8" s="184"/>
      <c r="KT8" s="184"/>
      <c r="KU8" s="184"/>
      <c r="KV8" s="184"/>
      <c r="KW8" s="184"/>
      <c r="KX8" s="184"/>
      <c r="KY8" s="184"/>
      <c r="KZ8" s="184"/>
      <c r="LA8" s="184"/>
      <c r="LB8" s="184"/>
      <c r="LC8" s="184"/>
      <c r="LD8" s="184"/>
      <c r="LE8" s="184"/>
      <c r="LF8" s="184"/>
      <c r="LG8" s="184"/>
      <c r="LH8" s="184"/>
      <c r="LI8" s="184"/>
      <c r="LJ8" s="184"/>
      <c r="LK8" s="184"/>
      <c r="LL8" s="184"/>
      <c r="LM8" s="184"/>
      <c r="LN8" s="184"/>
      <c r="LO8" s="184"/>
      <c r="LP8" s="184"/>
      <c r="LQ8" s="184"/>
      <c r="LR8" s="184"/>
      <c r="LS8" s="184"/>
      <c r="LT8" s="184"/>
      <c r="LU8" s="184"/>
      <c r="LV8" s="184"/>
      <c r="LW8" s="184"/>
      <c r="LX8" s="184"/>
      <c r="LY8" s="184"/>
      <c r="LZ8" s="184"/>
      <c r="MA8" s="184"/>
      <c r="MB8" s="184"/>
      <c r="MC8" s="184"/>
      <c r="MD8" s="184"/>
      <c r="ME8" s="184"/>
      <c r="MF8" s="184"/>
      <c r="MG8" s="184"/>
      <c r="MH8" s="184"/>
      <c r="MI8" s="184"/>
      <c r="MJ8" s="184"/>
      <c r="MK8" s="184"/>
      <c r="ML8" s="184"/>
      <c r="MM8" s="184"/>
      <c r="MN8" s="184"/>
      <c r="MO8" s="184"/>
      <c r="MP8" s="184"/>
      <c r="MQ8" s="184"/>
      <c r="MR8" s="184"/>
      <c r="MS8" s="184"/>
      <c r="MT8" s="184"/>
      <c r="MU8" s="184"/>
      <c r="MV8" s="184"/>
      <c r="MW8" s="184"/>
      <c r="MX8" s="184"/>
      <c r="MY8" s="184"/>
      <c r="MZ8" s="184"/>
      <c r="NA8" s="184"/>
      <c r="NB8" s="184"/>
      <c r="NC8" s="184"/>
      <c r="ND8" s="184"/>
      <c r="NE8" s="184"/>
      <c r="NF8" s="184"/>
      <c r="NG8" s="184"/>
      <c r="NH8" s="184"/>
      <c r="NI8" s="184"/>
      <c r="NJ8" s="184"/>
      <c r="NK8" s="184"/>
      <c r="NL8" s="184"/>
      <c r="NM8" s="184"/>
      <c r="NN8" s="184"/>
      <c r="NO8" s="184"/>
      <c r="NP8" s="184"/>
      <c r="NQ8" s="184"/>
      <c r="NR8" s="184"/>
      <c r="NS8" s="184"/>
      <c r="NT8" s="184"/>
      <c r="NU8" s="184"/>
      <c r="NV8" s="184"/>
      <c r="NW8" s="184"/>
      <c r="NX8" s="184"/>
      <c r="NY8" s="184"/>
      <c r="NZ8" s="184"/>
      <c r="OA8" s="184"/>
      <c r="OB8" s="184"/>
      <c r="OC8" s="184"/>
      <c r="OD8" s="184"/>
      <c r="OE8" s="184"/>
      <c r="OF8" s="184"/>
      <c r="OG8" s="184"/>
      <c r="OH8" s="184"/>
      <c r="OI8" s="184"/>
      <c r="OJ8" s="184"/>
      <c r="OK8" s="184"/>
      <c r="OL8" s="184"/>
      <c r="OM8" s="184"/>
      <c r="ON8" s="184"/>
      <c r="OO8" s="184"/>
      <c r="OP8" s="184"/>
      <c r="OQ8" s="184"/>
      <c r="OR8" s="184"/>
      <c r="OS8" s="184"/>
      <c r="OT8" s="184"/>
      <c r="OU8" s="184"/>
      <c r="OV8" s="184"/>
      <c r="OW8" s="184"/>
      <c r="OX8" s="184"/>
      <c r="OY8" s="184"/>
      <c r="OZ8" s="184"/>
      <c r="PA8" s="184"/>
      <c r="PB8" s="184"/>
      <c r="PC8" s="184"/>
      <c r="PD8" s="184"/>
      <c r="PE8" s="184"/>
      <c r="PF8" s="184"/>
      <c r="PG8" s="184"/>
      <c r="PH8" s="184"/>
      <c r="PI8" s="184"/>
      <c r="PJ8" s="184"/>
      <c r="PK8" s="184"/>
      <c r="PL8" s="184"/>
      <c r="PM8" s="184"/>
      <c r="PN8" s="184"/>
      <c r="PO8" s="184"/>
      <c r="PP8" s="184"/>
      <c r="PQ8" s="184"/>
      <c r="PR8" s="184"/>
      <c r="PS8" s="184"/>
      <c r="PT8" s="184"/>
      <c r="PU8" s="184"/>
      <c r="PV8" s="184"/>
      <c r="PW8" s="184"/>
      <c r="PX8" s="184"/>
      <c r="PY8" s="184"/>
      <c r="PZ8" s="184"/>
      <c r="QA8" s="184"/>
      <c r="QB8" s="184"/>
      <c r="QC8" s="184"/>
      <c r="QD8" s="184"/>
      <c r="QE8" s="184"/>
      <c r="QF8" s="184"/>
      <c r="QG8" s="184"/>
      <c r="QH8" s="184"/>
      <c r="QI8" s="184"/>
      <c r="QJ8" s="184"/>
      <c r="QK8" s="184"/>
      <c r="QL8" s="184"/>
      <c r="QM8" s="184"/>
      <c r="QN8" s="184"/>
      <c r="QO8" s="184"/>
      <c r="QP8" s="184"/>
      <c r="QQ8" s="184"/>
      <c r="QR8" s="184"/>
      <c r="QS8" s="184"/>
      <c r="QT8" s="184"/>
      <c r="QU8" s="184"/>
      <c r="QV8" s="184"/>
      <c r="QW8" s="184"/>
      <c r="QX8" s="184"/>
      <c r="QY8" s="184"/>
      <c r="QZ8" s="184"/>
      <c r="RA8" s="184"/>
      <c r="RB8" s="184"/>
      <c r="RC8" s="184"/>
      <c r="RD8" s="184"/>
      <c r="RE8" s="184"/>
      <c r="RF8" s="184"/>
      <c r="RG8" s="184"/>
      <c r="RH8" s="184"/>
      <c r="RI8" s="184"/>
      <c r="RJ8" s="184"/>
      <c r="RK8" s="184"/>
      <c r="RL8" s="184"/>
      <c r="RM8" s="184"/>
      <c r="RN8" s="184"/>
      <c r="RO8" s="184"/>
      <c r="RP8" s="184"/>
      <c r="RQ8" s="184"/>
      <c r="RR8" s="184"/>
      <c r="RS8" s="184"/>
      <c r="RT8" s="184"/>
      <c r="RU8" s="184"/>
      <c r="RV8" s="184"/>
      <c r="RW8" s="184"/>
      <c r="RX8" s="184"/>
      <c r="RY8" s="184"/>
      <c r="RZ8" s="184"/>
      <c r="SA8" s="184"/>
      <c r="SB8" s="184"/>
      <c r="SC8" s="184"/>
      <c r="SD8" s="184"/>
      <c r="SE8" s="184"/>
      <c r="SF8" s="184"/>
      <c r="SG8" s="184"/>
      <c r="SH8" s="184"/>
      <c r="SI8" s="184"/>
      <c r="SJ8" s="184"/>
      <c r="SK8" s="184"/>
      <c r="SL8" s="184"/>
      <c r="SM8" s="184"/>
      <c r="SN8" s="184"/>
      <c r="SO8" s="184"/>
      <c r="SP8" s="184"/>
      <c r="SQ8" s="184"/>
      <c r="SR8" s="184"/>
      <c r="SS8" s="184"/>
      <c r="ST8" s="184"/>
      <c r="SU8" s="184"/>
      <c r="SV8" s="184"/>
      <c r="SW8" s="184"/>
      <c r="SX8" s="184"/>
      <c r="SY8" s="184"/>
      <c r="SZ8" s="184"/>
      <c r="TA8" s="184"/>
      <c r="TB8" s="184"/>
      <c r="TC8" s="184"/>
      <c r="TD8" s="184"/>
      <c r="TE8" s="184"/>
      <c r="TF8" s="184"/>
      <c r="TG8" s="184"/>
      <c r="TH8" s="184"/>
      <c r="TI8" s="184"/>
      <c r="TJ8" s="184"/>
      <c r="TK8" s="184"/>
      <c r="TL8" s="184"/>
      <c r="TM8" s="184"/>
      <c r="TN8" s="184"/>
      <c r="TO8" s="184"/>
      <c r="TP8" s="184"/>
      <c r="TQ8" s="184"/>
      <c r="TR8" s="184"/>
      <c r="TS8" s="184"/>
      <c r="TT8" s="184"/>
      <c r="TU8" s="184"/>
      <c r="TV8" s="184"/>
      <c r="TW8" s="184"/>
      <c r="TX8" s="184"/>
      <c r="TY8" s="184"/>
      <c r="TZ8" s="184"/>
      <c r="UA8" s="184"/>
      <c r="UB8" s="184"/>
      <c r="UC8" s="184"/>
      <c r="UD8" s="184"/>
      <c r="UE8" s="184"/>
      <c r="UF8" s="184"/>
      <c r="UG8" s="184"/>
      <c r="UH8" s="184"/>
      <c r="UI8" s="184"/>
      <c r="UJ8" s="184"/>
      <c r="UK8" s="184"/>
      <c r="UL8" s="184"/>
      <c r="UM8" s="184"/>
      <c r="UN8" s="184"/>
      <c r="UO8" s="184"/>
      <c r="UP8" s="184"/>
      <c r="UQ8" s="184"/>
      <c r="UR8" s="184"/>
      <c r="US8" s="184"/>
      <c r="UT8" s="184"/>
      <c r="UU8" s="184"/>
      <c r="UV8" s="184"/>
      <c r="UW8" s="184"/>
      <c r="UX8" s="184"/>
      <c r="UY8" s="184"/>
      <c r="UZ8" s="184"/>
      <c r="VA8" s="184"/>
      <c r="VB8" s="184"/>
      <c r="VC8" s="184"/>
      <c r="VD8" s="184"/>
      <c r="VE8" s="184"/>
      <c r="VF8" s="184"/>
      <c r="VG8" s="184"/>
      <c r="VH8" s="184"/>
      <c r="VI8" s="184"/>
      <c r="VJ8" s="184"/>
      <c r="VK8" s="184"/>
      <c r="VL8" s="184"/>
      <c r="VM8" s="184"/>
      <c r="VN8" s="184"/>
      <c r="VO8" s="184"/>
      <c r="VP8" s="184"/>
      <c r="VQ8" s="184"/>
      <c r="VR8" s="184"/>
      <c r="VS8" s="184"/>
      <c r="VT8" s="184"/>
      <c r="VU8" s="184"/>
      <c r="VV8" s="184"/>
      <c r="VW8" s="184"/>
      <c r="VX8" s="184"/>
      <c r="VY8" s="184"/>
      <c r="VZ8" s="184"/>
      <c r="WA8" s="184"/>
      <c r="WB8" s="184"/>
      <c r="WC8" s="184"/>
      <c r="WD8" s="184"/>
      <c r="WE8" s="184"/>
      <c r="WF8" s="184"/>
      <c r="WG8" s="184"/>
      <c r="WH8" s="184"/>
      <c r="WI8" s="184"/>
      <c r="WJ8" s="184"/>
      <c r="WK8" s="184"/>
      <c r="WL8" s="184"/>
      <c r="WM8" s="184"/>
      <c r="WN8" s="184"/>
      <c r="WO8" s="184"/>
      <c r="WP8" s="184"/>
      <c r="WQ8" s="184"/>
      <c r="WR8" s="184"/>
      <c r="WS8" s="184"/>
      <c r="WT8" s="184"/>
      <c r="WU8" s="184"/>
      <c r="WV8" s="184"/>
      <c r="WW8" s="184"/>
      <c r="WX8" s="184"/>
      <c r="WY8" s="184"/>
      <c r="WZ8" s="184"/>
      <c r="XA8" s="184"/>
      <c r="XB8" s="184"/>
      <c r="XC8" s="184"/>
      <c r="XD8" s="184"/>
      <c r="XE8" s="184"/>
      <c r="XF8" s="184"/>
      <c r="XG8" s="184"/>
      <c r="XH8" s="184"/>
      <c r="XI8" s="184"/>
      <c r="XJ8" s="184"/>
      <c r="XK8" s="184"/>
      <c r="XL8" s="184"/>
      <c r="XM8" s="184"/>
      <c r="XN8" s="184"/>
      <c r="XO8" s="184"/>
      <c r="XP8" s="184"/>
      <c r="XQ8" s="184"/>
      <c r="XR8" s="184"/>
      <c r="XS8" s="184"/>
      <c r="XT8" s="184"/>
      <c r="XU8" s="184"/>
      <c r="XV8" s="184"/>
      <c r="XW8" s="184"/>
      <c r="XX8" s="184"/>
      <c r="XY8" s="184"/>
      <c r="XZ8" s="184"/>
      <c r="YA8" s="184"/>
      <c r="YB8" s="184"/>
      <c r="YC8" s="184"/>
      <c r="YD8" s="184"/>
      <c r="YE8" s="184"/>
      <c r="YF8" s="184"/>
      <c r="YG8" s="184"/>
      <c r="YH8" s="184"/>
      <c r="YI8" s="184"/>
      <c r="YJ8" s="184"/>
      <c r="YK8" s="184"/>
      <c r="YL8" s="184"/>
      <c r="YM8" s="184"/>
      <c r="YN8" s="184"/>
      <c r="YO8" s="184"/>
      <c r="YP8" s="184"/>
      <c r="YQ8" s="184"/>
      <c r="YR8" s="184"/>
      <c r="YS8" s="184"/>
      <c r="YT8" s="184"/>
      <c r="YU8" s="184"/>
      <c r="YV8" s="184"/>
      <c r="YW8" s="184"/>
      <c r="YX8" s="184"/>
      <c r="YY8" s="184"/>
      <c r="YZ8" s="184"/>
      <c r="ZA8" s="184"/>
      <c r="ZB8" s="184"/>
      <c r="ZC8" s="184"/>
      <c r="ZD8" s="184"/>
      <c r="ZE8" s="184"/>
      <c r="ZF8" s="184"/>
      <c r="ZG8" s="184"/>
      <c r="ZH8" s="184"/>
      <c r="ZI8" s="184"/>
      <c r="ZJ8" s="184"/>
      <c r="ZK8" s="184"/>
      <c r="ZL8" s="184"/>
      <c r="ZM8" s="184"/>
      <c r="ZN8" s="184"/>
      <c r="ZO8" s="184"/>
      <c r="ZP8" s="184"/>
      <c r="ZQ8" s="184"/>
      <c r="ZR8" s="184"/>
      <c r="ZS8" s="184"/>
      <c r="ZT8" s="184"/>
      <c r="ZU8" s="184"/>
      <c r="ZV8" s="184"/>
      <c r="ZW8" s="184"/>
      <c r="ZX8" s="184"/>
      <c r="ZY8" s="184"/>
      <c r="ZZ8" s="184"/>
      <c r="AAA8" s="184"/>
      <c r="AAB8" s="184"/>
      <c r="AAC8" s="184"/>
      <c r="AAD8" s="184"/>
      <c r="AAE8" s="184"/>
      <c r="AAF8" s="184"/>
      <c r="AAG8" s="184"/>
      <c r="AAH8" s="184"/>
      <c r="AAI8" s="184"/>
      <c r="AAJ8" s="184"/>
      <c r="AAK8" s="184"/>
      <c r="AAL8" s="184"/>
      <c r="AAM8" s="184"/>
      <c r="AAN8" s="184"/>
      <c r="AAO8" s="184"/>
      <c r="AAP8" s="184"/>
      <c r="AAQ8" s="184"/>
      <c r="AAR8" s="184"/>
      <c r="AAS8" s="184"/>
      <c r="AAT8" s="184"/>
      <c r="AAU8" s="184"/>
      <c r="AAV8" s="184"/>
      <c r="AAW8" s="184"/>
      <c r="AAX8" s="184"/>
      <c r="AAY8" s="184"/>
      <c r="AAZ8" s="184"/>
      <c r="ABA8" s="184"/>
      <c r="ABB8" s="184"/>
      <c r="ABC8" s="184"/>
      <c r="ABD8" s="184"/>
      <c r="ABE8" s="184"/>
      <c r="ABF8" s="184"/>
      <c r="ABG8" s="184"/>
      <c r="ABH8" s="184"/>
      <c r="ABI8" s="184"/>
      <c r="ABJ8" s="184"/>
      <c r="ABK8" s="184"/>
      <c r="ABL8" s="184"/>
      <c r="ABM8" s="184"/>
      <c r="ABN8" s="184"/>
      <c r="ABO8" s="184"/>
      <c r="ABP8" s="184"/>
      <c r="ABQ8" s="184"/>
      <c r="ABR8" s="184"/>
      <c r="ABS8" s="184"/>
      <c r="ABT8" s="184"/>
      <c r="ABU8" s="184"/>
      <c r="ABV8" s="184"/>
      <c r="ABW8" s="184"/>
      <c r="ABX8" s="184"/>
      <c r="ABY8" s="184"/>
      <c r="ABZ8" s="184"/>
      <c r="ACA8" s="184"/>
      <c r="ACB8" s="184"/>
      <c r="ACC8" s="184"/>
      <c r="ACD8" s="184"/>
      <c r="ACE8" s="184"/>
      <c r="ACF8" s="184"/>
      <c r="ACG8" s="184"/>
      <c r="ACH8" s="184"/>
      <c r="ACI8" s="184"/>
      <c r="ACJ8" s="184"/>
      <c r="ACK8" s="184"/>
      <c r="ACL8" s="184"/>
      <c r="ACM8" s="184"/>
      <c r="ACN8" s="184"/>
      <c r="ACO8" s="184"/>
      <c r="ACP8" s="184"/>
      <c r="ACQ8" s="184"/>
      <c r="ACR8" s="184"/>
      <c r="ACS8" s="184"/>
      <c r="ACT8" s="184"/>
      <c r="ACU8" s="184"/>
      <c r="ACV8" s="184"/>
      <c r="ACW8" s="184"/>
      <c r="ACX8" s="184"/>
      <c r="ACY8" s="184"/>
      <c r="ACZ8" s="184"/>
      <c r="ADA8" s="184"/>
      <c r="ADB8" s="184"/>
      <c r="ADC8" s="184"/>
      <c r="ADD8" s="184"/>
      <c r="ADE8" s="184"/>
      <c r="ADF8" s="184"/>
      <c r="ADG8" s="184"/>
      <c r="ADH8" s="184"/>
      <c r="ADI8" s="184"/>
      <c r="ADJ8" s="184"/>
      <c r="ADK8" s="184"/>
      <c r="ADL8" s="184"/>
      <c r="ADM8" s="184"/>
      <c r="ADN8" s="184"/>
      <c r="ADO8" s="184"/>
      <c r="ADP8" s="184"/>
      <c r="ADQ8" s="184"/>
      <c r="ADR8" s="184"/>
      <c r="ADS8" s="184"/>
      <c r="ADT8" s="184"/>
      <c r="ADU8" s="184"/>
      <c r="ADV8" s="184"/>
      <c r="ADW8" s="184"/>
      <c r="ADX8" s="184"/>
      <c r="ADY8" s="184"/>
      <c r="ADZ8" s="184"/>
      <c r="AEA8" s="184"/>
      <c r="AEB8" s="184"/>
      <c r="AEC8" s="184"/>
      <c r="AED8" s="184"/>
      <c r="AEE8" s="184"/>
      <c r="AEF8" s="184"/>
      <c r="AEG8" s="184"/>
      <c r="AEH8" s="184"/>
      <c r="AEI8" s="184"/>
      <c r="AEJ8" s="184"/>
      <c r="AEK8" s="184"/>
      <c r="AEL8" s="184"/>
      <c r="AEM8" s="184"/>
      <c r="AEN8" s="184"/>
      <c r="AEO8" s="184"/>
      <c r="AEP8" s="184"/>
      <c r="AEQ8" s="184"/>
      <c r="AER8" s="184"/>
      <c r="AES8" s="184"/>
      <c r="AET8" s="184"/>
      <c r="AEU8" s="184"/>
      <c r="AEV8" s="184"/>
      <c r="AEW8" s="184"/>
      <c r="AEX8" s="184"/>
      <c r="AEY8" s="184"/>
      <c r="AEZ8" s="184"/>
      <c r="AFA8" s="184"/>
      <c r="AFB8" s="184"/>
      <c r="AFC8" s="184"/>
      <c r="AFD8" s="184"/>
      <c r="AFE8" s="184"/>
      <c r="AFF8" s="184"/>
      <c r="AFG8" s="184"/>
      <c r="AFH8" s="184"/>
      <c r="AFI8" s="184"/>
      <c r="AFJ8" s="184"/>
      <c r="AFK8" s="184"/>
      <c r="AFL8" s="184"/>
      <c r="AFM8" s="184"/>
      <c r="AFN8" s="184"/>
      <c r="AFO8" s="184"/>
      <c r="AFP8" s="184"/>
      <c r="AFQ8" s="184"/>
      <c r="AFR8" s="184"/>
      <c r="AFS8" s="184"/>
      <c r="AFT8" s="184"/>
      <c r="AFU8" s="184"/>
      <c r="AFV8" s="184"/>
      <c r="AFW8" s="184"/>
      <c r="AFX8" s="184"/>
      <c r="AFY8" s="184"/>
      <c r="AFZ8" s="184"/>
      <c r="AGA8" s="184"/>
      <c r="AGB8" s="184"/>
      <c r="AGC8" s="184"/>
      <c r="AGD8" s="184"/>
      <c r="AGE8" s="184"/>
      <c r="AGF8" s="184"/>
      <c r="AGG8" s="184"/>
      <c r="AGH8" s="184"/>
      <c r="AGI8" s="184"/>
      <c r="AGJ8" s="184"/>
      <c r="AGK8" s="184"/>
      <c r="AGL8" s="184"/>
      <c r="AGM8" s="184"/>
      <c r="AGN8" s="184"/>
      <c r="AGO8" s="184"/>
      <c r="AGP8" s="184"/>
      <c r="AGQ8" s="184"/>
      <c r="AGR8" s="184"/>
      <c r="AGS8" s="184"/>
      <c r="AGT8" s="184"/>
      <c r="AGU8" s="184"/>
      <c r="AGV8" s="184"/>
      <c r="AGW8" s="184"/>
      <c r="AGX8" s="184"/>
      <c r="AGY8" s="184"/>
      <c r="AGZ8" s="184"/>
      <c r="AHA8" s="184"/>
      <c r="AHB8" s="184"/>
      <c r="AHC8" s="184"/>
      <c r="AHD8" s="184"/>
      <c r="AHE8" s="184"/>
      <c r="AHF8" s="184"/>
      <c r="AHG8" s="184"/>
      <c r="AHH8" s="184"/>
      <c r="AHI8" s="184"/>
      <c r="AHJ8" s="184"/>
      <c r="AHK8" s="184"/>
      <c r="AHL8" s="184"/>
      <c r="AHM8" s="184"/>
      <c r="AHN8" s="184"/>
      <c r="AHO8" s="184"/>
      <c r="AHP8" s="184"/>
      <c r="AHQ8" s="184"/>
      <c r="AHR8" s="184"/>
      <c r="AHS8" s="184"/>
      <c r="AHT8" s="184"/>
      <c r="AHU8" s="184"/>
      <c r="AHV8" s="184"/>
      <c r="AHW8" s="184"/>
      <c r="AHX8" s="184"/>
      <c r="AHY8" s="184"/>
      <c r="AHZ8" s="184"/>
      <c r="AIA8" s="184"/>
      <c r="AIB8" s="184"/>
      <c r="AIC8" s="184"/>
      <c r="AID8" s="184"/>
      <c r="AIE8" s="184"/>
      <c r="AIF8" s="184"/>
      <c r="AIG8" s="184"/>
      <c r="AIH8" s="184"/>
      <c r="AII8" s="184"/>
      <c r="AIJ8" s="184"/>
      <c r="AIK8" s="184"/>
      <c r="AIL8" s="184"/>
      <c r="AIM8" s="184"/>
      <c r="AIN8" s="184"/>
      <c r="AIO8" s="184"/>
      <c r="AIP8" s="184"/>
      <c r="AIQ8" s="184"/>
      <c r="AIR8" s="184"/>
      <c r="AIS8" s="184"/>
      <c r="AIT8" s="184"/>
      <c r="AIU8" s="184"/>
      <c r="AIV8" s="184"/>
      <c r="AIW8" s="184"/>
      <c r="AIX8" s="184"/>
      <c r="AIY8" s="184"/>
      <c r="AIZ8" s="184"/>
      <c r="AJA8" s="184"/>
      <c r="AJB8" s="184"/>
      <c r="AJC8" s="184"/>
      <c r="AJD8" s="184"/>
      <c r="AJE8" s="184"/>
      <c r="AJF8" s="184"/>
      <c r="AJG8" s="184"/>
      <c r="AJH8" s="184"/>
      <c r="AJI8" s="184"/>
      <c r="AJJ8" s="184"/>
      <c r="AJK8" s="184"/>
      <c r="AJL8" s="184"/>
      <c r="AJM8" s="184"/>
      <c r="AJN8" s="184"/>
      <c r="AJO8" s="184"/>
      <c r="AJP8" s="184"/>
      <c r="AJQ8" s="184"/>
      <c r="AJR8" s="184"/>
      <c r="AJS8" s="184"/>
      <c r="AJT8" s="184"/>
      <c r="AJU8" s="184"/>
      <c r="AJV8" s="184"/>
      <c r="AJW8" s="184"/>
      <c r="AJX8" s="184"/>
      <c r="AJY8" s="184"/>
      <c r="AJZ8" s="184"/>
      <c r="AKA8" s="184"/>
      <c r="AKB8" s="184"/>
      <c r="AKC8" s="184"/>
      <c r="AKD8" s="184"/>
      <c r="AKE8" s="184"/>
      <c r="AKF8" s="184"/>
      <c r="AKG8" s="184"/>
      <c r="AKH8" s="184"/>
      <c r="AKI8" s="184"/>
      <c r="AKJ8" s="184"/>
      <c r="AKK8" s="184"/>
      <c r="AKL8" s="184"/>
      <c r="AKM8" s="184"/>
      <c r="AKN8" s="184"/>
      <c r="AKO8" s="184"/>
      <c r="AKP8" s="184"/>
      <c r="AKQ8" s="184"/>
      <c r="AKR8" s="184"/>
      <c r="AKS8" s="184"/>
      <c r="AKT8" s="184"/>
      <c r="AKU8" s="184"/>
      <c r="AKV8" s="184"/>
      <c r="AKW8" s="184"/>
      <c r="AKX8" s="184"/>
      <c r="AKY8" s="184"/>
      <c r="AKZ8" s="184"/>
      <c r="ALA8" s="184"/>
      <c r="ALB8" s="184"/>
      <c r="ALC8" s="184"/>
      <c r="ALD8" s="184"/>
      <c r="ALE8" s="184"/>
      <c r="ALF8" s="184"/>
      <c r="ALG8" s="184"/>
      <c r="ALH8" s="184"/>
      <c r="ALI8" s="184"/>
      <c r="ALJ8" s="184"/>
      <c r="ALK8" s="184"/>
      <c r="ALL8" s="184"/>
      <c r="ALM8" s="184"/>
      <c r="ALN8" s="184"/>
      <c r="ALO8" s="184"/>
      <c r="ALP8" s="184"/>
      <c r="ALQ8" s="184"/>
      <c r="ALR8" s="184"/>
      <c r="ALS8" s="184"/>
      <c r="ALT8" s="184"/>
      <c r="ALU8" s="184"/>
      <c r="ALV8" s="184"/>
      <c r="ALW8" s="184"/>
      <c r="ALX8" s="184"/>
      <c r="ALY8" s="184"/>
      <c r="ALZ8" s="184"/>
      <c r="AMA8" s="184"/>
      <c r="AMB8" s="184"/>
      <c r="AMC8" s="184"/>
      <c r="AMD8" s="184"/>
      <c r="AME8" s="184"/>
      <c r="AMF8" s="184"/>
      <c r="AMG8" s="184"/>
      <c r="AMH8" s="184"/>
      <c r="AMI8" s="184"/>
      <c r="AMJ8" s="184"/>
      <c r="AMK8" s="184"/>
      <c r="AML8" s="184"/>
      <c r="AMM8" s="184"/>
      <c r="AMN8" s="184"/>
      <c r="AMO8" s="184"/>
      <c r="AMP8" s="184"/>
      <c r="AMQ8" s="184"/>
      <c r="AMR8" s="184"/>
      <c r="AMS8" s="184"/>
      <c r="AMT8" s="184"/>
      <c r="AMU8" s="184"/>
      <c r="AMV8" s="184"/>
      <c r="AMW8" s="184"/>
      <c r="AMX8" s="184"/>
      <c r="AMY8" s="184"/>
      <c r="AMZ8" s="184"/>
      <c r="ANA8" s="184"/>
      <c r="ANB8" s="184"/>
      <c r="ANC8" s="184"/>
      <c r="AND8" s="184"/>
      <c r="ANE8" s="184"/>
      <c r="ANF8" s="184"/>
      <c r="ANG8" s="184"/>
      <c r="ANH8" s="184"/>
      <c r="ANI8" s="184"/>
      <c r="ANJ8" s="184"/>
      <c r="ANK8" s="184"/>
      <c r="ANL8" s="184"/>
      <c r="ANM8" s="184"/>
      <c r="ANN8" s="184"/>
      <c r="ANO8" s="184"/>
      <c r="ANP8" s="184"/>
      <c r="ANQ8" s="184"/>
      <c r="ANR8" s="184"/>
      <c r="ANS8" s="184"/>
      <c r="ANT8" s="184"/>
      <c r="ANU8" s="184"/>
      <c r="ANV8" s="184"/>
      <c r="ANW8" s="184"/>
      <c r="ANX8" s="184"/>
      <c r="ANY8" s="184"/>
      <c r="ANZ8" s="184"/>
      <c r="AOA8" s="184"/>
      <c r="AOB8" s="184"/>
      <c r="AOC8" s="184"/>
      <c r="AOD8" s="184"/>
      <c r="AOE8" s="184"/>
      <c r="AOF8" s="184"/>
      <c r="AOG8" s="184"/>
      <c r="AOH8" s="184"/>
      <c r="AOI8" s="184"/>
      <c r="AOJ8" s="184"/>
      <c r="AOK8" s="184"/>
      <c r="AOL8" s="184"/>
      <c r="AOM8" s="184"/>
      <c r="AON8" s="184"/>
      <c r="AOO8" s="184"/>
      <c r="AOP8" s="184"/>
      <c r="AOQ8" s="184"/>
      <c r="AOR8" s="184"/>
      <c r="AOS8" s="184"/>
      <c r="AOT8" s="184"/>
      <c r="AOU8" s="184"/>
      <c r="AOV8" s="184"/>
      <c r="AOW8" s="184"/>
      <c r="AOX8" s="184"/>
      <c r="AOY8" s="184"/>
      <c r="AOZ8" s="184"/>
      <c r="APA8" s="184"/>
      <c r="APB8" s="184"/>
      <c r="APC8" s="184"/>
      <c r="APD8" s="184"/>
      <c r="APE8" s="184"/>
      <c r="APF8" s="184"/>
      <c r="APG8" s="184"/>
      <c r="APH8" s="184"/>
      <c r="API8" s="184"/>
      <c r="APJ8" s="184"/>
      <c r="APK8" s="184"/>
      <c r="APL8" s="184"/>
      <c r="APM8" s="184"/>
      <c r="APN8" s="184"/>
      <c r="APO8" s="184"/>
      <c r="APP8" s="184"/>
      <c r="APQ8" s="184"/>
      <c r="APR8" s="184"/>
      <c r="APS8" s="184"/>
      <c r="APT8" s="184"/>
      <c r="APU8" s="184"/>
      <c r="APV8" s="184"/>
      <c r="APW8" s="184"/>
      <c r="APX8" s="184"/>
      <c r="APY8" s="184"/>
      <c r="APZ8" s="184"/>
      <c r="AQA8" s="184"/>
      <c r="AQB8" s="184"/>
      <c r="AQC8" s="184"/>
      <c r="AQD8" s="184"/>
      <c r="AQE8" s="184"/>
      <c r="AQF8" s="184"/>
      <c r="AQG8" s="184"/>
      <c r="AQH8" s="184"/>
      <c r="AQI8" s="184"/>
      <c r="AQJ8" s="184"/>
      <c r="AQK8" s="184"/>
      <c r="AQL8" s="184"/>
      <c r="AQM8" s="184"/>
      <c r="AQN8" s="184"/>
      <c r="AQO8" s="184"/>
      <c r="AQP8" s="184"/>
      <c r="AQQ8" s="184"/>
      <c r="AQR8" s="184"/>
      <c r="AQS8" s="184"/>
      <c r="AQT8" s="184"/>
      <c r="AQU8" s="184"/>
      <c r="AQV8" s="184"/>
      <c r="AQW8" s="184"/>
      <c r="AQX8" s="184"/>
      <c r="AQY8" s="184"/>
      <c r="AQZ8" s="184"/>
      <c r="ARA8" s="184"/>
      <c r="ARB8" s="184"/>
      <c r="ARC8" s="184"/>
      <c r="ARD8" s="184"/>
      <c r="ARE8" s="184"/>
      <c r="ARF8" s="184"/>
      <c r="ARG8" s="184"/>
      <c r="ARH8" s="184"/>
      <c r="ARI8" s="184"/>
      <c r="ARJ8" s="184"/>
      <c r="ARK8" s="184"/>
      <c r="ARL8" s="184"/>
      <c r="ARM8" s="184"/>
      <c r="ARN8" s="184"/>
      <c r="ARO8" s="184"/>
      <c r="ARP8" s="184"/>
      <c r="ARQ8" s="184"/>
      <c r="ARR8" s="184"/>
      <c r="ARS8" s="184"/>
      <c r="ART8" s="184"/>
      <c r="ARU8" s="184"/>
      <c r="ARV8" s="184"/>
      <c r="ARW8" s="184"/>
      <c r="ARX8" s="184"/>
      <c r="ARY8" s="184"/>
      <c r="ARZ8" s="184"/>
      <c r="ASA8" s="184"/>
      <c r="ASB8" s="184"/>
      <c r="ASC8" s="184"/>
      <c r="ASD8" s="184"/>
      <c r="ASE8" s="184"/>
      <c r="ASF8" s="184"/>
      <c r="ASG8" s="184"/>
      <c r="ASH8" s="184"/>
      <c r="ASI8" s="184"/>
      <c r="ASJ8" s="184"/>
      <c r="ASK8" s="184"/>
      <c r="ASL8" s="184"/>
      <c r="ASM8" s="184"/>
      <c r="ASN8" s="184"/>
      <c r="ASO8" s="184"/>
      <c r="ASP8" s="184"/>
      <c r="ASQ8" s="184"/>
      <c r="ASR8" s="184"/>
      <c r="ASS8" s="184"/>
      <c r="AST8" s="184"/>
      <c r="ASU8" s="184"/>
      <c r="ASV8" s="184"/>
      <c r="ASW8" s="184"/>
      <c r="ASX8" s="184"/>
      <c r="ASY8" s="184"/>
      <c r="ASZ8" s="184"/>
      <c r="ATA8" s="184"/>
      <c r="ATB8" s="184"/>
      <c r="ATC8" s="184"/>
      <c r="ATD8" s="184"/>
      <c r="ATE8" s="184"/>
      <c r="ATF8" s="184"/>
      <c r="ATG8" s="184"/>
      <c r="ATH8" s="184"/>
      <c r="ATI8" s="184"/>
      <c r="ATJ8" s="184"/>
      <c r="ATK8" s="184"/>
      <c r="ATL8" s="184"/>
      <c r="ATM8" s="184"/>
      <c r="ATN8" s="184"/>
      <c r="ATO8" s="184"/>
      <c r="ATP8" s="184"/>
      <c r="ATQ8" s="184"/>
      <c r="ATR8" s="184"/>
      <c r="ATS8" s="184"/>
      <c r="ATT8" s="184"/>
      <c r="ATU8" s="184"/>
      <c r="ATV8" s="184"/>
      <c r="ATW8" s="184"/>
      <c r="ATX8" s="184"/>
      <c r="ATY8" s="184"/>
      <c r="ATZ8" s="184"/>
      <c r="AUA8" s="184"/>
      <c r="AUB8" s="184"/>
      <c r="AUC8" s="184"/>
      <c r="AUD8" s="184"/>
      <c r="AUE8" s="184"/>
      <c r="AUF8" s="184"/>
      <c r="AUG8" s="184"/>
      <c r="AUH8" s="184"/>
      <c r="AUI8" s="184"/>
      <c r="AUJ8" s="184"/>
      <c r="AUK8" s="184"/>
      <c r="AUL8" s="184"/>
      <c r="AUM8" s="184"/>
      <c r="AUN8" s="184"/>
      <c r="AUO8" s="184"/>
      <c r="AUP8" s="184"/>
      <c r="AUQ8" s="184"/>
      <c r="AUR8" s="184"/>
      <c r="AUS8" s="184"/>
      <c r="AUT8" s="184"/>
      <c r="AUU8" s="184"/>
      <c r="AUV8" s="184"/>
      <c r="AUW8" s="184"/>
      <c r="AUX8" s="184"/>
      <c r="AUY8" s="184"/>
      <c r="AUZ8" s="184"/>
      <c r="AVA8" s="184"/>
      <c r="AVB8" s="184"/>
      <c r="AVC8" s="184"/>
      <c r="AVD8" s="184"/>
      <c r="AVE8" s="184"/>
      <c r="AVF8" s="184"/>
      <c r="AVG8" s="184"/>
      <c r="AVH8" s="184"/>
      <c r="AVI8" s="184"/>
      <c r="AVJ8" s="184"/>
      <c r="AVK8" s="184"/>
      <c r="AVL8" s="184"/>
      <c r="AVM8" s="184"/>
      <c r="AVN8" s="184"/>
      <c r="AVO8" s="184"/>
      <c r="AVP8" s="184"/>
      <c r="AVQ8" s="184"/>
      <c r="AVR8" s="184"/>
      <c r="AVS8" s="184"/>
      <c r="AVT8" s="184"/>
      <c r="AVU8" s="184"/>
      <c r="AVV8" s="184"/>
      <c r="AVW8" s="184"/>
      <c r="AVX8" s="184"/>
      <c r="AVY8" s="184"/>
      <c r="AVZ8" s="184"/>
      <c r="AWA8" s="184"/>
      <c r="AWB8" s="184"/>
      <c r="AWC8" s="184"/>
      <c r="AWD8" s="184"/>
      <c r="AWE8" s="184"/>
      <c r="AWF8" s="184"/>
      <c r="AWG8" s="184"/>
      <c r="AWH8" s="184"/>
      <c r="AWI8" s="184"/>
      <c r="AWJ8" s="184"/>
      <c r="AWK8" s="184"/>
      <c r="AWL8" s="184"/>
      <c r="AWM8" s="184"/>
      <c r="AWN8" s="184"/>
      <c r="AWO8" s="184"/>
      <c r="AWP8" s="184"/>
      <c r="AWQ8" s="184"/>
      <c r="AWR8" s="184"/>
      <c r="AWS8" s="184"/>
      <c r="AWT8" s="184"/>
      <c r="AWU8" s="184"/>
      <c r="AWV8" s="184"/>
      <c r="AWW8" s="184"/>
      <c r="AWX8" s="184"/>
      <c r="AWY8" s="184"/>
      <c r="AWZ8" s="184"/>
      <c r="AXA8" s="184"/>
      <c r="AXB8" s="184"/>
      <c r="AXC8" s="184"/>
      <c r="AXD8" s="184"/>
      <c r="AXE8" s="184"/>
      <c r="AXF8" s="184"/>
      <c r="AXG8" s="184"/>
      <c r="AXH8" s="184"/>
      <c r="AXI8" s="184"/>
      <c r="AXJ8" s="184"/>
      <c r="AXK8" s="184"/>
      <c r="AXL8" s="184"/>
      <c r="AXM8" s="184"/>
      <c r="AXN8" s="184"/>
      <c r="AXO8" s="184"/>
      <c r="AXP8" s="184"/>
      <c r="AXQ8" s="184"/>
      <c r="AXR8" s="184"/>
      <c r="AXS8" s="184"/>
      <c r="AXT8" s="184"/>
      <c r="AXU8" s="184"/>
      <c r="AXV8" s="184"/>
      <c r="AXW8" s="184"/>
      <c r="AXX8" s="184"/>
      <c r="AXY8" s="184"/>
      <c r="AXZ8" s="184"/>
      <c r="AYA8" s="184"/>
      <c r="AYB8" s="184"/>
      <c r="AYC8" s="184"/>
      <c r="AYD8" s="184"/>
      <c r="AYE8" s="184"/>
      <c r="AYF8" s="184"/>
      <c r="AYG8" s="184"/>
      <c r="AYH8" s="184"/>
      <c r="AYI8" s="184"/>
      <c r="AYJ8" s="184"/>
      <c r="AYK8" s="184"/>
      <c r="AYL8" s="184"/>
      <c r="AYM8" s="184"/>
      <c r="AYN8" s="184"/>
      <c r="AYO8" s="184"/>
      <c r="AYP8" s="184"/>
      <c r="AYQ8" s="184"/>
      <c r="AYR8" s="184"/>
      <c r="AYS8" s="184"/>
      <c r="AYT8" s="184"/>
      <c r="AYU8" s="184"/>
      <c r="AYV8" s="184"/>
      <c r="AYW8" s="184"/>
      <c r="AYX8" s="184"/>
      <c r="AYY8" s="184"/>
      <c r="AYZ8" s="184"/>
      <c r="AZA8" s="184"/>
      <c r="AZB8" s="184"/>
      <c r="AZC8" s="184"/>
      <c r="AZD8" s="184"/>
      <c r="AZE8" s="184"/>
      <c r="AZF8" s="184"/>
      <c r="AZG8" s="184"/>
      <c r="AZH8" s="184"/>
      <c r="AZI8" s="184"/>
      <c r="AZJ8" s="184"/>
      <c r="AZK8" s="184"/>
      <c r="AZL8" s="184"/>
      <c r="AZM8" s="184"/>
      <c r="AZN8" s="184"/>
      <c r="AZO8" s="184"/>
      <c r="AZP8" s="184"/>
      <c r="AZQ8" s="184"/>
      <c r="AZR8" s="184"/>
      <c r="AZS8" s="184"/>
      <c r="AZT8" s="184"/>
      <c r="AZU8" s="184"/>
      <c r="AZV8" s="184"/>
      <c r="AZW8" s="184"/>
      <c r="AZX8" s="184"/>
      <c r="AZY8" s="184"/>
      <c r="AZZ8" s="184"/>
      <c r="BAA8" s="184"/>
      <c r="BAB8" s="184"/>
      <c r="BAC8" s="184"/>
      <c r="BAD8" s="184"/>
      <c r="BAE8" s="184"/>
      <c r="BAF8" s="184"/>
      <c r="BAG8" s="184"/>
      <c r="BAH8" s="184"/>
      <c r="BAI8" s="184"/>
      <c r="BAJ8" s="184"/>
      <c r="BAK8" s="184"/>
      <c r="BAL8" s="184"/>
      <c r="BAM8" s="184"/>
      <c r="BAN8" s="184"/>
      <c r="BAO8" s="184"/>
      <c r="BAP8" s="184"/>
      <c r="BAQ8" s="184"/>
      <c r="BAR8" s="184"/>
      <c r="BAS8" s="184"/>
      <c r="BAT8" s="184"/>
      <c r="BAU8" s="184"/>
      <c r="BAV8" s="184"/>
      <c r="BAW8" s="184"/>
      <c r="BAX8" s="184"/>
      <c r="BAY8" s="184"/>
      <c r="BAZ8" s="184"/>
      <c r="BBA8" s="184"/>
      <c r="BBB8" s="184"/>
      <c r="BBC8" s="184"/>
      <c r="BBD8" s="184"/>
      <c r="BBE8" s="184"/>
      <c r="BBF8" s="184"/>
      <c r="BBG8" s="184"/>
      <c r="BBH8" s="184"/>
      <c r="BBI8" s="184"/>
      <c r="BBJ8" s="184"/>
      <c r="BBK8" s="184"/>
      <c r="BBL8" s="184"/>
      <c r="BBM8" s="184"/>
      <c r="BBN8" s="184"/>
      <c r="BBO8" s="184"/>
      <c r="BBP8" s="184"/>
      <c r="BBQ8" s="184"/>
      <c r="BBR8" s="184"/>
      <c r="BBS8" s="184"/>
      <c r="BBT8" s="184"/>
      <c r="BBU8" s="184"/>
      <c r="BBV8" s="184"/>
      <c r="BBW8" s="184"/>
      <c r="BBX8" s="184"/>
      <c r="BBY8" s="184"/>
      <c r="BBZ8" s="184"/>
      <c r="BCA8" s="184"/>
      <c r="BCB8" s="184"/>
      <c r="BCC8" s="184"/>
      <c r="BCD8" s="184"/>
      <c r="BCE8" s="184"/>
      <c r="BCF8" s="184"/>
      <c r="BCG8" s="184"/>
      <c r="BCH8" s="184"/>
      <c r="BCI8" s="184"/>
      <c r="BCJ8" s="184"/>
      <c r="BCK8" s="184"/>
      <c r="BCL8" s="184"/>
      <c r="BCM8" s="184"/>
      <c r="BCN8" s="184"/>
      <c r="BCO8" s="184"/>
      <c r="BCP8" s="184"/>
      <c r="BCQ8" s="184"/>
      <c r="BCR8" s="184"/>
      <c r="BCS8" s="184"/>
      <c r="BCT8" s="184"/>
      <c r="BCU8" s="184"/>
      <c r="BCV8" s="184"/>
      <c r="BCW8" s="184"/>
      <c r="BCX8" s="184"/>
      <c r="BCY8" s="184"/>
      <c r="BCZ8" s="184"/>
      <c r="BDA8" s="184"/>
      <c r="BDB8" s="184"/>
      <c r="BDC8" s="184"/>
      <c r="BDD8" s="184"/>
      <c r="BDE8" s="184"/>
      <c r="BDF8" s="184"/>
      <c r="BDG8" s="184"/>
      <c r="BDH8" s="184"/>
      <c r="BDI8" s="184"/>
      <c r="BDJ8" s="184"/>
      <c r="BDK8" s="184"/>
      <c r="BDL8" s="184"/>
      <c r="BDM8" s="184"/>
      <c r="BDN8" s="184"/>
      <c r="BDO8" s="184"/>
      <c r="BDP8" s="184"/>
      <c r="BDQ8" s="184"/>
      <c r="BDR8" s="184"/>
      <c r="BDS8" s="184"/>
      <c r="BDT8" s="184"/>
      <c r="BDU8" s="184"/>
      <c r="BDV8" s="184"/>
      <c r="BDW8" s="184"/>
      <c r="BDX8" s="184"/>
      <c r="BDY8" s="184"/>
      <c r="BDZ8" s="184"/>
      <c r="BEA8" s="184"/>
      <c r="BEB8" s="184"/>
      <c r="BEC8" s="184"/>
      <c r="BED8" s="184"/>
      <c r="BEE8" s="184"/>
      <c r="BEF8" s="184"/>
      <c r="BEG8" s="184"/>
      <c r="BEH8" s="184"/>
      <c r="BEI8" s="184"/>
      <c r="BEJ8" s="184"/>
      <c r="BEK8" s="184"/>
      <c r="BEL8" s="184"/>
      <c r="BEM8" s="184"/>
      <c r="BEN8" s="184"/>
      <c r="BEO8" s="184"/>
      <c r="BEP8" s="184"/>
      <c r="BEQ8" s="184"/>
      <c r="BER8" s="184"/>
      <c r="BES8" s="184"/>
      <c r="BET8" s="184"/>
      <c r="BEU8" s="184"/>
      <c r="BEV8" s="184"/>
      <c r="BEW8" s="184"/>
      <c r="BEX8" s="184"/>
      <c r="BEY8" s="184"/>
      <c r="BEZ8" s="184"/>
      <c r="BFA8" s="184"/>
      <c r="BFB8" s="184"/>
      <c r="BFC8" s="184"/>
      <c r="BFD8" s="184"/>
      <c r="BFE8" s="184"/>
      <c r="BFF8" s="184"/>
      <c r="BFG8" s="184"/>
      <c r="BFH8" s="184"/>
      <c r="BFI8" s="184"/>
      <c r="BFJ8" s="184"/>
      <c r="BFK8" s="184"/>
      <c r="BFL8" s="184"/>
      <c r="BFM8" s="184"/>
      <c r="BFN8" s="184"/>
      <c r="BFO8" s="184"/>
      <c r="BFP8" s="184"/>
      <c r="BFQ8" s="184"/>
      <c r="BFR8" s="184"/>
      <c r="BFS8" s="184"/>
      <c r="BFT8" s="184"/>
      <c r="BFU8" s="184"/>
      <c r="BFV8" s="184"/>
      <c r="BFW8" s="184"/>
      <c r="BFX8" s="184"/>
      <c r="BFY8" s="184"/>
      <c r="BFZ8" s="184"/>
      <c r="BGA8" s="184"/>
      <c r="BGB8" s="184"/>
      <c r="BGC8" s="184"/>
      <c r="BGD8" s="184"/>
      <c r="BGE8" s="184"/>
      <c r="BGF8" s="184"/>
      <c r="BGG8" s="184"/>
      <c r="BGH8" s="184"/>
      <c r="BGI8" s="184"/>
      <c r="BGJ8" s="184"/>
      <c r="BGK8" s="184"/>
      <c r="BGL8" s="184"/>
      <c r="BGM8" s="184"/>
      <c r="BGN8" s="184"/>
      <c r="BGO8" s="184"/>
      <c r="BGP8" s="184"/>
      <c r="BGQ8" s="184"/>
      <c r="BGR8" s="184"/>
      <c r="BGS8" s="184"/>
      <c r="BGT8" s="184"/>
      <c r="BGU8" s="184"/>
      <c r="BGV8" s="184"/>
      <c r="BGW8" s="184"/>
      <c r="BGX8" s="184"/>
      <c r="BGY8" s="184"/>
      <c r="BGZ8" s="184"/>
      <c r="BHA8" s="184"/>
      <c r="BHB8" s="184"/>
      <c r="BHC8" s="184"/>
      <c r="BHD8" s="184"/>
      <c r="BHE8" s="184"/>
      <c r="BHF8" s="184"/>
      <c r="BHG8" s="184"/>
      <c r="BHH8" s="184"/>
      <c r="BHI8" s="184"/>
      <c r="BHJ8" s="184"/>
      <c r="BHK8" s="184"/>
      <c r="BHL8" s="184"/>
      <c r="BHM8" s="184"/>
      <c r="BHN8" s="184"/>
      <c r="BHO8" s="184"/>
      <c r="BHP8" s="184"/>
      <c r="BHQ8" s="184"/>
      <c r="BHR8" s="184"/>
      <c r="BHS8" s="184"/>
      <c r="BHT8" s="184"/>
      <c r="BHU8" s="184"/>
      <c r="BHV8" s="184"/>
      <c r="BHW8" s="184"/>
      <c r="BHX8" s="184"/>
      <c r="BHY8" s="184"/>
      <c r="BHZ8" s="184"/>
      <c r="BIA8" s="184"/>
      <c r="BIB8" s="184"/>
      <c r="BIC8" s="184"/>
      <c r="BID8" s="184"/>
      <c r="BIE8" s="184"/>
      <c r="BIF8" s="184"/>
      <c r="BIG8" s="184"/>
      <c r="BIH8" s="184"/>
      <c r="BII8" s="184"/>
      <c r="BIJ8" s="184"/>
      <c r="BIK8" s="184"/>
      <c r="BIL8" s="184"/>
      <c r="BIM8" s="184"/>
      <c r="BIN8" s="184"/>
      <c r="BIO8" s="184"/>
      <c r="BIP8" s="184"/>
      <c r="BIQ8" s="184"/>
      <c r="BIR8" s="184"/>
      <c r="BIS8" s="184"/>
      <c r="BIT8" s="184"/>
      <c r="BIU8" s="184"/>
      <c r="BIV8" s="184"/>
      <c r="BIW8" s="184"/>
      <c r="BIX8" s="184"/>
      <c r="BIY8" s="184"/>
      <c r="BIZ8" s="184"/>
      <c r="BJA8" s="184"/>
      <c r="BJB8" s="184"/>
      <c r="BJC8" s="184"/>
      <c r="BJD8" s="184"/>
      <c r="BJE8" s="184"/>
      <c r="BJF8" s="184"/>
      <c r="BJG8" s="184"/>
      <c r="BJH8" s="184"/>
      <c r="BJI8" s="184"/>
      <c r="BJJ8" s="184"/>
      <c r="BJK8" s="184"/>
      <c r="BJL8" s="184"/>
      <c r="BJM8" s="184"/>
      <c r="BJN8" s="184"/>
      <c r="BJO8" s="184"/>
      <c r="BJP8" s="184"/>
      <c r="BJQ8" s="184"/>
      <c r="BJR8" s="184"/>
      <c r="BJS8" s="184"/>
      <c r="BJT8" s="184"/>
      <c r="BJU8" s="184"/>
      <c r="BJV8" s="184"/>
      <c r="BJW8" s="184"/>
      <c r="BJX8" s="184"/>
      <c r="BJY8" s="184"/>
      <c r="BJZ8" s="184"/>
      <c r="BKA8" s="184"/>
      <c r="BKB8" s="184"/>
      <c r="BKC8" s="184"/>
      <c r="BKD8" s="184"/>
      <c r="BKE8" s="184"/>
      <c r="BKF8" s="184"/>
      <c r="BKG8" s="184"/>
      <c r="BKH8" s="184"/>
      <c r="BKI8" s="184"/>
      <c r="BKJ8" s="184"/>
      <c r="BKK8" s="184"/>
      <c r="BKL8" s="184"/>
      <c r="BKM8" s="184"/>
      <c r="BKN8" s="184"/>
      <c r="BKO8" s="184"/>
      <c r="BKP8" s="184"/>
      <c r="BKQ8" s="184"/>
      <c r="BKR8" s="184"/>
      <c r="BKS8" s="184"/>
      <c r="BKT8" s="184"/>
      <c r="BKU8" s="184"/>
      <c r="BKV8" s="184"/>
      <c r="BKW8" s="184"/>
      <c r="BKX8" s="184"/>
      <c r="BKY8" s="184"/>
      <c r="BKZ8" s="184"/>
      <c r="BLA8" s="184"/>
      <c r="BLB8" s="184"/>
      <c r="BLC8" s="184"/>
      <c r="BLD8" s="184"/>
      <c r="BLE8" s="184"/>
      <c r="BLF8" s="184"/>
      <c r="BLG8" s="184"/>
      <c r="BLH8" s="184"/>
      <c r="BLI8" s="184"/>
      <c r="BLJ8" s="184"/>
      <c r="BLK8" s="184"/>
      <c r="BLL8" s="184"/>
      <c r="BLM8" s="184"/>
      <c r="BLN8" s="184"/>
      <c r="BLO8" s="184"/>
      <c r="BLP8" s="184"/>
      <c r="BLQ8" s="184"/>
      <c r="BLR8" s="184"/>
      <c r="BLS8" s="184"/>
      <c r="BLT8" s="184"/>
      <c r="BLU8" s="184"/>
      <c r="BLV8" s="184"/>
      <c r="BLW8" s="184"/>
      <c r="BLX8" s="184"/>
      <c r="BLY8" s="184"/>
      <c r="BLZ8" s="184"/>
      <c r="BMA8" s="184"/>
      <c r="BMB8" s="184"/>
      <c r="BMC8" s="184"/>
      <c r="BMD8" s="184"/>
      <c r="BME8" s="184"/>
      <c r="BMF8" s="184"/>
      <c r="BMG8" s="184"/>
      <c r="BMH8" s="184"/>
      <c r="BMI8" s="184"/>
      <c r="BMJ8" s="184"/>
      <c r="BMK8" s="184"/>
      <c r="BML8" s="184"/>
      <c r="BMM8" s="184"/>
      <c r="BMN8" s="184"/>
      <c r="BMO8" s="184"/>
      <c r="BMP8" s="184"/>
      <c r="BMQ8" s="184"/>
      <c r="BMR8" s="184"/>
      <c r="BMS8" s="184"/>
      <c r="BMT8" s="184"/>
      <c r="BMU8" s="184"/>
      <c r="BMV8" s="184"/>
      <c r="BMW8" s="184"/>
      <c r="BMX8" s="184"/>
      <c r="BMY8" s="184"/>
      <c r="BMZ8" s="184"/>
      <c r="BNA8" s="184"/>
      <c r="BNB8" s="184"/>
      <c r="BNC8" s="184"/>
      <c r="BND8" s="184"/>
      <c r="BNE8" s="184"/>
      <c r="BNF8" s="184"/>
      <c r="BNG8" s="184"/>
      <c r="BNH8" s="184"/>
      <c r="BNI8" s="184"/>
      <c r="BNJ8" s="184"/>
      <c r="BNK8" s="184"/>
      <c r="BNL8" s="184"/>
      <c r="BNM8" s="184"/>
      <c r="BNN8" s="184"/>
      <c r="BNO8" s="184"/>
      <c r="BNP8" s="184"/>
      <c r="BNQ8" s="184"/>
      <c r="BNR8" s="184"/>
      <c r="BNS8" s="184"/>
      <c r="BNT8" s="184"/>
      <c r="BNU8" s="184"/>
      <c r="BNV8" s="184"/>
      <c r="BNW8" s="184"/>
      <c r="BNX8" s="184"/>
      <c r="BNY8" s="184"/>
      <c r="BNZ8" s="184"/>
      <c r="BOA8" s="184"/>
      <c r="BOB8" s="184"/>
      <c r="BOC8" s="184"/>
      <c r="BOD8" s="184"/>
      <c r="BOE8" s="184"/>
      <c r="BOF8" s="184"/>
      <c r="BOG8" s="184"/>
      <c r="BOH8" s="184"/>
      <c r="BOI8" s="184"/>
      <c r="BOJ8" s="184"/>
      <c r="BOK8" s="184"/>
      <c r="BOL8" s="184"/>
      <c r="BOM8" s="184"/>
      <c r="BON8" s="184"/>
      <c r="BOO8" s="184"/>
      <c r="BOP8" s="184"/>
      <c r="BOQ8" s="184"/>
      <c r="BOR8" s="184"/>
      <c r="BOS8" s="184"/>
      <c r="BOT8" s="184"/>
      <c r="BOU8" s="184"/>
      <c r="BOV8" s="184"/>
      <c r="BOW8" s="184"/>
      <c r="BOX8" s="184"/>
      <c r="BOY8" s="184"/>
      <c r="BOZ8" s="184"/>
      <c r="BPA8" s="184"/>
      <c r="BPB8" s="184"/>
      <c r="BPC8" s="184"/>
      <c r="BPD8" s="184"/>
      <c r="BPE8" s="184"/>
      <c r="BPF8" s="184"/>
      <c r="BPG8" s="184"/>
      <c r="BPH8" s="184"/>
      <c r="BPI8" s="184"/>
      <c r="BPJ8" s="184"/>
      <c r="BPK8" s="184"/>
      <c r="BPL8" s="184"/>
      <c r="BPM8" s="184"/>
      <c r="BPN8" s="184"/>
      <c r="BPO8" s="184"/>
      <c r="BPP8" s="184"/>
      <c r="BPQ8" s="184"/>
      <c r="BPR8" s="184"/>
      <c r="BPS8" s="184"/>
      <c r="BPT8" s="184"/>
      <c r="BPU8" s="184"/>
      <c r="BPV8" s="184"/>
      <c r="BPW8" s="184"/>
      <c r="BPX8" s="184"/>
      <c r="BPY8" s="184"/>
      <c r="BPZ8" s="184"/>
      <c r="BQA8" s="184"/>
      <c r="BQB8" s="184"/>
      <c r="BQC8" s="184"/>
      <c r="BQD8" s="184"/>
      <c r="BQE8" s="184"/>
      <c r="BQF8" s="184"/>
      <c r="BQG8" s="184"/>
      <c r="BQH8" s="184"/>
      <c r="BQI8" s="184"/>
      <c r="BQJ8" s="184"/>
      <c r="BQK8" s="184"/>
      <c r="BQL8" s="184"/>
      <c r="BQM8" s="184"/>
      <c r="BQN8" s="184"/>
      <c r="BQO8" s="184"/>
      <c r="BQP8" s="184"/>
      <c r="BQQ8" s="184"/>
      <c r="BQR8" s="184"/>
      <c r="BQS8" s="184"/>
      <c r="BQT8" s="184"/>
      <c r="BQU8" s="184"/>
      <c r="BQV8" s="184"/>
      <c r="BQW8" s="184"/>
      <c r="BQX8" s="184"/>
      <c r="BQY8" s="184"/>
      <c r="BQZ8" s="184"/>
      <c r="BRA8" s="184"/>
      <c r="BRB8" s="184"/>
      <c r="BRC8" s="184"/>
      <c r="BRD8" s="184"/>
      <c r="BRE8" s="184"/>
      <c r="BRF8" s="184"/>
      <c r="BRG8" s="184"/>
      <c r="BRH8" s="184"/>
      <c r="BRI8" s="184"/>
      <c r="BRJ8" s="184"/>
      <c r="BRK8" s="184"/>
      <c r="BRL8" s="184"/>
      <c r="BRM8" s="184"/>
      <c r="BRN8" s="184"/>
      <c r="BRO8" s="184"/>
      <c r="BRP8" s="184"/>
      <c r="BRQ8" s="184"/>
      <c r="BRR8" s="184"/>
      <c r="BRS8" s="184"/>
      <c r="BRT8" s="184"/>
      <c r="BRU8" s="184"/>
      <c r="BRV8" s="184"/>
      <c r="BRW8" s="184"/>
      <c r="BRX8" s="184"/>
      <c r="BRY8" s="184"/>
      <c r="BRZ8" s="184"/>
      <c r="BSA8" s="184"/>
      <c r="BSB8" s="184"/>
      <c r="BSC8" s="184"/>
      <c r="BSD8" s="184"/>
      <c r="BSE8" s="184"/>
      <c r="BSF8" s="184"/>
      <c r="BSG8" s="184"/>
      <c r="BSH8" s="184"/>
      <c r="BSI8" s="184"/>
      <c r="BSJ8" s="184"/>
      <c r="BSK8" s="184"/>
      <c r="BSL8" s="184"/>
      <c r="BSM8" s="184"/>
      <c r="BSN8" s="184"/>
      <c r="BSO8" s="184"/>
      <c r="BSP8" s="184"/>
      <c r="BSQ8" s="184"/>
      <c r="BSR8" s="184"/>
      <c r="BSS8" s="184"/>
      <c r="BST8" s="184"/>
      <c r="BSU8" s="184"/>
      <c r="BSV8" s="184"/>
      <c r="BSW8" s="184"/>
      <c r="BSX8" s="184"/>
      <c r="BSY8" s="184"/>
      <c r="BSZ8" s="184"/>
      <c r="BTA8" s="184"/>
      <c r="BTB8" s="184"/>
      <c r="BTC8" s="184"/>
      <c r="BTD8" s="184"/>
      <c r="BTE8" s="184"/>
      <c r="BTF8" s="184"/>
      <c r="BTG8" s="184"/>
      <c r="BTH8" s="184"/>
      <c r="BTI8" s="184"/>
      <c r="BTJ8" s="184"/>
      <c r="BTK8" s="184"/>
      <c r="BTL8" s="184"/>
      <c r="BTM8" s="184"/>
      <c r="BTN8" s="184"/>
      <c r="BTO8" s="184"/>
      <c r="BTP8" s="184"/>
      <c r="BTQ8" s="184"/>
      <c r="BTR8" s="184"/>
      <c r="BTS8" s="184"/>
      <c r="BTT8" s="184"/>
      <c r="BTU8" s="184"/>
      <c r="BTV8" s="184"/>
      <c r="BTW8" s="184"/>
      <c r="BTX8" s="184"/>
      <c r="BTY8" s="184"/>
      <c r="BTZ8" s="184"/>
      <c r="BUA8" s="184"/>
      <c r="BUB8" s="184"/>
      <c r="BUC8" s="184"/>
      <c r="BUD8" s="184"/>
      <c r="BUE8" s="184"/>
      <c r="BUF8" s="184"/>
      <c r="BUG8" s="184"/>
      <c r="BUH8" s="184"/>
      <c r="BUI8" s="184"/>
      <c r="BUJ8" s="184"/>
      <c r="BUK8" s="184"/>
      <c r="BUL8" s="184"/>
      <c r="BUM8" s="184"/>
      <c r="BUN8" s="184"/>
      <c r="BUO8" s="184"/>
      <c r="BUP8" s="184"/>
      <c r="BUQ8" s="184"/>
      <c r="BUR8" s="184"/>
      <c r="BUS8" s="184"/>
      <c r="BUT8" s="184"/>
      <c r="BUU8" s="184"/>
      <c r="BUV8" s="184"/>
      <c r="BUW8" s="184"/>
      <c r="BUX8" s="184"/>
      <c r="BUY8" s="184"/>
      <c r="BUZ8" s="184"/>
      <c r="BVA8" s="184"/>
      <c r="BVB8" s="184"/>
      <c r="BVC8" s="184"/>
      <c r="BVD8" s="184"/>
      <c r="BVE8" s="184"/>
      <c r="BVF8" s="184"/>
      <c r="BVG8" s="184"/>
      <c r="BVH8" s="184"/>
      <c r="BVI8" s="184"/>
      <c r="BVJ8" s="184"/>
      <c r="BVK8" s="184"/>
      <c r="BVL8" s="184"/>
      <c r="BVM8" s="184"/>
      <c r="BVN8" s="184"/>
      <c r="BVO8" s="184"/>
      <c r="BVP8" s="184"/>
      <c r="BVQ8" s="184"/>
      <c r="BVR8" s="184"/>
      <c r="BVS8" s="184"/>
      <c r="BVT8" s="184"/>
      <c r="BVU8" s="184"/>
      <c r="BVV8" s="184"/>
      <c r="BVW8" s="184"/>
      <c r="BVX8" s="184"/>
      <c r="BVY8" s="184"/>
      <c r="BVZ8" s="184"/>
      <c r="BWA8" s="184"/>
      <c r="BWB8" s="184"/>
      <c r="BWC8" s="184"/>
      <c r="BWD8" s="184"/>
      <c r="BWE8" s="184"/>
      <c r="BWF8" s="184"/>
      <c r="BWG8" s="184"/>
      <c r="BWH8" s="184"/>
      <c r="BWI8" s="184"/>
      <c r="BWJ8" s="184"/>
      <c r="BWK8" s="184"/>
      <c r="BWL8" s="184"/>
      <c r="BWM8" s="184"/>
      <c r="BWN8" s="184"/>
      <c r="BWO8" s="184"/>
      <c r="BWP8" s="184"/>
      <c r="BWQ8" s="184"/>
      <c r="BWR8" s="184"/>
      <c r="BWS8" s="184"/>
      <c r="BWT8" s="184"/>
      <c r="BWU8" s="184"/>
      <c r="BWV8" s="184"/>
      <c r="BWW8" s="184"/>
      <c r="BWX8" s="184"/>
      <c r="BWY8" s="184"/>
      <c r="BWZ8" s="184"/>
      <c r="BXA8" s="184"/>
      <c r="BXB8" s="184"/>
      <c r="BXC8" s="184"/>
      <c r="BXD8" s="184"/>
      <c r="BXE8" s="184"/>
      <c r="BXF8" s="184"/>
      <c r="BXG8" s="184"/>
      <c r="BXH8" s="184"/>
      <c r="BXI8" s="184"/>
      <c r="BXJ8" s="184"/>
      <c r="BXK8" s="184"/>
      <c r="BXL8" s="184"/>
      <c r="BXM8" s="184"/>
      <c r="BXN8" s="184"/>
      <c r="BXO8" s="184"/>
      <c r="BXP8" s="184"/>
      <c r="BXQ8" s="184"/>
      <c r="BXR8" s="184"/>
      <c r="BXS8" s="184"/>
      <c r="BXT8" s="184"/>
      <c r="BXU8" s="184"/>
      <c r="BXV8" s="184"/>
      <c r="BXW8" s="184"/>
      <c r="BXX8" s="184"/>
      <c r="BXY8" s="184"/>
      <c r="BXZ8" s="184"/>
      <c r="BYA8" s="184"/>
      <c r="BYB8" s="184"/>
      <c r="BYC8" s="184"/>
      <c r="BYD8" s="184"/>
      <c r="BYE8" s="184"/>
      <c r="BYF8" s="184"/>
      <c r="BYG8" s="184"/>
      <c r="BYH8" s="184"/>
      <c r="BYI8" s="184"/>
      <c r="BYJ8" s="184"/>
      <c r="BYK8" s="184"/>
      <c r="BYL8" s="184"/>
      <c r="BYM8" s="184"/>
      <c r="BYN8" s="184"/>
      <c r="BYO8" s="184"/>
      <c r="BYP8" s="184"/>
      <c r="BYQ8" s="184"/>
      <c r="BYR8" s="184"/>
      <c r="BYS8" s="184"/>
      <c r="BYT8" s="184"/>
      <c r="BYU8" s="184"/>
      <c r="BYV8" s="184"/>
      <c r="BYW8" s="184"/>
      <c r="BYX8" s="184"/>
      <c r="BYY8" s="184"/>
      <c r="BYZ8" s="184"/>
      <c r="BZA8" s="184"/>
      <c r="BZB8" s="184"/>
      <c r="BZC8" s="184"/>
      <c r="BZD8" s="184"/>
      <c r="BZE8" s="184"/>
      <c r="BZF8" s="184"/>
      <c r="BZG8" s="184"/>
      <c r="BZH8" s="184"/>
      <c r="BZI8" s="184"/>
      <c r="BZJ8" s="184"/>
      <c r="BZK8" s="184"/>
      <c r="BZL8" s="184"/>
      <c r="BZM8" s="184"/>
      <c r="BZN8" s="184"/>
      <c r="BZO8" s="184"/>
      <c r="BZP8" s="184"/>
      <c r="BZQ8" s="184"/>
      <c r="BZR8" s="184"/>
      <c r="BZS8" s="184"/>
      <c r="BZT8" s="184"/>
      <c r="BZU8" s="184"/>
      <c r="BZV8" s="184"/>
      <c r="BZW8" s="184"/>
      <c r="BZX8" s="184"/>
      <c r="BZY8" s="184"/>
      <c r="BZZ8" s="184"/>
      <c r="CAA8" s="184"/>
      <c r="CAB8" s="184"/>
      <c r="CAC8" s="184"/>
      <c r="CAD8" s="184"/>
      <c r="CAE8" s="184"/>
      <c r="CAF8" s="184"/>
      <c r="CAG8" s="184"/>
      <c r="CAH8" s="184"/>
      <c r="CAI8" s="184"/>
      <c r="CAJ8" s="184"/>
      <c r="CAK8" s="184"/>
      <c r="CAL8" s="184"/>
      <c r="CAM8" s="184"/>
      <c r="CAN8" s="184"/>
      <c r="CAO8" s="184"/>
      <c r="CAP8" s="184"/>
      <c r="CAQ8" s="184"/>
      <c r="CAR8" s="184"/>
      <c r="CAS8" s="184"/>
      <c r="CAT8" s="184"/>
      <c r="CAU8" s="184"/>
      <c r="CAV8" s="184"/>
      <c r="CAW8" s="184"/>
      <c r="CAX8" s="184"/>
      <c r="CAY8" s="184"/>
      <c r="CAZ8" s="184"/>
      <c r="CBA8" s="184"/>
      <c r="CBB8" s="184"/>
      <c r="CBC8" s="184"/>
      <c r="CBD8" s="184"/>
      <c r="CBE8" s="184"/>
      <c r="CBF8" s="184"/>
      <c r="CBG8" s="184"/>
      <c r="CBH8" s="184"/>
      <c r="CBI8" s="184"/>
      <c r="CBJ8" s="184"/>
      <c r="CBK8" s="184"/>
      <c r="CBL8" s="184"/>
      <c r="CBM8" s="184"/>
      <c r="CBN8" s="184"/>
      <c r="CBO8" s="184"/>
      <c r="CBP8" s="184"/>
      <c r="CBQ8" s="184"/>
      <c r="CBR8" s="184"/>
      <c r="CBS8" s="184"/>
      <c r="CBT8" s="184"/>
      <c r="CBU8" s="184"/>
      <c r="CBV8" s="184"/>
      <c r="CBW8" s="184"/>
      <c r="CBX8" s="184"/>
      <c r="CBY8" s="184"/>
      <c r="CBZ8" s="184"/>
      <c r="CCA8" s="184"/>
      <c r="CCB8" s="184"/>
      <c r="CCC8" s="184"/>
      <c r="CCD8" s="184"/>
      <c r="CCE8" s="184"/>
      <c r="CCF8" s="184"/>
      <c r="CCG8" s="184"/>
      <c r="CCH8" s="184"/>
      <c r="CCI8" s="184"/>
      <c r="CCJ8" s="184"/>
      <c r="CCK8" s="184"/>
      <c r="CCL8" s="184"/>
      <c r="CCM8" s="184"/>
      <c r="CCN8" s="184"/>
      <c r="CCO8" s="184"/>
      <c r="CCP8" s="184"/>
      <c r="CCQ8" s="184"/>
      <c r="CCR8" s="184"/>
      <c r="CCS8" s="184"/>
      <c r="CCT8" s="184"/>
      <c r="CCU8" s="184"/>
      <c r="CCV8" s="184"/>
    </row>
    <row r="9" spans="1:2129 15008:15070 15386:15394" s="77" customFormat="1" ht="23.25" customHeight="1" x14ac:dyDescent="0.2">
      <c r="A9" s="77" t="s">
        <v>27</v>
      </c>
      <c r="B9" s="77" t="s">
        <v>86</v>
      </c>
      <c r="C9" s="77" t="s">
        <v>85</v>
      </c>
      <c r="D9" s="77" t="s">
        <v>84</v>
      </c>
      <c r="E9" s="77" t="s">
        <v>83</v>
      </c>
      <c r="F9" s="77" t="s">
        <v>82</v>
      </c>
      <c r="G9" s="86" t="s">
        <v>54</v>
      </c>
      <c r="H9" s="85" t="s">
        <v>81</v>
      </c>
      <c r="I9" s="84" t="s">
        <v>80</v>
      </c>
      <c r="J9" s="190" t="s">
        <v>79</v>
      </c>
      <c r="K9" s="84" t="s">
        <v>78</v>
      </c>
      <c r="L9" s="82" t="s">
        <v>77</v>
      </c>
      <c r="M9" s="81" t="s">
        <v>76</v>
      </c>
      <c r="N9" s="83" t="s">
        <v>75</v>
      </c>
      <c r="O9" s="82" t="s">
        <v>74</v>
      </c>
      <c r="P9" s="81" t="s">
        <v>73</v>
      </c>
      <c r="Q9" s="80" t="s">
        <v>174</v>
      </c>
      <c r="R9" s="83" t="s">
        <v>72</v>
      </c>
      <c r="S9" s="82" t="s">
        <v>71</v>
      </c>
      <c r="T9" s="81" t="s">
        <v>70</v>
      </c>
      <c r="U9" s="190" t="s">
        <v>69</v>
      </c>
      <c r="V9" s="190" t="s">
        <v>68</v>
      </c>
      <c r="W9" s="190" t="s">
        <v>12</v>
      </c>
      <c r="X9" s="80" t="s">
        <v>37</v>
      </c>
      <c r="Y9" s="80" t="s">
        <v>67</v>
      </c>
      <c r="Z9" s="80" t="s">
        <v>66</v>
      </c>
      <c r="AA9" s="140" t="s">
        <v>178</v>
      </c>
      <c r="AB9" s="140" t="s">
        <v>179</v>
      </c>
      <c r="AC9" s="79" t="s">
        <v>65</v>
      </c>
      <c r="AD9" s="79" t="s">
        <v>61</v>
      </c>
      <c r="AE9" s="79" t="s">
        <v>64</v>
      </c>
      <c r="AF9" s="79" t="s">
        <v>61</v>
      </c>
      <c r="AG9" s="79" t="s">
        <v>63</v>
      </c>
      <c r="AH9" s="78" t="s">
        <v>62</v>
      </c>
      <c r="AI9" s="78" t="s">
        <v>62</v>
      </c>
      <c r="AJ9" s="79" t="s">
        <v>65</v>
      </c>
      <c r="AK9" s="79" t="s">
        <v>61</v>
      </c>
      <c r="AL9" s="79" t="s">
        <v>64</v>
      </c>
      <c r="AM9" s="79" t="s">
        <v>61</v>
      </c>
      <c r="AN9" s="79" t="s">
        <v>63</v>
      </c>
      <c r="AO9" s="78" t="s">
        <v>62</v>
      </c>
      <c r="AP9" s="78" t="s">
        <v>62</v>
      </c>
      <c r="AQ9" s="79" t="s">
        <v>65</v>
      </c>
      <c r="AR9" s="79" t="s">
        <v>61</v>
      </c>
      <c r="AS9" s="79" t="s">
        <v>64</v>
      </c>
      <c r="AT9" s="79" t="s">
        <v>61</v>
      </c>
      <c r="AU9" s="79" t="s">
        <v>63</v>
      </c>
      <c r="AV9" s="78" t="s">
        <v>62</v>
      </c>
      <c r="AW9" s="78" t="s">
        <v>62</v>
      </c>
      <c r="AX9" s="79" t="s">
        <v>65</v>
      </c>
      <c r="AY9" s="79" t="s">
        <v>61</v>
      </c>
      <c r="AZ9" s="79" t="s">
        <v>64</v>
      </c>
      <c r="BA9" s="79" t="s">
        <v>61</v>
      </c>
      <c r="BB9" s="79" t="s">
        <v>63</v>
      </c>
      <c r="BC9" s="78" t="s">
        <v>62</v>
      </c>
      <c r="BD9" s="78" t="s">
        <v>62</v>
      </c>
      <c r="BE9" s="79" t="s">
        <v>65</v>
      </c>
      <c r="BF9" s="79" t="s">
        <v>61</v>
      </c>
      <c r="BG9" s="79" t="s">
        <v>64</v>
      </c>
      <c r="BH9" s="79" t="s">
        <v>61</v>
      </c>
      <c r="BI9" s="79" t="s">
        <v>63</v>
      </c>
      <c r="BJ9" s="78" t="s">
        <v>62</v>
      </c>
      <c r="BK9" s="78" t="s">
        <v>62</v>
      </c>
      <c r="BL9" s="79" t="s">
        <v>65</v>
      </c>
      <c r="BM9" s="79" t="s">
        <v>61</v>
      </c>
      <c r="BN9" s="79" t="s">
        <v>64</v>
      </c>
      <c r="BO9" s="79" t="s">
        <v>61</v>
      </c>
      <c r="BP9" s="79" t="s">
        <v>63</v>
      </c>
      <c r="BQ9" s="78" t="s">
        <v>62</v>
      </c>
      <c r="BR9" s="78" t="s">
        <v>62</v>
      </c>
      <c r="BS9" s="79" t="s">
        <v>65</v>
      </c>
      <c r="BT9" s="79" t="s">
        <v>61</v>
      </c>
      <c r="BU9" s="79" t="s">
        <v>64</v>
      </c>
      <c r="BV9" s="79" t="s">
        <v>61</v>
      </c>
      <c r="BW9" s="79" t="s">
        <v>63</v>
      </c>
      <c r="BX9" s="78" t="s">
        <v>62</v>
      </c>
      <c r="BY9" s="78" t="s">
        <v>62</v>
      </c>
      <c r="BZ9" s="79" t="s">
        <v>65</v>
      </c>
      <c r="CA9" s="79" t="s">
        <v>61</v>
      </c>
      <c r="CB9" s="79" t="s">
        <v>64</v>
      </c>
      <c r="CC9" s="79" t="s">
        <v>61</v>
      </c>
      <c r="CD9" s="79" t="s">
        <v>63</v>
      </c>
      <c r="CE9" s="78" t="s">
        <v>62</v>
      </c>
      <c r="CF9" s="78" t="s">
        <v>62</v>
      </c>
      <c r="CG9" s="79"/>
      <c r="CH9" s="79"/>
      <c r="CI9" s="79"/>
      <c r="CJ9" s="79"/>
      <c r="CK9" s="79"/>
      <c r="CL9" s="78"/>
      <c r="CM9" s="78"/>
      <c r="CN9" s="79"/>
      <c r="CO9" s="79"/>
      <c r="CP9" s="79"/>
      <c r="CQ9" s="79"/>
      <c r="CR9" s="79"/>
      <c r="CS9" s="78"/>
      <c r="CT9" s="78"/>
      <c r="CU9" s="79"/>
      <c r="CV9" s="79"/>
      <c r="CW9" s="79"/>
      <c r="CX9" s="79"/>
      <c r="CY9" s="79"/>
      <c r="CZ9" s="78"/>
      <c r="DA9" s="78"/>
      <c r="DB9" s="79"/>
      <c r="DC9" s="79"/>
      <c r="DD9" s="79"/>
      <c r="DE9" s="79"/>
      <c r="DF9" s="79"/>
      <c r="DG9" s="78"/>
      <c r="DH9" s="78"/>
      <c r="DI9" s="79"/>
      <c r="DJ9" s="79"/>
      <c r="DK9" s="79"/>
      <c r="DL9" s="79"/>
      <c r="DM9" s="79"/>
      <c r="DN9" s="78"/>
      <c r="DO9" s="78"/>
      <c r="DP9" s="79"/>
      <c r="DQ9" s="79"/>
      <c r="DR9" s="79"/>
      <c r="DS9" s="79"/>
      <c r="DT9" s="79"/>
      <c r="DU9" s="78"/>
      <c r="DV9" s="78"/>
      <c r="DW9" s="79"/>
      <c r="DX9" s="79"/>
      <c r="DY9" s="79"/>
      <c r="DZ9" s="79"/>
      <c r="EA9" s="79"/>
      <c r="EB9" s="78"/>
      <c r="EC9" s="78"/>
      <c r="ED9" s="79"/>
      <c r="EE9" s="79"/>
      <c r="EF9" s="79"/>
      <c r="EG9" s="79"/>
      <c r="EH9" s="79"/>
      <c r="EI9" s="78"/>
      <c r="EJ9" s="78"/>
      <c r="EK9" s="79"/>
      <c r="EL9" s="79"/>
      <c r="EM9" s="79"/>
      <c r="EN9" s="79"/>
      <c r="EO9" s="79"/>
      <c r="EP9" s="78"/>
      <c r="EQ9" s="78"/>
      <c r="ER9" s="79"/>
      <c r="ES9" s="79"/>
      <c r="ET9" s="79"/>
      <c r="EU9" s="79"/>
      <c r="EV9" s="79"/>
      <c r="EW9" s="78"/>
      <c r="EX9" s="78"/>
      <c r="EY9" s="79"/>
      <c r="EZ9" s="79"/>
      <c r="FA9" s="79"/>
      <c r="FB9" s="79"/>
      <c r="FC9" s="79"/>
      <c r="FD9" s="78"/>
      <c r="FE9" s="78"/>
      <c r="FF9" s="79"/>
      <c r="FG9" s="79"/>
      <c r="FH9" s="79"/>
      <c r="FI9" s="79"/>
      <c r="FJ9" s="79"/>
      <c r="FK9" s="78"/>
      <c r="FL9" s="78"/>
      <c r="FM9" s="79"/>
      <c r="FN9" s="79"/>
      <c r="FO9" s="79"/>
      <c r="FP9" s="79"/>
      <c r="FQ9" s="79"/>
      <c r="FR9" s="78"/>
      <c r="FS9" s="78"/>
      <c r="FT9" s="79"/>
      <c r="FU9" s="79"/>
      <c r="FV9" s="79"/>
      <c r="FW9" s="79"/>
      <c r="FX9" s="79"/>
      <c r="FY9" s="78"/>
      <c r="FZ9" s="78"/>
      <c r="GA9" s="79"/>
      <c r="GB9" s="79"/>
      <c r="GC9" s="79"/>
      <c r="GD9" s="79"/>
      <c r="GE9" s="79"/>
      <c r="GF9" s="78"/>
      <c r="GG9" s="78"/>
      <c r="GH9" s="79"/>
      <c r="GI9" s="79"/>
      <c r="GJ9" s="79"/>
      <c r="GK9" s="79"/>
      <c r="GL9" s="79"/>
      <c r="GM9" s="78"/>
      <c r="GN9" s="78"/>
      <c r="GO9" s="79"/>
      <c r="GP9" s="79"/>
      <c r="GQ9" s="79"/>
      <c r="GR9" s="79"/>
      <c r="GS9" s="79"/>
      <c r="GT9" s="78"/>
      <c r="GU9" s="78"/>
      <c r="GV9" s="79"/>
      <c r="GW9" s="79"/>
      <c r="GX9" s="79"/>
      <c r="GY9" s="79"/>
      <c r="GZ9" s="79"/>
      <c r="HA9" s="78"/>
      <c r="HB9" s="78"/>
      <c r="HC9" s="79"/>
      <c r="HD9" s="79"/>
      <c r="HE9" s="79"/>
      <c r="HF9" s="79"/>
      <c r="HG9" s="79"/>
      <c r="HH9" s="78"/>
      <c r="HI9" s="78"/>
      <c r="HJ9" s="79"/>
      <c r="HK9" s="79"/>
      <c r="HL9" s="79"/>
      <c r="HM9" s="79"/>
      <c r="HN9" s="79"/>
      <c r="HO9" s="78"/>
      <c r="HP9" s="78"/>
      <c r="HQ9" s="79"/>
      <c r="HR9" s="79"/>
      <c r="HS9" s="79"/>
      <c r="HT9" s="79"/>
      <c r="HU9" s="79"/>
      <c r="HV9" s="78"/>
      <c r="HW9" s="78"/>
      <c r="HX9" s="79"/>
      <c r="HY9" s="79"/>
      <c r="HZ9" s="79"/>
      <c r="IA9" s="79"/>
      <c r="IB9" s="79"/>
      <c r="IC9" s="78"/>
      <c r="ID9" s="78"/>
      <c r="IE9" s="79"/>
      <c r="IF9" s="79"/>
      <c r="IG9" s="79"/>
      <c r="IH9" s="79"/>
      <c r="II9" s="79"/>
      <c r="IJ9" s="78"/>
      <c r="IK9" s="78"/>
      <c r="IL9" s="79"/>
      <c r="IM9" s="79"/>
      <c r="IN9" s="79"/>
      <c r="IO9" s="79"/>
      <c r="IP9" s="79"/>
      <c r="IQ9" s="78"/>
      <c r="IR9" s="78"/>
      <c r="IS9" s="79"/>
      <c r="IT9" s="79"/>
      <c r="IU9" s="79"/>
      <c r="IV9" s="79"/>
      <c r="IW9" s="79"/>
      <c r="IX9" s="78"/>
      <c r="IY9" s="78"/>
      <c r="IZ9" s="79"/>
      <c r="JA9" s="79"/>
      <c r="JB9" s="79"/>
      <c r="JC9" s="79"/>
      <c r="JD9" s="79"/>
      <c r="JE9" s="78"/>
      <c r="JF9" s="78"/>
      <c r="JG9" s="79"/>
      <c r="JH9" s="79"/>
      <c r="JI9" s="79"/>
      <c r="JJ9" s="79"/>
      <c r="JK9" s="79"/>
      <c r="JL9" s="78"/>
      <c r="JM9" s="78"/>
      <c r="JN9" s="79"/>
      <c r="JO9" s="79"/>
      <c r="JP9" s="79"/>
      <c r="JQ9" s="79"/>
      <c r="JR9" s="79"/>
      <c r="JS9" s="78"/>
      <c r="JT9" s="78"/>
      <c r="JU9" s="79"/>
      <c r="JV9" s="79"/>
      <c r="JW9" s="79"/>
      <c r="JX9" s="79"/>
      <c r="JY9" s="79"/>
      <c r="JZ9" s="78"/>
      <c r="KA9" s="78"/>
      <c r="KB9" s="79"/>
      <c r="KC9" s="79"/>
      <c r="KD9" s="79"/>
      <c r="KE9" s="79"/>
      <c r="KF9" s="79"/>
      <c r="KG9" s="78"/>
      <c r="KH9" s="78"/>
      <c r="KI9" s="79"/>
      <c r="KJ9" s="79"/>
      <c r="KK9" s="79"/>
      <c r="KL9" s="79"/>
      <c r="KM9" s="79"/>
      <c r="KN9" s="78"/>
      <c r="KO9" s="78"/>
      <c r="KP9" s="79"/>
      <c r="KQ9" s="79"/>
      <c r="KR9" s="79"/>
      <c r="KS9" s="79"/>
      <c r="KT9" s="79"/>
      <c r="KU9" s="78"/>
      <c r="KV9" s="78"/>
      <c r="KW9" s="79"/>
      <c r="KX9" s="79"/>
      <c r="KY9" s="79"/>
      <c r="KZ9" s="79"/>
      <c r="LA9" s="79"/>
      <c r="LB9" s="78"/>
      <c r="LC9" s="78"/>
      <c r="LD9" s="79"/>
      <c r="LE9" s="79"/>
      <c r="LF9" s="79"/>
      <c r="LG9" s="79"/>
      <c r="LH9" s="79"/>
      <c r="LI9" s="78"/>
      <c r="LJ9" s="78"/>
      <c r="LK9" s="79"/>
      <c r="LL9" s="79"/>
      <c r="LM9" s="79"/>
      <c r="LN9" s="79"/>
      <c r="LO9" s="79"/>
      <c r="LP9" s="78"/>
      <c r="LQ9" s="78"/>
      <c r="LR9" s="79"/>
      <c r="LS9" s="79"/>
      <c r="LT9" s="79"/>
      <c r="LU9" s="79"/>
      <c r="LV9" s="79"/>
      <c r="LW9" s="78"/>
      <c r="LX9" s="78"/>
      <c r="LY9" s="79"/>
      <c r="LZ9" s="79"/>
      <c r="MA9" s="79"/>
      <c r="MB9" s="79"/>
      <c r="MC9" s="79"/>
      <c r="MD9" s="78"/>
      <c r="ME9" s="78"/>
      <c r="MF9" s="79"/>
      <c r="MG9" s="79"/>
      <c r="MH9" s="79"/>
      <c r="MI9" s="79"/>
      <c r="MJ9" s="79"/>
      <c r="MK9" s="78"/>
      <c r="ML9" s="78"/>
      <c r="MM9" s="79"/>
      <c r="MN9" s="79"/>
      <c r="MO9" s="79"/>
      <c r="MP9" s="79"/>
      <c r="MQ9" s="79"/>
      <c r="MR9" s="78"/>
      <c r="MS9" s="78"/>
      <c r="MT9" s="79"/>
      <c r="MU9" s="79"/>
      <c r="MV9" s="79"/>
      <c r="MW9" s="79"/>
      <c r="MX9" s="79"/>
      <c r="MY9" s="78"/>
      <c r="MZ9" s="78"/>
      <c r="NA9" s="79"/>
      <c r="NB9" s="79"/>
      <c r="NC9" s="79"/>
      <c r="ND9" s="79"/>
      <c r="NE9" s="79"/>
      <c r="NF9" s="78"/>
      <c r="NG9" s="78"/>
      <c r="NH9" s="79"/>
      <c r="NI9" s="79"/>
      <c r="NJ9" s="79"/>
      <c r="NK9" s="79"/>
      <c r="NL9" s="79"/>
      <c r="NM9" s="78"/>
      <c r="NN9" s="78"/>
      <c r="NO9" s="79"/>
      <c r="NP9" s="79"/>
      <c r="NQ9" s="79"/>
      <c r="NR9" s="79"/>
      <c r="NS9" s="79"/>
      <c r="NT9" s="78"/>
      <c r="NU9" s="78"/>
      <c r="NV9" s="79"/>
      <c r="NW9" s="79"/>
      <c r="NX9" s="79"/>
      <c r="NY9" s="79"/>
      <c r="NZ9" s="79"/>
      <c r="OA9" s="78"/>
      <c r="OB9" s="78"/>
      <c r="OC9" s="79"/>
      <c r="OD9" s="79"/>
      <c r="OE9" s="79"/>
      <c r="OF9" s="79"/>
      <c r="OG9" s="79"/>
      <c r="OH9" s="78"/>
      <c r="OI9" s="78"/>
      <c r="OJ9" s="79"/>
      <c r="OK9" s="79"/>
      <c r="OL9" s="79"/>
      <c r="OM9" s="79"/>
      <c r="ON9" s="79"/>
      <c r="OO9" s="78"/>
      <c r="OP9" s="78"/>
      <c r="OQ9" s="79"/>
      <c r="OR9" s="79"/>
      <c r="OS9" s="79"/>
      <c r="OT9" s="79"/>
      <c r="OU9" s="79"/>
      <c r="OV9" s="78"/>
      <c r="OW9" s="78"/>
      <c r="OX9" s="79"/>
      <c r="OY9" s="79"/>
      <c r="OZ9" s="79"/>
      <c r="PA9" s="79"/>
      <c r="PB9" s="79"/>
      <c r="PC9" s="78"/>
      <c r="PD9" s="78"/>
      <c r="PE9" s="79"/>
      <c r="PF9" s="79"/>
      <c r="PG9" s="79"/>
      <c r="PH9" s="79"/>
      <c r="PI9" s="79"/>
      <c r="PJ9" s="78"/>
      <c r="PK9" s="78"/>
      <c r="PL9" s="79"/>
      <c r="PM9" s="79"/>
      <c r="PN9" s="79"/>
      <c r="PO9" s="79"/>
      <c r="PP9" s="79"/>
      <c r="PQ9" s="78"/>
      <c r="PR9" s="78"/>
      <c r="PS9" s="79"/>
      <c r="PT9" s="79"/>
      <c r="PU9" s="79"/>
      <c r="PV9" s="79"/>
      <c r="PW9" s="79"/>
      <c r="PX9" s="78"/>
      <c r="PY9" s="78"/>
      <c r="PZ9" s="79"/>
      <c r="QA9" s="79"/>
      <c r="QB9" s="79"/>
      <c r="QC9" s="79"/>
      <c r="QD9" s="79"/>
      <c r="QE9" s="78"/>
      <c r="QF9" s="78"/>
      <c r="QG9" s="79"/>
      <c r="QH9" s="79"/>
      <c r="QI9" s="79"/>
      <c r="QJ9" s="79"/>
      <c r="QK9" s="79"/>
      <c r="QL9" s="78"/>
      <c r="QM9" s="78"/>
      <c r="QN9" s="79"/>
      <c r="QO9" s="79"/>
      <c r="QP9" s="79"/>
      <c r="QQ9" s="79"/>
      <c r="QR9" s="79"/>
      <c r="QS9" s="78"/>
      <c r="QT9" s="78"/>
      <c r="QU9" s="79"/>
      <c r="QV9" s="79"/>
      <c r="QW9" s="79"/>
      <c r="QX9" s="79"/>
      <c r="QY9" s="79"/>
      <c r="QZ9" s="78"/>
      <c r="RA9" s="78"/>
      <c r="RB9" s="79"/>
      <c r="RC9" s="79"/>
      <c r="RD9" s="79"/>
      <c r="RE9" s="79"/>
      <c r="RF9" s="79"/>
      <c r="RG9" s="78"/>
      <c r="RH9" s="78"/>
      <c r="RI9" s="79"/>
      <c r="RJ9" s="79"/>
      <c r="RK9" s="79"/>
      <c r="RL9" s="79"/>
      <c r="RM9" s="79"/>
      <c r="RN9" s="78"/>
      <c r="RO9" s="78"/>
      <c r="RP9" s="79"/>
      <c r="RQ9" s="79"/>
      <c r="RR9" s="79"/>
      <c r="RS9" s="79"/>
      <c r="RT9" s="79"/>
      <c r="RU9" s="78"/>
      <c r="RV9" s="78"/>
      <c r="RW9" s="79"/>
      <c r="RX9" s="79"/>
      <c r="RY9" s="79"/>
      <c r="RZ9" s="79"/>
      <c r="SA9" s="79"/>
      <c r="SB9" s="78"/>
      <c r="SC9" s="78"/>
      <c r="SD9" s="79"/>
      <c r="SE9" s="79"/>
      <c r="SF9" s="79"/>
      <c r="SG9" s="79"/>
      <c r="SH9" s="79"/>
      <c r="SI9" s="78"/>
      <c r="SJ9" s="78"/>
      <c r="SK9" s="79"/>
      <c r="SL9" s="79"/>
      <c r="SM9" s="79"/>
      <c r="SN9" s="79"/>
      <c r="SO9" s="79"/>
      <c r="SP9" s="78"/>
      <c r="SQ9" s="78"/>
      <c r="SR9" s="79"/>
      <c r="SS9" s="79"/>
      <c r="ST9" s="79"/>
      <c r="SU9" s="79"/>
      <c r="SV9" s="79"/>
      <c r="SW9" s="78"/>
      <c r="SX9" s="78"/>
      <c r="SY9" s="79"/>
      <c r="SZ9" s="79"/>
      <c r="TA9" s="79"/>
      <c r="TB9" s="79"/>
      <c r="TC9" s="79"/>
      <c r="TD9" s="78"/>
      <c r="TE9" s="78"/>
      <c r="TF9" s="79"/>
      <c r="TG9" s="79"/>
      <c r="TH9" s="79"/>
      <c r="TI9" s="79"/>
      <c r="TJ9" s="79"/>
      <c r="TK9" s="78"/>
      <c r="TL9" s="78"/>
      <c r="TM9" s="79"/>
      <c r="TN9" s="79"/>
      <c r="TO9" s="79"/>
      <c r="TP9" s="79"/>
      <c r="TQ9" s="79"/>
      <c r="TR9" s="78"/>
      <c r="TS9" s="78"/>
      <c r="TT9" s="79"/>
      <c r="TU9" s="79"/>
      <c r="TV9" s="79"/>
      <c r="TW9" s="79"/>
      <c r="TX9" s="79"/>
      <c r="TY9" s="78"/>
      <c r="TZ9" s="78"/>
      <c r="UA9" s="79"/>
      <c r="UB9" s="79"/>
      <c r="UC9" s="79"/>
      <c r="UD9" s="79"/>
      <c r="UE9" s="79"/>
      <c r="UF9" s="78"/>
      <c r="UG9" s="78"/>
      <c r="UH9" s="79"/>
      <c r="UI9" s="79"/>
      <c r="UJ9" s="79"/>
      <c r="UK9" s="79"/>
      <c r="UL9" s="79"/>
      <c r="UM9" s="78"/>
      <c r="UN9" s="78"/>
      <c r="UO9" s="79"/>
      <c r="UP9" s="79"/>
      <c r="UQ9" s="79"/>
      <c r="UR9" s="79"/>
      <c r="US9" s="79"/>
      <c r="UT9" s="78"/>
      <c r="UU9" s="78"/>
      <c r="UV9" s="79"/>
      <c r="UW9" s="79"/>
      <c r="UX9" s="79"/>
      <c r="UY9" s="79"/>
      <c r="UZ9" s="79"/>
      <c r="VA9" s="78"/>
      <c r="VB9" s="78"/>
      <c r="VC9" s="79"/>
      <c r="VD9" s="79"/>
      <c r="VE9" s="79"/>
      <c r="VF9" s="79"/>
      <c r="VG9" s="79"/>
      <c r="VH9" s="78"/>
      <c r="VI9" s="78"/>
      <c r="VJ9" s="79"/>
      <c r="VK9" s="79"/>
      <c r="VL9" s="79"/>
      <c r="VM9" s="79"/>
      <c r="VN9" s="79"/>
      <c r="VO9" s="78"/>
      <c r="VP9" s="78"/>
      <c r="VQ9" s="79"/>
      <c r="VR9" s="79"/>
      <c r="VS9" s="79"/>
      <c r="VT9" s="79"/>
      <c r="VU9" s="79"/>
      <c r="VV9" s="78"/>
      <c r="VW9" s="78"/>
      <c r="VX9" s="79"/>
      <c r="VY9" s="79"/>
      <c r="VZ9" s="79"/>
      <c r="WA9" s="79"/>
      <c r="WB9" s="79"/>
      <c r="WC9" s="78"/>
      <c r="WD9" s="78"/>
      <c r="WE9" s="79"/>
      <c r="WF9" s="79"/>
      <c r="WG9" s="79"/>
      <c r="WH9" s="79"/>
      <c r="WI9" s="79"/>
      <c r="WJ9" s="78"/>
      <c r="WK9" s="78"/>
      <c r="WL9" s="79"/>
      <c r="WM9" s="79"/>
      <c r="WN9" s="79"/>
      <c r="WO9" s="79"/>
      <c r="WP9" s="79"/>
      <c r="WQ9" s="78"/>
      <c r="WR9" s="78"/>
      <c r="WS9" s="79"/>
      <c r="WT9" s="79"/>
      <c r="WU9" s="79"/>
      <c r="WV9" s="79"/>
      <c r="WW9" s="79"/>
      <c r="WX9" s="78"/>
      <c r="WY9" s="78"/>
      <c r="WZ9" s="79"/>
      <c r="XA9" s="79"/>
      <c r="XB9" s="79"/>
      <c r="XC9" s="79"/>
      <c r="XD9" s="79"/>
      <c r="XE9" s="78"/>
      <c r="XF9" s="78"/>
      <c r="XG9" s="79"/>
      <c r="XH9" s="79"/>
      <c r="XI9" s="79"/>
      <c r="XJ9" s="79"/>
      <c r="XK9" s="79"/>
      <c r="XL9" s="78"/>
      <c r="XM9" s="78"/>
      <c r="XN9" s="79"/>
      <c r="XO9" s="79"/>
      <c r="XP9" s="79"/>
      <c r="XQ9" s="79"/>
      <c r="XR9" s="79"/>
      <c r="XS9" s="78"/>
      <c r="XT9" s="78"/>
      <c r="XU9" s="79"/>
      <c r="XV9" s="79"/>
      <c r="XW9" s="79"/>
      <c r="XX9" s="79"/>
      <c r="XY9" s="79"/>
      <c r="XZ9" s="78"/>
      <c r="YA9" s="78"/>
      <c r="YB9" s="79"/>
      <c r="YC9" s="79"/>
      <c r="YD9" s="79"/>
      <c r="YE9" s="79"/>
      <c r="YF9" s="79"/>
      <c r="YG9" s="78"/>
      <c r="YH9" s="78"/>
      <c r="YI9" s="79"/>
      <c r="YJ9" s="79"/>
      <c r="YK9" s="79"/>
      <c r="YL9" s="79"/>
      <c r="YM9" s="79"/>
      <c r="YN9" s="78"/>
      <c r="YO9" s="78"/>
      <c r="YP9" s="79"/>
      <c r="YQ9" s="79"/>
      <c r="YR9" s="79"/>
      <c r="YS9" s="79"/>
      <c r="YT9" s="79"/>
      <c r="YU9" s="78"/>
      <c r="YV9" s="78"/>
      <c r="YW9" s="79"/>
      <c r="YX9" s="79"/>
      <c r="YY9" s="79"/>
      <c r="YZ9" s="79"/>
      <c r="ZA9" s="79"/>
      <c r="ZB9" s="78"/>
      <c r="ZC9" s="78"/>
      <c r="ZD9" s="79"/>
      <c r="ZE9" s="79"/>
      <c r="ZF9" s="79"/>
      <c r="ZG9" s="79"/>
      <c r="ZH9" s="79"/>
      <c r="ZI9" s="78"/>
      <c r="ZJ9" s="78"/>
      <c r="ZK9" s="79"/>
      <c r="ZL9" s="79"/>
      <c r="ZM9" s="79"/>
      <c r="ZN9" s="79"/>
      <c r="ZO9" s="79"/>
      <c r="ZP9" s="78"/>
      <c r="ZQ9" s="78"/>
      <c r="ZR9" s="79"/>
      <c r="ZS9" s="79"/>
      <c r="ZT9" s="79"/>
      <c r="ZU9" s="79"/>
      <c r="ZV9" s="79"/>
      <c r="ZW9" s="78"/>
      <c r="ZX9" s="78"/>
      <c r="ZY9" s="79"/>
      <c r="ZZ9" s="79"/>
      <c r="AAA9" s="79"/>
      <c r="AAB9" s="79"/>
      <c r="AAC9" s="79"/>
      <c r="AAD9" s="78"/>
      <c r="AAE9" s="78"/>
      <c r="AAF9" s="79"/>
      <c r="AAG9" s="79"/>
      <c r="AAH9" s="79"/>
      <c r="AAI9" s="79"/>
      <c r="AAJ9" s="79"/>
      <c r="AAK9" s="78"/>
      <c r="AAL9" s="78"/>
      <c r="AAM9" s="79"/>
      <c r="AAN9" s="79"/>
      <c r="AAO9" s="79"/>
      <c r="AAP9" s="79"/>
      <c r="AAQ9" s="79"/>
      <c r="AAR9" s="78"/>
      <c r="AAS9" s="78"/>
      <c r="AAT9" s="79"/>
      <c r="AAU9" s="79"/>
      <c r="AAV9" s="79"/>
      <c r="AAW9" s="79"/>
      <c r="AAX9" s="79"/>
      <c r="AAY9" s="78"/>
      <c r="AAZ9" s="78"/>
      <c r="ABA9" s="79"/>
      <c r="ABB9" s="79"/>
      <c r="ABC9" s="79"/>
      <c r="ABD9" s="79"/>
      <c r="ABE9" s="79"/>
      <c r="ABF9" s="78"/>
      <c r="ABG9" s="78"/>
      <c r="ABH9" s="79"/>
      <c r="ABI9" s="79"/>
      <c r="ABJ9" s="79"/>
      <c r="ABK9" s="79"/>
      <c r="ABL9" s="79"/>
      <c r="ABM9" s="78"/>
      <c r="ABN9" s="78"/>
      <c r="ABO9" s="79"/>
      <c r="ABP9" s="79"/>
      <c r="ABQ9" s="79"/>
      <c r="ABR9" s="79"/>
      <c r="ABS9" s="79"/>
      <c r="ABT9" s="78"/>
      <c r="ABU9" s="78"/>
      <c r="ABV9" s="79"/>
      <c r="ABW9" s="79"/>
      <c r="ABX9" s="79"/>
      <c r="ABY9" s="79"/>
      <c r="ABZ9" s="79"/>
      <c r="ACA9" s="78"/>
      <c r="ACB9" s="78"/>
      <c r="ACC9" s="79"/>
      <c r="ACD9" s="79"/>
      <c r="ACE9" s="79"/>
      <c r="ACF9" s="79"/>
      <c r="ACG9" s="79"/>
      <c r="ACH9" s="78"/>
      <c r="ACI9" s="78"/>
      <c r="ACJ9" s="79"/>
      <c r="ACK9" s="79"/>
      <c r="ACL9" s="79"/>
      <c r="ACM9" s="79"/>
      <c r="ACN9" s="79"/>
      <c r="ACO9" s="78"/>
      <c r="ACP9" s="78"/>
      <c r="ACQ9" s="79"/>
      <c r="ACR9" s="79"/>
      <c r="ACS9" s="79"/>
      <c r="ACT9" s="79"/>
      <c r="ACU9" s="79"/>
      <c r="ACV9" s="78"/>
      <c r="ACW9" s="78"/>
      <c r="ACX9" s="79"/>
      <c r="ACY9" s="79"/>
      <c r="ACZ9" s="79"/>
      <c r="ADA9" s="79"/>
      <c r="ADB9" s="79"/>
      <c r="ADC9" s="78"/>
      <c r="ADD9" s="78"/>
      <c r="ADE9" s="79"/>
      <c r="ADF9" s="79"/>
      <c r="ADG9" s="79"/>
      <c r="ADH9" s="79"/>
      <c r="ADI9" s="79"/>
      <c r="ADJ9" s="78"/>
      <c r="ADK9" s="78"/>
      <c r="ADL9" s="79"/>
      <c r="ADM9" s="79"/>
      <c r="ADN9" s="79"/>
      <c r="ADO9" s="79"/>
      <c r="ADP9" s="79"/>
      <c r="ADQ9" s="78"/>
      <c r="ADR9" s="78"/>
      <c r="ADS9" s="79"/>
      <c r="ADT9" s="79"/>
      <c r="ADU9" s="79"/>
      <c r="ADV9" s="79"/>
      <c r="ADW9" s="79"/>
      <c r="ADX9" s="78"/>
      <c r="ADY9" s="78"/>
      <c r="ADZ9" s="79"/>
      <c r="AEA9" s="79"/>
      <c r="AEB9" s="79"/>
      <c r="AEC9" s="79"/>
      <c r="AED9" s="79"/>
      <c r="AEE9" s="78"/>
      <c r="AEF9" s="78"/>
      <c r="AEG9" s="79"/>
      <c r="AEH9" s="79"/>
      <c r="AEI9" s="79"/>
      <c r="AEJ9" s="79"/>
      <c r="AEK9" s="79"/>
      <c r="AEL9" s="78"/>
      <c r="AEM9" s="78"/>
      <c r="AEN9" s="79"/>
      <c r="AEO9" s="79"/>
      <c r="AEP9" s="79"/>
      <c r="AEQ9" s="79"/>
      <c r="AER9" s="79"/>
      <c r="AES9" s="78"/>
      <c r="AET9" s="78"/>
      <c r="AEU9" s="79"/>
      <c r="AEV9" s="79"/>
      <c r="AEW9" s="79"/>
      <c r="AEX9" s="79"/>
      <c r="AEY9" s="79"/>
      <c r="AEZ9" s="78"/>
      <c r="AFA9" s="78"/>
      <c r="AFB9" s="79"/>
      <c r="AFC9" s="79"/>
      <c r="AFD9" s="79"/>
      <c r="AFE9" s="79"/>
      <c r="AFF9" s="79"/>
      <c r="AFG9" s="78"/>
      <c r="AFH9" s="78"/>
      <c r="AFI9" s="79"/>
      <c r="AFJ9" s="79"/>
      <c r="AFK9" s="79"/>
      <c r="AFL9" s="79"/>
      <c r="AFM9" s="79"/>
      <c r="AFN9" s="78"/>
      <c r="AFO9" s="78"/>
      <c r="AFP9" s="79"/>
      <c r="AFQ9" s="79"/>
      <c r="AFR9" s="79"/>
      <c r="AFS9" s="79"/>
      <c r="AFT9" s="79"/>
      <c r="AFU9" s="78"/>
      <c r="AFV9" s="78"/>
      <c r="AFW9" s="79"/>
      <c r="AFX9" s="79"/>
      <c r="AFY9" s="79"/>
      <c r="AFZ9" s="79"/>
      <c r="AGA9" s="79"/>
      <c r="AGB9" s="78"/>
      <c r="AGC9" s="78"/>
      <c r="AGD9" s="79"/>
      <c r="AGE9" s="79"/>
      <c r="AGF9" s="79"/>
      <c r="AGG9" s="79"/>
      <c r="AGH9" s="79"/>
      <c r="AGI9" s="78"/>
      <c r="AGJ9" s="78"/>
      <c r="AGK9" s="79"/>
      <c r="AGL9" s="79"/>
      <c r="AGM9" s="79"/>
      <c r="AGN9" s="79"/>
      <c r="AGO9" s="79"/>
      <c r="AGP9" s="78"/>
      <c r="AGQ9" s="78"/>
      <c r="AGR9" s="79"/>
      <c r="AGS9" s="79"/>
      <c r="AGT9" s="79"/>
      <c r="AGU9" s="79"/>
      <c r="AGV9" s="79"/>
      <c r="AGW9" s="78"/>
      <c r="AGX9" s="78"/>
      <c r="AGY9" s="79"/>
      <c r="AGZ9" s="79"/>
      <c r="AHA9" s="79"/>
      <c r="AHB9" s="79"/>
      <c r="AHC9" s="79"/>
      <c r="AHD9" s="78"/>
      <c r="AHE9" s="78"/>
      <c r="AHF9" s="79"/>
      <c r="AHG9" s="79"/>
      <c r="AHH9" s="79"/>
      <c r="AHI9" s="79"/>
      <c r="AHJ9" s="79"/>
      <c r="AHK9" s="78"/>
      <c r="AHL9" s="78"/>
      <c r="AHM9" s="79"/>
      <c r="AHN9" s="79"/>
      <c r="AHO9" s="79"/>
      <c r="AHP9" s="79"/>
      <c r="AHQ9" s="79"/>
      <c r="AHR9" s="78"/>
      <c r="AHS9" s="78"/>
      <c r="AHT9" s="79"/>
      <c r="AHU9" s="79"/>
      <c r="AHV9" s="79"/>
      <c r="AHW9" s="79"/>
      <c r="AHX9" s="79"/>
      <c r="AHY9" s="78"/>
      <c r="AHZ9" s="78"/>
      <c r="AIA9" s="79"/>
      <c r="AIB9" s="79"/>
      <c r="AIC9" s="79"/>
      <c r="AID9" s="79"/>
      <c r="AIE9" s="79"/>
      <c r="AIF9" s="78"/>
      <c r="AIG9" s="78"/>
      <c r="AIH9" s="79"/>
      <c r="AII9" s="79"/>
      <c r="AIJ9" s="79"/>
      <c r="AIK9" s="79"/>
      <c r="AIL9" s="79"/>
      <c r="AIM9" s="78"/>
      <c r="AIN9" s="78"/>
      <c r="AIO9" s="79"/>
      <c r="AIP9" s="79"/>
      <c r="AIQ9" s="79"/>
      <c r="AIR9" s="79"/>
      <c r="AIS9" s="79"/>
      <c r="AIT9" s="78"/>
      <c r="AIU9" s="78"/>
      <c r="AIV9" s="79"/>
      <c r="AIW9" s="79"/>
      <c r="AIX9" s="79"/>
      <c r="AIY9" s="79"/>
      <c r="AIZ9" s="79"/>
      <c r="AJA9" s="78"/>
      <c r="AJB9" s="78"/>
      <c r="AJC9" s="79"/>
      <c r="AJD9" s="79"/>
      <c r="AJE9" s="79"/>
      <c r="AJF9" s="79"/>
      <c r="AJG9" s="79"/>
      <c r="AJH9" s="78"/>
      <c r="AJI9" s="78"/>
      <c r="AJJ9" s="79"/>
      <c r="AJK9" s="79"/>
      <c r="AJL9" s="79"/>
      <c r="AJM9" s="79"/>
      <c r="AJN9" s="79"/>
      <c r="AJO9" s="78"/>
      <c r="AJP9" s="78"/>
      <c r="AJQ9" s="79"/>
      <c r="AJR9" s="79"/>
      <c r="AJS9" s="79"/>
      <c r="AJT9" s="79"/>
      <c r="AJU9" s="79"/>
      <c r="AJV9" s="78"/>
      <c r="AJW9" s="78"/>
      <c r="AJX9" s="79"/>
      <c r="AJY9" s="79"/>
      <c r="AJZ9" s="79"/>
      <c r="AKA9" s="79"/>
      <c r="AKB9" s="79"/>
      <c r="AKC9" s="78"/>
      <c r="AKD9" s="78"/>
      <c r="AKE9" s="79"/>
      <c r="AKF9" s="79"/>
      <c r="AKG9" s="79"/>
      <c r="AKH9" s="79"/>
      <c r="AKI9" s="79"/>
      <c r="AKJ9" s="78"/>
      <c r="AKK9" s="78"/>
      <c r="AKL9" s="79"/>
      <c r="AKM9" s="79"/>
      <c r="AKN9" s="79"/>
      <c r="AKO9" s="79"/>
      <c r="AKP9" s="79"/>
      <c r="AKQ9" s="78"/>
      <c r="AKR9" s="78"/>
      <c r="AKS9" s="79"/>
      <c r="AKT9" s="79"/>
      <c r="AKU9" s="79"/>
      <c r="AKV9" s="79"/>
      <c r="AKW9" s="79"/>
      <c r="AKX9" s="78"/>
      <c r="AKY9" s="78"/>
      <c r="AKZ9" s="79"/>
      <c r="ALA9" s="79"/>
      <c r="ALB9" s="79"/>
      <c r="ALC9" s="79"/>
      <c r="ALD9" s="79"/>
      <c r="ALE9" s="78"/>
      <c r="ALF9" s="78"/>
      <c r="ALG9" s="79"/>
      <c r="ALH9" s="79"/>
      <c r="ALI9" s="79"/>
      <c r="ALJ9" s="79"/>
      <c r="ALK9" s="79"/>
      <c r="ALL9" s="78"/>
      <c r="ALM9" s="78"/>
      <c r="ALN9" s="79"/>
      <c r="ALO9" s="79"/>
      <c r="ALP9" s="79"/>
      <c r="ALQ9" s="79"/>
      <c r="ALR9" s="79"/>
      <c r="ALS9" s="78"/>
      <c r="ALT9" s="78"/>
      <c r="ALU9" s="79"/>
      <c r="ALV9" s="79"/>
      <c r="ALW9" s="79"/>
      <c r="ALX9" s="79"/>
      <c r="ALY9" s="79"/>
      <c r="ALZ9" s="78"/>
      <c r="AMA9" s="78"/>
      <c r="AMB9" s="79"/>
      <c r="AMC9" s="79"/>
      <c r="AMD9" s="79"/>
      <c r="AME9" s="79"/>
      <c r="AMF9" s="79"/>
      <c r="AMG9" s="78"/>
      <c r="AMH9" s="78"/>
      <c r="AMI9" s="79"/>
      <c r="AMJ9" s="79"/>
      <c r="AMK9" s="79"/>
      <c r="AML9" s="79"/>
      <c r="AMM9" s="79"/>
      <c r="AMN9" s="78"/>
      <c r="AMO9" s="78"/>
      <c r="AMP9" s="79"/>
      <c r="AMQ9" s="79"/>
      <c r="AMR9" s="79"/>
      <c r="AMS9" s="79"/>
      <c r="AMT9" s="79"/>
      <c r="AMU9" s="78"/>
      <c r="AMV9" s="78"/>
      <c r="AMW9" s="79"/>
      <c r="AMX9" s="79"/>
      <c r="AMY9" s="79"/>
      <c r="AMZ9" s="79"/>
      <c r="ANA9" s="79"/>
      <c r="ANB9" s="78"/>
      <c r="ANC9" s="78"/>
      <c r="AND9" s="79"/>
      <c r="ANE9" s="79"/>
      <c r="ANF9" s="79"/>
      <c r="ANG9" s="79"/>
      <c r="ANH9" s="79"/>
      <c r="ANI9" s="78"/>
      <c r="ANJ9" s="78"/>
      <c r="ANK9" s="79"/>
      <c r="ANL9" s="79"/>
      <c r="ANM9" s="79"/>
      <c r="ANN9" s="79"/>
      <c r="ANO9" s="79"/>
      <c r="ANP9" s="78"/>
      <c r="ANQ9" s="78"/>
      <c r="ANR9" s="79"/>
      <c r="ANS9" s="79"/>
      <c r="ANT9" s="79"/>
      <c r="ANU9" s="79"/>
      <c r="ANV9" s="79"/>
      <c r="ANW9" s="78"/>
      <c r="ANX9" s="78"/>
      <c r="ANY9" s="79"/>
      <c r="ANZ9" s="79"/>
      <c r="AOA9" s="79"/>
      <c r="AOB9" s="79"/>
      <c r="AOC9" s="79"/>
      <c r="AOD9" s="78"/>
      <c r="AOE9" s="78"/>
      <c r="AOF9" s="79"/>
      <c r="AOG9" s="79"/>
      <c r="AOH9" s="79"/>
      <c r="AOI9" s="79"/>
      <c r="AOJ9" s="79"/>
      <c r="AOK9" s="78"/>
      <c r="AOL9" s="78"/>
      <c r="AOM9" s="79"/>
      <c r="AON9" s="79"/>
      <c r="AOO9" s="79"/>
      <c r="AOP9" s="79"/>
      <c r="AOQ9" s="79"/>
      <c r="AOR9" s="78"/>
      <c r="AOS9" s="78"/>
      <c r="AOT9" s="79"/>
      <c r="AOU9" s="79"/>
      <c r="AOV9" s="79"/>
      <c r="AOW9" s="79"/>
      <c r="AOX9" s="79"/>
      <c r="AOY9" s="78"/>
      <c r="AOZ9" s="78"/>
      <c r="APA9" s="79"/>
      <c r="APB9" s="79"/>
      <c r="APC9" s="79"/>
      <c r="APD9" s="79"/>
      <c r="APE9" s="79"/>
      <c r="APF9" s="78"/>
      <c r="APG9" s="78"/>
      <c r="APH9" s="79"/>
      <c r="API9" s="79"/>
      <c r="APJ9" s="79"/>
      <c r="APK9" s="79"/>
      <c r="APL9" s="79"/>
      <c r="APM9" s="78"/>
      <c r="APN9" s="78"/>
      <c r="APO9" s="79"/>
      <c r="APP9" s="79"/>
      <c r="APQ9" s="79"/>
      <c r="APR9" s="79"/>
      <c r="APS9" s="79"/>
      <c r="APT9" s="78"/>
      <c r="APU9" s="78"/>
      <c r="APV9" s="79"/>
      <c r="APW9" s="79"/>
      <c r="APX9" s="79"/>
      <c r="APY9" s="79"/>
      <c r="APZ9" s="79"/>
      <c r="AQA9" s="78"/>
      <c r="AQB9" s="78"/>
      <c r="AQC9" s="79"/>
      <c r="AQD9" s="79"/>
      <c r="AQE9" s="79"/>
      <c r="AQF9" s="79"/>
      <c r="AQG9" s="79"/>
      <c r="AQH9" s="78"/>
      <c r="AQI9" s="78"/>
      <c r="AQJ9" s="79"/>
      <c r="AQK9" s="79"/>
      <c r="AQL9" s="79"/>
      <c r="AQM9" s="79"/>
      <c r="AQN9" s="79"/>
      <c r="AQO9" s="78"/>
      <c r="AQP9" s="78"/>
      <c r="AQQ9" s="79"/>
      <c r="AQR9" s="79"/>
      <c r="AQS9" s="79"/>
      <c r="AQT9" s="79"/>
      <c r="AQU9" s="79"/>
      <c r="AQV9" s="78"/>
      <c r="AQW9" s="78"/>
      <c r="AQX9" s="79"/>
      <c r="AQY9" s="79"/>
      <c r="AQZ9" s="79"/>
      <c r="ARA9" s="79"/>
      <c r="ARB9" s="79"/>
      <c r="ARC9" s="78"/>
      <c r="ARD9" s="78"/>
      <c r="ARE9" s="79"/>
      <c r="ARF9" s="79"/>
      <c r="ARG9" s="79"/>
      <c r="ARH9" s="79"/>
      <c r="ARI9" s="79"/>
      <c r="ARJ9" s="78"/>
      <c r="ARK9" s="78"/>
      <c r="ARL9" s="79"/>
      <c r="ARM9" s="79"/>
      <c r="ARN9" s="79"/>
      <c r="ARO9" s="79"/>
      <c r="ARP9" s="79"/>
      <c r="ARQ9" s="78"/>
      <c r="ARR9" s="78"/>
      <c r="ARS9" s="79"/>
      <c r="ART9" s="79"/>
      <c r="ARU9" s="79"/>
      <c r="ARV9" s="79"/>
      <c r="ARW9" s="79"/>
      <c r="ARX9" s="78"/>
      <c r="ARY9" s="78"/>
      <c r="ARZ9" s="79"/>
      <c r="ASA9" s="79"/>
      <c r="ASB9" s="79"/>
      <c r="ASC9" s="79"/>
      <c r="ASD9" s="79"/>
      <c r="ASE9" s="78"/>
      <c r="ASF9" s="78"/>
      <c r="ASG9" s="79"/>
      <c r="ASH9" s="79"/>
      <c r="ASI9" s="79"/>
      <c r="ASJ9" s="79"/>
      <c r="ASK9" s="79"/>
      <c r="ASL9" s="78"/>
      <c r="ASM9" s="78"/>
      <c r="ASN9" s="79"/>
      <c r="ASO9" s="79"/>
      <c r="ASP9" s="79"/>
      <c r="ASQ9" s="79"/>
      <c r="ASR9" s="79"/>
      <c r="ASS9" s="78"/>
      <c r="AST9" s="78"/>
      <c r="ASU9" s="79"/>
      <c r="ASV9" s="79"/>
      <c r="ASW9" s="79"/>
      <c r="ASX9" s="79"/>
      <c r="ASY9" s="79"/>
      <c r="ASZ9" s="78"/>
      <c r="ATA9" s="78"/>
      <c r="ATB9" s="79"/>
      <c r="ATC9" s="79"/>
      <c r="ATD9" s="79"/>
      <c r="ATE9" s="79"/>
      <c r="ATF9" s="79"/>
      <c r="ATG9" s="78"/>
      <c r="ATH9" s="78"/>
      <c r="ATI9" s="79"/>
      <c r="ATJ9" s="79"/>
      <c r="ATK9" s="79"/>
      <c r="ATL9" s="79"/>
      <c r="ATM9" s="79"/>
      <c r="ATN9" s="78"/>
      <c r="ATO9" s="78"/>
      <c r="ATP9" s="79"/>
      <c r="ATQ9" s="79"/>
      <c r="ATR9" s="79"/>
      <c r="ATS9" s="79"/>
      <c r="ATT9" s="79"/>
      <c r="ATU9" s="78"/>
      <c r="ATV9" s="78"/>
      <c r="ATW9" s="79"/>
      <c r="ATX9" s="79"/>
      <c r="ATY9" s="79"/>
      <c r="ATZ9" s="79"/>
      <c r="AUA9" s="79"/>
      <c r="AUB9" s="78"/>
      <c r="AUC9" s="78"/>
      <c r="AUD9" s="79"/>
      <c r="AUE9" s="79"/>
      <c r="AUF9" s="79"/>
      <c r="AUG9" s="79"/>
      <c r="AUH9" s="79"/>
      <c r="AUI9" s="78"/>
      <c r="AUJ9" s="78"/>
      <c r="AUK9" s="79"/>
      <c r="AUL9" s="79"/>
      <c r="AUM9" s="79"/>
      <c r="AUN9" s="79"/>
      <c r="AUO9" s="79"/>
      <c r="AUP9" s="78"/>
      <c r="AUQ9" s="78"/>
      <c r="AUR9" s="79"/>
      <c r="AUS9" s="79"/>
      <c r="AUT9" s="79"/>
      <c r="AUU9" s="79"/>
      <c r="AUV9" s="79"/>
      <c r="AUW9" s="78"/>
      <c r="AUX9" s="78"/>
      <c r="AUY9" s="79"/>
      <c r="AUZ9" s="79"/>
      <c r="AVA9" s="79"/>
      <c r="AVB9" s="79"/>
      <c r="AVC9" s="79"/>
      <c r="AVD9" s="78"/>
      <c r="AVE9" s="78"/>
      <c r="AVF9" s="79"/>
      <c r="AVG9" s="79"/>
      <c r="AVH9" s="79"/>
      <c r="AVI9" s="79"/>
      <c r="AVJ9" s="79"/>
      <c r="AVK9" s="78"/>
      <c r="AVL9" s="78"/>
      <c r="AVM9" s="79"/>
      <c r="AVN9" s="79"/>
      <c r="AVO9" s="79"/>
      <c r="AVP9" s="79"/>
      <c r="AVQ9" s="79"/>
      <c r="AVR9" s="78"/>
      <c r="AVS9" s="78"/>
      <c r="AVT9" s="79"/>
      <c r="AVU9" s="79"/>
      <c r="AVV9" s="79"/>
      <c r="AVW9" s="79"/>
      <c r="AVX9" s="79"/>
      <c r="AVY9" s="78"/>
      <c r="AVZ9" s="78"/>
      <c r="AWA9" s="79"/>
      <c r="AWB9" s="79"/>
      <c r="AWC9" s="79"/>
      <c r="AWD9" s="79"/>
      <c r="AWE9" s="79"/>
      <c r="AWF9" s="78"/>
      <c r="AWG9" s="78"/>
      <c r="AWH9" s="79"/>
      <c r="AWI9" s="79"/>
      <c r="AWJ9" s="79"/>
      <c r="AWK9" s="79"/>
      <c r="AWL9" s="79"/>
      <c r="AWM9" s="78"/>
      <c r="AWN9" s="78"/>
      <c r="AWO9" s="79"/>
      <c r="AWP9" s="79"/>
      <c r="AWQ9" s="79"/>
      <c r="AWR9" s="79"/>
      <c r="AWS9" s="79"/>
      <c r="AWT9" s="78"/>
      <c r="AWU9" s="78"/>
      <c r="AWV9" s="79"/>
      <c r="AWW9" s="79"/>
      <c r="AWX9" s="79"/>
      <c r="AWY9" s="79"/>
      <c r="AWZ9" s="79"/>
      <c r="AXA9" s="78"/>
      <c r="AXB9" s="78"/>
      <c r="AXC9" s="79"/>
      <c r="AXD9" s="79"/>
      <c r="AXE9" s="79"/>
      <c r="AXF9" s="79"/>
      <c r="AXG9" s="79"/>
      <c r="AXH9" s="78"/>
      <c r="AXI9" s="78"/>
      <c r="AXJ9" s="79"/>
      <c r="AXK9" s="79"/>
      <c r="AXL9" s="79"/>
      <c r="AXM9" s="79"/>
      <c r="AXN9" s="79"/>
      <c r="AXO9" s="78"/>
      <c r="AXP9" s="78"/>
      <c r="AXQ9" s="79"/>
      <c r="AXR9" s="79"/>
      <c r="AXS9" s="79"/>
      <c r="AXT9" s="79"/>
      <c r="AXU9" s="79"/>
      <c r="AXV9" s="78"/>
      <c r="AXW9" s="78"/>
      <c r="AXX9" s="79"/>
      <c r="AXY9" s="79"/>
      <c r="AXZ9" s="79"/>
      <c r="AYA9" s="79"/>
      <c r="AYB9" s="79"/>
      <c r="AYC9" s="78"/>
      <c r="AYD9" s="78"/>
      <c r="AYE9" s="79"/>
      <c r="AYF9" s="79"/>
      <c r="AYG9" s="79"/>
      <c r="AYH9" s="79"/>
      <c r="AYI9" s="79"/>
      <c r="AYJ9" s="78"/>
      <c r="AYK9" s="78"/>
      <c r="AYL9" s="79"/>
      <c r="AYM9" s="79"/>
      <c r="AYN9" s="79"/>
      <c r="AYO9" s="79"/>
      <c r="AYP9" s="79"/>
      <c r="AYQ9" s="78"/>
      <c r="AYR9" s="78"/>
      <c r="AYS9" s="79"/>
      <c r="AYT9" s="79"/>
      <c r="AYU9" s="79"/>
      <c r="AYV9" s="79"/>
      <c r="AYW9" s="79"/>
      <c r="AYX9" s="78"/>
      <c r="AYY9" s="78"/>
      <c r="AYZ9" s="79"/>
      <c r="AZA9" s="79"/>
      <c r="AZB9" s="79"/>
      <c r="AZC9" s="79"/>
      <c r="AZD9" s="79"/>
      <c r="AZE9" s="78"/>
      <c r="AZF9" s="78"/>
      <c r="AZG9" s="79"/>
      <c r="AZH9" s="79"/>
      <c r="AZI9" s="79"/>
      <c r="AZJ9" s="79"/>
      <c r="AZK9" s="79"/>
      <c r="AZL9" s="78"/>
      <c r="AZM9" s="78"/>
      <c r="AZN9" s="79"/>
      <c r="AZO9" s="79"/>
      <c r="AZP9" s="79"/>
      <c r="AZQ9" s="79"/>
      <c r="AZR9" s="79"/>
      <c r="AZS9" s="78"/>
      <c r="AZT9" s="78"/>
      <c r="AZU9" s="79"/>
      <c r="AZV9" s="79"/>
      <c r="AZW9" s="79"/>
      <c r="AZX9" s="79"/>
      <c r="AZY9" s="79"/>
      <c r="AZZ9" s="78"/>
      <c r="BAA9" s="78"/>
      <c r="BAB9" s="79"/>
      <c r="BAC9" s="79"/>
      <c r="BAD9" s="79"/>
      <c r="BAE9" s="79"/>
      <c r="BAF9" s="79"/>
      <c r="BAG9" s="78"/>
      <c r="BAH9" s="78"/>
      <c r="BAI9" s="79"/>
      <c r="BAJ9" s="79"/>
      <c r="BAK9" s="79"/>
      <c r="BAL9" s="79"/>
      <c r="BAM9" s="79"/>
      <c r="BAN9" s="78"/>
      <c r="BAO9" s="78"/>
      <c r="BAP9" s="79"/>
      <c r="BAQ9" s="79"/>
      <c r="BAR9" s="79"/>
      <c r="BAS9" s="79"/>
      <c r="BAT9" s="79"/>
      <c r="BAU9" s="78"/>
      <c r="BAV9" s="78"/>
      <c r="BAW9" s="79"/>
      <c r="BAX9" s="79"/>
      <c r="BAY9" s="79"/>
      <c r="BAZ9" s="79"/>
      <c r="BBA9" s="79"/>
      <c r="BBB9" s="78"/>
      <c r="BBC9" s="78"/>
      <c r="BBD9" s="79"/>
      <c r="BBE9" s="79"/>
      <c r="BBF9" s="79"/>
      <c r="BBG9" s="79"/>
      <c r="BBH9" s="79"/>
      <c r="BBI9" s="78"/>
      <c r="BBJ9" s="78"/>
      <c r="BBK9" s="79"/>
      <c r="BBL9" s="79"/>
      <c r="BBM9" s="79"/>
      <c r="BBN9" s="79"/>
      <c r="BBO9" s="79"/>
      <c r="BBP9" s="78"/>
      <c r="BBQ9" s="78"/>
      <c r="BBR9" s="79"/>
      <c r="BBS9" s="79"/>
      <c r="BBT9" s="79"/>
      <c r="BBU9" s="79"/>
      <c r="BBV9" s="79"/>
      <c r="BBW9" s="78"/>
      <c r="BBX9" s="78"/>
      <c r="BBY9" s="79"/>
      <c r="BBZ9" s="79"/>
      <c r="BCA9" s="79"/>
      <c r="BCB9" s="79"/>
      <c r="BCC9" s="79"/>
      <c r="BCD9" s="78"/>
      <c r="BCE9" s="78"/>
      <c r="BCF9" s="79"/>
      <c r="BCG9" s="79"/>
      <c r="BCH9" s="79"/>
      <c r="BCI9" s="79"/>
      <c r="BCJ9" s="79"/>
      <c r="BCK9" s="78"/>
      <c r="BCL9" s="78"/>
      <c r="BCM9" s="79"/>
      <c r="BCN9" s="79"/>
      <c r="BCO9" s="79"/>
      <c r="BCP9" s="79"/>
      <c r="BCQ9" s="79"/>
      <c r="BCR9" s="78"/>
      <c r="BCS9" s="78"/>
      <c r="BCT9" s="79"/>
      <c r="BCU9" s="79"/>
      <c r="BCV9" s="79"/>
      <c r="BCW9" s="79"/>
      <c r="BCX9" s="79"/>
      <c r="BCY9" s="78"/>
      <c r="BCZ9" s="78"/>
      <c r="BDA9" s="79"/>
      <c r="BDB9" s="79"/>
      <c r="BDC9" s="79"/>
      <c r="BDD9" s="79"/>
      <c r="BDE9" s="79"/>
      <c r="BDF9" s="78"/>
      <c r="BDG9" s="78"/>
      <c r="BDH9" s="79"/>
      <c r="BDI9" s="79"/>
      <c r="BDJ9" s="79"/>
      <c r="BDK9" s="79"/>
      <c r="BDL9" s="79"/>
      <c r="BDM9" s="78"/>
      <c r="BDN9" s="78"/>
      <c r="BDO9" s="79"/>
      <c r="BDP9" s="79"/>
      <c r="BDQ9" s="79"/>
      <c r="BDR9" s="79"/>
      <c r="BDS9" s="79"/>
      <c r="BDT9" s="78"/>
      <c r="BDU9" s="78"/>
      <c r="BDV9" s="79"/>
      <c r="BDW9" s="79"/>
      <c r="BDX9" s="79"/>
      <c r="BDY9" s="79"/>
      <c r="BDZ9" s="79"/>
      <c r="BEA9" s="78"/>
      <c r="BEB9" s="78"/>
      <c r="BEC9" s="79"/>
      <c r="BED9" s="79"/>
      <c r="BEE9" s="79"/>
      <c r="BEF9" s="79"/>
      <c r="BEG9" s="79"/>
      <c r="BEH9" s="78"/>
      <c r="BEI9" s="78"/>
      <c r="BEJ9" s="79"/>
      <c r="BEK9" s="79"/>
      <c r="BEL9" s="79"/>
      <c r="BEM9" s="79"/>
      <c r="BEN9" s="79"/>
      <c r="BEO9" s="78"/>
      <c r="BEP9" s="78"/>
      <c r="BEQ9" s="79"/>
      <c r="BER9" s="79"/>
      <c r="BES9" s="79"/>
      <c r="BET9" s="79"/>
      <c r="BEU9" s="79"/>
      <c r="BEV9" s="78"/>
      <c r="BEW9" s="78"/>
      <c r="BEX9" s="79"/>
      <c r="BEY9" s="79"/>
      <c r="BEZ9" s="79"/>
      <c r="BFA9" s="79"/>
      <c r="BFB9" s="79"/>
      <c r="BFC9" s="78"/>
      <c r="BFD9" s="78"/>
      <c r="BFE9" s="79"/>
      <c r="BFF9" s="79"/>
      <c r="BFG9" s="79"/>
      <c r="BFH9" s="79"/>
      <c r="BFI9" s="79"/>
      <c r="BFJ9" s="78"/>
      <c r="BFK9" s="78"/>
      <c r="BFL9" s="79"/>
      <c r="BFM9" s="79"/>
      <c r="BFN9" s="79"/>
      <c r="BFO9" s="79"/>
      <c r="BFP9" s="79"/>
      <c r="BFQ9" s="78"/>
      <c r="BFR9" s="78"/>
      <c r="BFS9" s="79"/>
      <c r="BFT9" s="79"/>
      <c r="BFU9" s="79"/>
      <c r="BFV9" s="79"/>
      <c r="BFW9" s="79"/>
      <c r="BFX9" s="78"/>
      <c r="BFY9" s="78"/>
      <c r="BFZ9" s="79"/>
      <c r="BGA9" s="79"/>
      <c r="BGB9" s="79"/>
      <c r="BGC9" s="79"/>
      <c r="BGD9" s="79"/>
      <c r="BGE9" s="78"/>
      <c r="BGF9" s="78"/>
      <c r="BGG9" s="79"/>
      <c r="BGH9" s="79"/>
      <c r="BGI9" s="79"/>
      <c r="BGJ9" s="79"/>
      <c r="BGK9" s="79"/>
      <c r="BGL9" s="78"/>
      <c r="BGM9" s="78"/>
      <c r="BGN9" s="79"/>
      <c r="BGO9" s="79"/>
      <c r="BGP9" s="79"/>
      <c r="BGQ9" s="79"/>
      <c r="BGR9" s="79"/>
      <c r="BGS9" s="78"/>
      <c r="BGT9" s="78"/>
      <c r="BGU9" s="79"/>
      <c r="BGV9" s="79"/>
      <c r="BGW9" s="79"/>
      <c r="BGX9" s="79"/>
      <c r="BGY9" s="79"/>
      <c r="BGZ9" s="78"/>
      <c r="BHA9" s="78"/>
      <c r="BHB9" s="79"/>
      <c r="BHC9" s="79"/>
      <c r="BHD9" s="79"/>
      <c r="BHE9" s="79"/>
      <c r="BHF9" s="79"/>
      <c r="BHG9" s="78"/>
      <c r="BHH9" s="78"/>
      <c r="BHI9" s="79"/>
      <c r="BHJ9" s="79"/>
      <c r="BHK9" s="79"/>
      <c r="BHL9" s="79"/>
      <c r="BHM9" s="79"/>
      <c r="BHN9" s="78"/>
      <c r="BHO9" s="78"/>
      <c r="BHP9" s="79"/>
      <c r="BHQ9" s="79"/>
      <c r="BHR9" s="79"/>
      <c r="BHS9" s="79"/>
      <c r="BHT9" s="79"/>
      <c r="BHU9" s="78"/>
      <c r="BHV9" s="78"/>
      <c r="BHW9" s="79"/>
      <c r="BHX9" s="79"/>
      <c r="BHY9" s="79"/>
      <c r="BHZ9" s="79"/>
      <c r="BIA9" s="79"/>
      <c r="BIB9" s="78"/>
      <c r="BIC9" s="78"/>
      <c r="BID9" s="79"/>
      <c r="BIE9" s="79"/>
      <c r="BIF9" s="79"/>
      <c r="BIG9" s="79"/>
      <c r="BIH9" s="79"/>
      <c r="BII9" s="78"/>
      <c r="BIJ9" s="78"/>
      <c r="BIK9" s="79"/>
      <c r="BIL9" s="79"/>
      <c r="BIM9" s="79"/>
      <c r="BIN9" s="79"/>
      <c r="BIO9" s="79"/>
      <c r="BIP9" s="78"/>
      <c r="BIQ9" s="78"/>
      <c r="BIR9" s="79"/>
      <c r="BIS9" s="79"/>
      <c r="BIT9" s="79"/>
      <c r="BIU9" s="79"/>
      <c r="BIV9" s="79"/>
      <c r="BIW9" s="78"/>
      <c r="BIX9" s="78"/>
      <c r="BIY9" s="79"/>
      <c r="BIZ9" s="79"/>
      <c r="BJA9" s="79"/>
      <c r="BJB9" s="79"/>
      <c r="BJC9" s="79"/>
      <c r="BJD9" s="78"/>
      <c r="BJE9" s="78"/>
      <c r="BJF9" s="79"/>
      <c r="BJG9" s="79"/>
      <c r="BJH9" s="79"/>
      <c r="BJI9" s="79"/>
      <c r="BJJ9" s="79"/>
      <c r="BJK9" s="78"/>
      <c r="BJL9" s="78"/>
      <c r="BJM9" s="79"/>
      <c r="BJN9" s="79"/>
      <c r="BJO9" s="79"/>
      <c r="BJP9" s="79"/>
      <c r="BJQ9" s="79"/>
      <c r="BJR9" s="78"/>
      <c r="BJS9" s="78"/>
      <c r="BJT9" s="79"/>
      <c r="BJU9" s="79"/>
      <c r="BJV9" s="79"/>
      <c r="BJW9" s="79"/>
      <c r="BJX9" s="79"/>
      <c r="BJY9" s="78"/>
      <c r="BJZ9" s="78"/>
      <c r="BKA9" s="79"/>
      <c r="BKB9" s="79"/>
      <c r="BKC9" s="79"/>
      <c r="BKD9" s="79"/>
      <c r="BKE9" s="79"/>
      <c r="BKF9" s="78"/>
      <c r="BKG9" s="78"/>
      <c r="BKH9" s="79"/>
      <c r="BKI9" s="79"/>
      <c r="BKJ9" s="79"/>
      <c r="BKK9" s="79"/>
      <c r="BKL9" s="79"/>
      <c r="BKM9" s="78"/>
      <c r="BKN9" s="78"/>
      <c r="BKO9" s="79"/>
      <c r="BKP9" s="79"/>
      <c r="BKQ9" s="79"/>
      <c r="BKR9" s="79"/>
      <c r="BKS9" s="79"/>
      <c r="BKT9" s="78"/>
      <c r="BKU9" s="78"/>
      <c r="BKV9" s="79"/>
      <c r="BKW9" s="79"/>
      <c r="BKX9" s="79"/>
      <c r="BKY9" s="79"/>
      <c r="BKZ9" s="79"/>
      <c r="BLA9" s="78"/>
      <c r="BLB9" s="78"/>
      <c r="BLC9" s="79"/>
      <c r="BLD9" s="79"/>
      <c r="BLE9" s="79"/>
      <c r="BLF9" s="79"/>
      <c r="BLG9" s="79"/>
      <c r="BLH9" s="78"/>
      <c r="BLI9" s="78"/>
      <c r="BLJ9" s="79"/>
      <c r="BLK9" s="79"/>
      <c r="BLL9" s="79"/>
      <c r="BLM9" s="79"/>
      <c r="BLN9" s="79"/>
      <c r="BLO9" s="78"/>
      <c r="BLP9" s="78"/>
      <c r="BLQ9" s="79"/>
      <c r="BLR9" s="79"/>
      <c r="BLS9" s="79"/>
      <c r="BLT9" s="79"/>
      <c r="BLU9" s="79"/>
      <c r="BLV9" s="78"/>
      <c r="BLW9" s="78"/>
      <c r="BLX9" s="79"/>
      <c r="BLY9" s="79"/>
      <c r="BLZ9" s="79"/>
      <c r="BMA9" s="79"/>
      <c r="BMB9" s="79"/>
      <c r="BMC9" s="78"/>
      <c r="BMD9" s="78"/>
      <c r="BME9" s="79"/>
      <c r="BMF9" s="79"/>
      <c r="BMG9" s="79"/>
      <c r="BMH9" s="79"/>
      <c r="BMI9" s="79"/>
      <c r="BMJ9" s="78"/>
      <c r="BMK9" s="78"/>
      <c r="BML9" s="79"/>
      <c r="BMM9" s="79"/>
      <c r="BMN9" s="79"/>
      <c r="BMO9" s="79"/>
      <c r="BMP9" s="79"/>
      <c r="BMQ9" s="78"/>
      <c r="BMR9" s="78"/>
      <c r="BMS9" s="79"/>
      <c r="BMT9" s="79"/>
      <c r="BMU9" s="79"/>
      <c r="BMV9" s="79"/>
      <c r="BMW9" s="79"/>
      <c r="BMX9" s="78"/>
      <c r="BMY9" s="78"/>
      <c r="BMZ9" s="79"/>
      <c r="BNA9" s="79"/>
      <c r="BNB9" s="79"/>
      <c r="BNC9" s="79"/>
      <c r="BND9" s="79"/>
      <c r="BNE9" s="78"/>
      <c r="BNF9" s="78"/>
      <c r="BNG9" s="79"/>
      <c r="BNH9" s="79"/>
      <c r="BNI9" s="79"/>
      <c r="BNJ9" s="79"/>
      <c r="BNK9" s="79"/>
      <c r="BNL9" s="78"/>
      <c r="BNM9" s="78"/>
      <c r="BNN9" s="79"/>
      <c r="BNO9" s="79"/>
      <c r="BNP9" s="79"/>
      <c r="BNQ9" s="79"/>
      <c r="BNR9" s="79"/>
      <c r="BNS9" s="78"/>
      <c r="BNT9" s="78"/>
      <c r="BNU9" s="79"/>
      <c r="BNV9" s="79"/>
      <c r="BNW9" s="79"/>
      <c r="BNX9" s="79"/>
      <c r="BNY9" s="79"/>
      <c r="BNZ9" s="78"/>
      <c r="BOA9" s="78"/>
      <c r="BOB9" s="79"/>
      <c r="BOC9" s="79"/>
      <c r="BOD9" s="79"/>
      <c r="BOE9" s="79"/>
      <c r="BOF9" s="79"/>
      <c r="BOG9" s="78"/>
      <c r="BOH9" s="78"/>
      <c r="BOI9" s="79"/>
      <c r="BOJ9" s="79"/>
      <c r="BOK9" s="79"/>
      <c r="BOL9" s="79"/>
      <c r="BOM9" s="79"/>
      <c r="BON9" s="78"/>
      <c r="BOO9" s="78"/>
      <c r="BOP9" s="79"/>
      <c r="BOQ9" s="79"/>
      <c r="BOR9" s="79"/>
      <c r="BOS9" s="79"/>
      <c r="BOT9" s="79"/>
      <c r="BOU9" s="78"/>
      <c r="BOV9" s="78"/>
      <c r="BOW9" s="79"/>
      <c r="BOX9" s="79"/>
      <c r="BOY9" s="79"/>
      <c r="BOZ9" s="79"/>
      <c r="BPA9" s="79"/>
      <c r="BPB9" s="78"/>
      <c r="BPC9" s="78"/>
      <c r="BPD9" s="79"/>
      <c r="BPE9" s="79"/>
      <c r="BPF9" s="79"/>
      <c r="BPG9" s="79"/>
      <c r="BPH9" s="79"/>
      <c r="BPI9" s="78"/>
      <c r="BPJ9" s="78"/>
      <c r="BPK9" s="79"/>
      <c r="BPL9" s="79"/>
      <c r="BPM9" s="79"/>
      <c r="BPN9" s="79"/>
      <c r="BPO9" s="79"/>
      <c r="BPP9" s="78"/>
      <c r="BPQ9" s="78"/>
      <c r="BPR9" s="79"/>
      <c r="BPS9" s="79"/>
      <c r="BPT9" s="79"/>
      <c r="BPU9" s="79"/>
      <c r="BPV9" s="79"/>
      <c r="BPW9" s="78"/>
      <c r="BPX9" s="78"/>
      <c r="BPY9" s="79"/>
      <c r="BPZ9" s="79"/>
      <c r="BQA9" s="79"/>
      <c r="BQB9" s="79"/>
      <c r="BQC9" s="79"/>
      <c r="BQD9" s="78"/>
      <c r="BQE9" s="78"/>
      <c r="BQF9" s="79"/>
      <c r="BQG9" s="79"/>
      <c r="BQH9" s="79"/>
      <c r="BQI9" s="79"/>
      <c r="BQJ9" s="79"/>
      <c r="BQK9" s="78"/>
      <c r="BQL9" s="78"/>
      <c r="BQM9" s="79"/>
      <c r="BQN9" s="79"/>
      <c r="BQO9" s="79"/>
      <c r="BQP9" s="79"/>
      <c r="BQQ9" s="79"/>
      <c r="BQR9" s="78"/>
      <c r="BQS9" s="78"/>
      <c r="BQT9" s="79"/>
      <c r="BQU9" s="79"/>
      <c r="BQV9" s="79"/>
      <c r="BQW9" s="79"/>
      <c r="BQX9" s="79"/>
      <c r="BQY9" s="78"/>
      <c r="BQZ9" s="78"/>
      <c r="BRA9" s="79"/>
      <c r="BRB9" s="79"/>
      <c r="BRC9" s="79"/>
      <c r="BRD9" s="79"/>
      <c r="BRE9" s="79"/>
      <c r="BRF9" s="78"/>
      <c r="BRG9" s="78"/>
      <c r="BRH9" s="79"/>
      <c r="BRI9" s="79"/>
      <c r="BRJ9" s="79"/>
      <c r="BRK9" s="79"/>
      <c r="BRL9" s="79"/>
      <c r="BRM9" s="78"/>
      <c r="BRN9" s="78"/>
      <c r="BRO9" s="79"/>
      <c r="BRP9" s="79"/>
      <c r="BRQ9" s="79"/>
      <c r="BRR9" s="79"/>
      <c r="BRS9" s="79"/>
      <c r="BRT9" s="78"/>
      <c r="BRU9" s="78"/>
      <c r="BRV9" s="79"/>
      <c r="BRW9" s="79"/>
      <c r="BRX9" s="79"/>
      <c r="BRY9" s="79"/>
      <c r="BRZ9" s="79"/>
      <c r="BSA9" s="78"/>
      <c r="BSB9" s="78"/>
      <c r="BSC9" s="79"/>
      <c r="BSD9" s="79"/>
      <c r="BSE9" s="79"/>
      <c r="BSF9" s="79"/>
      <c r="BSG9" s="79"/>
      <c r="BSH9" s="78"/>
      <c r="BSI9" s="78"/>
      <c r="BSJ9" s="79"/>
      <c r="BSK9" s="79"/>
      <c r="BSL9" s="79"/>
      <c r="BSM9" s="79"/>
      <c r="BSN9" s="79"/>
      <c r="BSO9" s="78"/>
      <c r="BSP9" s="78"/>
      <c r="BSQ9" s="79"/>
      <c r="BSR9" s="79"/>
      <c r="BSS9" s="79"/>
      <c r="BST9" s="79"/>
      <c r="BSU9" s="79"/>
      <c r="BSV9" s="78"/>
      <c r="BSW9" s="78"/>
      <c r="BSX9" s="79"/>
      <c r="BSY9" s="79"/>
      <c r="BSZ9" s="79"/>
      <c r="BTA9" s="79"/>
      <c r="BTB9" s="79"/>
      <c r="BTC9" s="78"/>
      <c r="BTD9" s="78"/>
      <c r="BTE9" s="79"/>
      <c r="BTF9" s="79"/>
      <c r="BTG9" s="79"/>
      <c r="BTH9" s="79"/>
      <c r="BTI9" s="79"/>
      <c r="BTJ9" s="78"/>
      <c r="BTK9" s="78"/>
      <c r="BTL9" s="79"/>
      <c r="BTM9" s="79"/>
      <c r="BTN9" s="79"/>
      <c r="BTO9" s="79"/>
      <c r="BTP9" s="79"/>
      <c r="BTQ9" s="78"/>
      <c r="BTR9" s="78"/>
      <c r="BTS9" s="79"/>
      <c r="BTT9" s="79"/>
      <c r="BTU9" s="79"/>
      <c r="BTV9" s="79"/>
      <c r="BTW9" s="79"/>
      <c r="BTX9" s="78"/>
      <c r="BTY9" s="78"/>
      <c r="BTZ9" s="79"/>
      <c r="BUA9" s="79"/>
      <c r="BUB9" s="79"/>
      <c r="BUC9" s="79"/>
      <c r="BUD9" s="79"/>
      <c r="BUE9" s="78"/>
      <c r="BUF9" s="78"/>
      <c r="BUG9" s="79"/>
      <c r="BUH9" s="79"/>
      <c r="BUI9" s="79"/>
      <c r="BUJ9" s="79"/>
      <c r="BUK9" s="79"/>
      <c r="BUL9" s="78"/>
      <c r="BUM9" s="78"/>
      <c r="BUN9" s="79"/>
      <c r="BUO9" s="79"/>
      <c r="BUP9" s="79"/>
      <c r="BUQ9" s="79"/>
      <c r="BUR9" s="79"/>
      <c r="BUS9" s="78"/>
      <c r="BUT9" s="78"/>
      <c r="BUU9" s="79"/>
      <c r="BUV9" s="79"/>
      <c r="BUW9" s="79"/>
      <c r="BUX9" s="79"/>
      <c r="BUY9" s="79"/>
      <c r="BUZ9" s="78"/>
      <c r="BVA9" s="78"/>
      <c r="BVB9" s="79"/>
      <c r="BVC9" s="79"/>
      <c r="BVD9" s="79"/>
      <c r="BVE9" s="79"/>
      <c r="BVF9" s="79"/>
      <c r="BVG9" s="78"/>
      <c r="BVH9" s="78"/>
      <c r="BVI9" s="79"/>
      <c r="BVJ9" s="79"/>
      <c r="BVK9" s="79"/>
      <c r="BVL9" s="79"/>
      <c r="BVM9" s="79"/>
      <c r="BVN9" s="78"/>
      <c r="BVO9" s="78"/>
      <c r="BVP9" s="79"/>
      <c r="BVQ9" s="79"/>
      <c r="BVR9" s="79"/>
      <c r="BVS9" s="79"/>
      <c r="BVT9" s="79"/>
      <c r="BVU9" s="78"/>
      <c r="BVV9" s="78"/>
      <c r="BVW9" s="79"/>
      <c r="BVX9" s="79"/>
      <c r="BVY9" s="79"/>
      <c r="BVZ9" s="79"/>
      <c r="BWA9" s="79"/>
      <c r="BWB9" s="78"/>
      <c r="BWC9" s="78"/>
      <c r="BWD9" s="79"/>
      <c r="BWE9" s="79"/>
      <c r="BWF9" s="79"/>
      <c r="BWG9" s="79"/>
      <c r="BWH9" s="79"/>
      <c r="BWI9" s="78"/>
      <c r="BWJ9" s="78"/>
      <c r="BWK9" s="79"/>
      <c r="BWL9" s="79"/>
      <c r="BWM9" s="79"/>
      <c r="BWN9" s="79"/>
      <c r="BWO9" s="79"/>
      <c r="BWP9" s="78"/>
      <c r="BWQ9" s="78"/>
      <c r="BWR9" s="79"/>
      <c r="BWS9" s="79"/>
      <c r="BWT9" s="79"/>
      <c r="BWU9" s="79"/>
      <c r="BWV9" s="79"/>
      <c r="BWW9" s="78"/>
      <c r="BWX9" s="78"/>
      <c r="BWY9" s="79"/>
      <c r="BWZ9" s="79"/>
      <c r="BXA9" s="79"/>
      <c r="BXB9" s="79"/>
      <c r="BXC9" s="79"/>
      <c r="BXD9" s="78"/>
      <c r="BXE9" s="78"/>
      <c r="BXF9" s="79"/>
      <c r="BXG9" s="79"/>
      <c r="BXH9" s="79"/>
      <c r="BXI9" s="79"/>
      <c r="BXJ9" s="79"/>
      <c r="BXK9" s="78"/>
      <c r="BXL9" s="78"/>
      <c r="BXM9" s="79"/>
      <c r="BXN9" s="79"/>
      <c r="BXO9" s="79"/>
      <c r="BXP9" s="79"/>
      <c r="BXQ9" s="79"/>
      <c r="BXR9" s="78"/>
      <c r="BXS9" s="78"/>
      <c r="BXT9" s="79"/>
      <c r="BXU9" s="79"/>
      <c r="BXV9" s="79"/>
      <c r="BXW9" s="79"/>
      <c r="BXX9" s="79"/>
      <c r="BXY9" s="78"/>
      <c r="BXZ9" s="78"/>
      <c r="BYA9" s="79"/>
      <c r="BYB9" s="79"/>
      <c r="BYC9" s="79"/>
      <c r="BYD9" s="79"/>
      <c r="BYE9" s="79"/>
      <c r="BYF9" s="78"/>
      <c r="BYG9" s="78"/>
      <c r="BYH9" s="79"/>
      <c r="BYI9" s="79"/>
      <c r="BYJ9" s="79"/>
      <c r="BYK9" s="79"/>
      <c r="BYL9" s="79"/>
      <c r="BYM9" s="78"/>
      <c r="BYN9" s="78"/>
      <c r="BYO9" s="79"/>
      <c r="BYP9" s="79"/>
      <c r="BYQ9" s="79"/>
      <c r="BYR9" s="79"/>
      <c r="BYS9" s="79"/>
      <c r="BYT9" s="78"/>
      <c r="BYU9" s="78"/>
      <c r="BYV9" s="79"/>
      <c r="BYW9" s="79"/>
      <c r="BYX9" s="79"/>
      <c r="BYY9" s="79"/>
      <c r="BYZ9" s="79"/>
      <c r="BZA9" s="78"/>
      <c r="BZB9" s="78"/>
      <c r="BZC9" s="79"/>
      <c r="BZD9" s="79"/>
      <c r="BZE9" s="79"/>
      <c r="BZF9" s="79"/>
      <c r="BZG9" s="79"/>
      <c r="BZH9" s="78"/>
      <c r="BZI9" s="78"/>
      <c r="BZJ9" s="79"/>
      <c r="BZK9" s="79"/>
      <c r="BZL9" s="79"/>
      <c r="BZM9" s="79"/>
      <c r="BZN9" s="79"/>
      <c r="BZO9" s="78"/>
      <c r="BZP9" s="78"/>
      <c r="BZQ9" s="79"/>
      <c r="BZR9" s="79"/>
      <c r="BZS9" s="79"/>
      <c r="BZT9" s="79"/>
      <c r="BZU9" s="79"/>
      <c r="BZV9" s="78"/>
      <c r="BZW9" s="78"/>
      <c r="BZX9" s="79"/>
      <c r="BZY9" s="79"/>
      <c r="BZZ9" s="79"/>
      <c r="CAA9" s="79"/>
      <c r="CAB9" s="79"/>
      <c r="CAC9" s="78"/>
      <c r="CAD9" s="78"/>
      <c r="CAE9" s="79"/>
      <c r="CAF9" s="79"/>
      <c r="CAG9" s="79"/>
      <c r="CAH9" s="79"/>
      <c r="CAI9" s="79"/>
      <c r="CAJ9" s="78"/>
      <c r="CAK9" s="78"/>
      <c r="CAL9" s="79"/>
      <c r="CAM9" s="79"/>
      <c r="CAN9" s="79"/>
      <c r="CAO9" s="79"/>
      <c r="CAP9" s="79"/>
      <c r="CAQ9" s="78"/>
      <c r="CAR9" s="78"/>
      <c r="CAS9" s="79"/>
      <c r="CAT9" s="79"/>
      <c r="CAU9" s="79"/>
      <c r="CAV9" s="79"/>
      <c r="CAW9" s="79"/>
      <c r="CAX9" s="78"/>
      <c r="CAY9" s="78"/>
      <c r="CAZ9" s="79"/>
      <c r="CBA9" s="79"/>
      <c r="CBB9" s="79"/>
      <c r="CBC9" s="79"/>
      <c r="CBD9" s="79"/>
      <c r="CBE9" s="78"/>
      <c r="CBF9" s="78"/>
      <c r="CBG9" s="79"/>
      <c r="CBH9" s="79"/>
      <c r="CBI9" s="79"/>
      <c r="CBJ9" s="79"/>
      <c r="CBK9" s="79"/>
      <c r="CBL9" s="78"/>
      <c r="CBM9" s="78"/>
      <c r="CBN9" s="79"/>
      <c r="CBO9" s="79"/>
      <c r="CBP9" s="79"/>
      <c r="CBQ9" s="79"/>
      <c r="CBR9" s="79"/>
      <c r="CBS9" s="78"/>
      <c r="CBT9" s="78"/>
      <c r="CBU9" s="79"/>
      <c r="CBV9" s="79"/>
      <c r="CBW9" s="79"/>
      <c r="CBX9" s="79"/>
      <c r="CBY9" s="79"/>
      <c r="CBZ9" s="78"/>
      <c r="CCA9" s="78"/>
      <c r="CCB9" s="79"/>
      <c r="CCC9" s="79"/>
      <c r="CCD9" s="79"/>
      <c r="CCE9" s="79"/>
      <c r="CCF9" s="79"/>
      <c r="CCG9" s="78"/>
      <c r="CCH9" s="78"/>
      <c r="CCI9" s="79"/>
      <c r="CCJ9" s="79"/>
      <c r="CCK9" s="79"/>
      <c r="CCL9" s="79"/>
      <c r="CCM9" s="79"/>
      <c r="CCN9" s="78"/>
      <c r="CCO9" s="78"/>
      <c r="CCP9" s="79"/>
      <c r="CCQ9" s="79"/>
      <c r="CCR9" s="79"/>
      <c r="CCS9" s="79"/>
      <c r="CCT9" s="79"/>
      <c r="CCU9" s="78"/>
      <c r="CCV9" s="78"/>
      <c r="VST9" s="52"/>
      <c r="VTB9" s="52"/>
    </row>
    <row r="10" spans="1:2129 15008:15070 15386:15394" customFormat="1" ht="16.149999999999999" customHeight="1" x14ac:dyDescent="0.25">
      <c r="A10" t="s">
        <v>61</v>
      </c>
      <c r="B10">
        <v>1</v>
      </c>
      <c r="G10" s="59">
        <v>1</v>
      </c>
      <c r="H10" s="74" t="s">
        <v>60</v>
      </c>
      <c r="I10" s="74"/>
      <c r="J10" s="187"/>
      <c r="K10" s="73"/>
      <c r="L10" s="72"/>
      <c r="M10" s="71"/>
      <c r="N10" s="72">
        <v>42393</v>
      </c>
      <c r="O10" s="72">
        <v>42394</v>
      </c>
      <c r="P10" s="71">
        <v>1</v>
      </c>
      <c r="Q10" s="176">
        <v>0</v>
      </c>
      <c r="R10" s="72"/>
      <c r="S10" s="72"/>
      <c r="T10" s="71"/>
      <c r="U10" s="185"/>
      <c r="V10" s="185"/>
      <c r="W10" s="185"/>
      <c r="X10" s="65"/>
      <c r="Y10" s="142"/>
      <c r="Z10" s="143"/>
      <c r="AA10" s="144"/>
      <c r="AB10" s="145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MV10" s="76"/>
      <c r="VST10" s="52"/>
      <c r="VTB10" s="52"/>
    </row>
    <row r="11" spans="1:2129 15008:15070 15386:15394" ht="16.149999999999999" customHeight="1" x14ac:dyDescent="0.25">
      <c r="A11"/>
      <c r="B11"/>
      <c r="C11"/>
      <c r="D11"/>
      <c r="E11"/>
      <c r="F11"/>
      <c r="H11" s="75" t="s">
        <v>59</v>
      </c>
      <c r="I11" s="74"/>
      <c r="J11" s="187"/>
      <c r="K11" s="73"/>
      <c r="L11" s="72"/>
      <c r="M11" s="71"/>
      <c r="N11" s="72"/>
      <c r="O11" s="72"/>
      <c r="P11" s="71"/>
      <c r="Q11" s="176"/>
      <c r="R11" s="72"/>
      <c r="S11" s="72"/>
      <c r="T11" s="71"/>
      <c r="U11" s="185"/>
      <c r="V11" s="185"/>
      <c r="W11" s="185"/>
      <c r="X11" s="65"/>
      <c r="Y11" s="65"/>
      <c r="Z11" s="65"/>
      <c r="AA11" s="65"/>
      <c r="AB11" s="65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</row>
    <row r="12" spans="1:2129 15008:15070 15386:15394" ht="16.149999999999999" customHeight="1" x14ac:dyDescent="0.25">
      <c r="A12"/>
      <c r="B12"/>
      <c r="C12"/>
      <c r="D12"/>
      <c r="E12"/>
      <c r="F12"/>
      <c r="H12" s="74"/>
      <c r="I12" s="74"/>
      <c r="J12" s="187"/>
      <c r="K12" s="73"/>
      <c r="L12" s="72"/>
      <c r="M12" s="71"/>
      <c r="N12" s="72"/>
      <c r="O12" s="72"/>
      <c r="P12" s="71"/>
      <c r="Q12" s="177"/>
      <c r="R12" s="72"/>
      <c r="S12" s="72"/>
      <c r="T12" s="71"/>
      <c r="U12" s="185"/>
      <c r="V12" s="185"/>
      <c r="W12" s="185"/>
      <c r="X12" s="65"/>
      <c r="Y12" s="65"/>
      <c r="Z12" s="65"/>
      <c r="AA12" s="65"/>
      <c r="AB12" s="65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</row>
    <row r="13" spans="1:2129 15008:15070 15386:15394" ht="16.149999999999999" customHeight="1" x14ac:dyDescent="0.25">
      <c r="A13"/>
      <c r="B13"/>
      <c r="C13"/>
      <c r="D13"/>
      <c r="E13"/>
      <c r="F13"/>
      <c r="H13" s="74"/>
      <c r="I13" s="74"/>
      <c r="J13" s="187"/>
      <c r="K13" s="73"/>
      <c r="L13" s="72"/>
      <c r="M13" s="71"/>
      <c r="N13" s="72"/>
      <c r="O13" s="72"/>
      <c r="P13" s="71"/>
      <c r="Q13" s="176"/>
      <c r="R13" s="72"/>
      <c r="S13" s="72"/>
      <c r="T13" s="71"/>
      <c r="U13" s="185"/>
      <c r="V13" s="185"/>
      <c r="W13" s="185"/>
      <c r="X13" s="65"/>
      <c r="Y13" s="65"/>
      <c r="Z13" s="65"/>
      <c r="AA13" s="65"/>
      <c r="AB13" s="65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</row>
    <row r="14" spans="1:2129 15008:15070 15386:15394" ht="16.149999999999999" customHeight="1" x14ac:dyDescent="0.2">
      <c r="A14" s="70"/>
      <c r="B14" s="70"/>
      <c r="C14" s="70"/>
      <c r="D14" s="70"/>
      <c r="E14" s="70"/>
      <c r="F14" s="70"/>
      <c r="H14" s="62"/>
      <c r="I14" s="69"/>
      <c r="J14" s="188"/>
      <c r="K14" s="68"/>
      <c r="L14" s="67"/>
      <c r="M14" s="66"/>
      <c r="N14" s="169"/>
      <c r="O14" s="169"/>
      <c r="P14" s="71"/>
      <c r="Q14" s="176"/>
      <c r="R14" s="67"/>
      <c r="S14" s="67"/>
      <c r="T14" s="66"/>
      <c r="U14" s="185"/>
      <c r="V14" s="185"/>
      <c r="W14" s="185"/>
      <c r="X14" s="65"/>
      <c r="Y14" s="65"/>
      <c r="Z14" s="65"/>
      <c r="AA14" s="65"/>
      <c r="AB14" s="65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</row>
    <row r="15" spans="1:2129 15008:15070 15386:15394" ht="16.149999999999999" customHeight="1" x14ac:dyDescent="0.2">
      <c r="H15" s="62"/>
    </row>
    <row r="16" spans="1:2129 15008:15070 15386:15394" ht="16.149999999999999" customHeight="1" x14ac:dyDescent="0.2">
      <c r="H16" s="62"/>
      <c r="AE16" s="63"/>
    </row>
    <row r="17" spans="1:85" ht="16.149999999999999" customHeight="1" x14ac:dyDescent="0.2">
      <c r="H17" s="62"/>
    </row>
    <row r="18" spans="1:85" s="60" customFormat="1" ht="16.149999999999999" customHeight="1" x14ac:dyDescent="0.2">
      <c r="A18" s="52"/>
      <c r="B18" s="52"/>
      <c r="C18" s="52"/>
      <c r="D18" s="52"/>
      <c r="E18" s="52"/>
      <c r="F18" s="52"/>
      <c r="G18" s="59"/>
      <c r="H18" s="62"/>
      <c r="I18" s="58"/>
      <c r="J18" s="189"/>
      <c r="K18" s="57"/>
      <c r="L18" s="57"/>
      <c r="M18" s="56"/>
      <c r="N18" s="170"/>
      <c r="O18" s="170"/>
      <c r="P18" s="183"/>
      <c r="Q18" s="178"/>
      <c r="R18" s="57"/>
      <c r="S18" s="57"/>
      <c r="T18" s="56"/>
      <c r="U18" s="186"/>
      <c r="V18" s="186"/>
      <c r="W18" s="186"/>
      <c r="X18" s="55"/>
      <c r="Y18" s="55"/>
      <c r="Z18" s="55"/>
      <c r="AA18" s="55"/>
      <c r="AB18" s="55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3"/>
    </row>
    <row r="19" spans="1:85" s="60" customFormat="1" ht="16.149999999999999" customHeight="1" x14ac:dyDescent="0.2">
      <c r="A19" s="52"/>
      <c r="B19" s="52"/>
      <c r="C19" s="52"/>
      <c r="D19" s="52"/>
      <c r="E19" s="52"/>
      <c r="F19" s="52"/>
      <c r="G19" s="59"/>
      <c r="H19" s="62"/>
      <c r="I19" s="58"/>
      <c r="J19" s="189"/>
      <c r="K19" s="57"/>
      <c r="L19" s="57"/>
      <c r="M19" s="56"/>
      <c r="N19" s="170"/>
      <c r="O19" s="170"/>
      <c r="P19" s="183"/>
      <c r="Q19" s="178"/>
      <c r="R19" s="57"/>
      <c r="S19" s="57"/>
      <c r="T19" s="56"/>
      <c r="U19" s="186"/>
      <c r="V19" s="186"/>
      <c r="W19" s="186"/>
      <c r="X19" s="55"/>
      <c r="Y19" s="55"/>
      <c r="Z19" s="55"/>
      <c r="AA19" s="55"/>
      <c r="AB19" s="55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3"/>
    </row>
    <row r="20" spans="1:85" s="60" customFormat="1" ht="16.149999999999999" customHeight="1" x14ac:dyDescent="0.2">
      <c r="A20" s="52"/>
      <c r="B20" s="52"/>
      <c r="C20" s="52"/>
      <c r="D20" s="52"/>
      <c r="E20" s="52"/>
      <c r="F20" s="52"/>
      <c r="G20" s="59"/>
      <c r="H20" s="62"/>
      <c r="I20" s="58"/>
      <c r="J20" s="189"/>
      <c r="K20" s="57"/>
      <c r="L20" s="57"/>
      <c r="M20" s="56"/>
      <c r="N20" s="170"/>
      <c r="O20" s="170"/>
      <c r="P20" s="183"/>
      <c r="Q20" s="178"/>
      <c r="R20" s="57"/>
      <c r="S20" s="57"/>
      <c r="T20" s="56"/>
      <c r="U20" s="186"/>
      <c r="V20" s="186"/>
      <c r="W20" s="186"/>
      <c r="X20" s="55"/>
      <c r="Y20" s="55"/>
      <c r="Z20" s="55"/>
      <c r="AA20" s="55"/>
      <c r="AB20" s="55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3"/>
    </row>
    <row r="21" spans="1:85" s="60" customFormat="1" ht="16.149999999999999" customHeight="1" x14ac:dyDescent="0.2">
      <c r="A21" s="52"/>
      <c r="B21" s="52"/>
      <c r="C21" s="52"/>
      <c r="D21" s="52"/>
      <c r="E21" s="52"/>
      <c r="F21" s="52"/>
      <c r="G21" s="59"/>
      <c r="H21" s="62"/>
      <c r="I21" s="58"/>
      <c r="J21" s="189"/>
      <c r="K21" s="57"/>
      <c r="L21" s="57"/>
      <c r="M21" s="56"/>
      <c r="N21" s="170"/>
      <c r="O21" s="170"/>
      <c r="P21" s="183"/>
      <c r="Q21" s="178"/>
      <c r="R21" s="57"/>
      <c r="S21" s="57"/>
      <c r="T21" s="56"/>
      <c r="U21" s="186"/>
      <c r="V21" s="186"/>
      <c r="W21" s="186"/>
      <c r="X21" s="55"/>
      <c r="Y21" s="55"/>
      <c r="Z21" s="55"/>
      <c r="AA21" s="55"/>
      <c r="AB21" s="55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3"/>
    </row>
    <row r="22" spans="1:85" s="60" customFormat="1" ht="16.149999999999999" customHeight="1" x14ac:dyDescent="0.2">
      <c r="A22" s="52"/>
      <c r="B22" s="52"/>
      <c r="C22" s="52"/>
      <c r="D22" s="52"/>
      <c r="E22" s="52"/>
      <c r="F22" s="52"/>
      <c r="G22" s="59"/>
      <c r="H22" s="62"/>
      <c r="I22" s="58"/>
      <c r="J22" s="189"/>
      <c r="K22" s="57"/>
      <c r="L22" s="57"/>
      <c r="M22" s="56"/>
      <c r="N22" s="170"/>
      <c r="O22" s="170"/>
      <c r="P22" s="183"/>
      <c r="Q22" s="178"/>
      <c r="R22" s="57"/>
      <c r="S22" s="57"/>
      <c r="T22" s="56"/>
      <c r="U22" s="186"/>
      <c r="V22" s="186"/>
      <c r="W22" s="186"/>
      <c r="X22" s="55"/>
      <c r="Y22" s="55"/>
      <c r="Z22" s="55"/>
      <c r="AA22" s="55"/>
      <c r="AB22" s="55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3"/>
    </row>
    <row r="23" spans="1:85" s="60" customFormat="1" ht="16.149999999999999" customHeight="1" x14ac:dyDescent="0.2">
      <c r="A23" s="52"/>
      <c r="B23" s="52"/>
      <c r="C23" s="52"/>
      <c r="D23" s="52"/>
      <c r="E23" s="52"/>
      <c r="F23" s="52"/>
      <c r="G23" s="59"/>
      <c r="H23" s="62"/>
      <c r="I23" s="58"/>
      <c r="J23" s="189"/>
      <c r="K23" s="57"/>
      <c r="L23" s="57"/>
      <c r="M23" s="56"/>
      <c r="N23" s="170"/>
      <c r="O23" s="170"/>
      <c r="P23" s="183"/>
      <c r="Q23" s="178"/>
      <c r="R23" s="57"/>
      <c r="S23" s="57"/>
      <c r="T23" s="56"/>
      <c r="U23" s="186"/>
      <c r="V23" s="186"/>
      <c r="W23" s="186"/>
      <c r="X23" s="55"/>
      <c r="Y23" s="55"/>
      <c r="Z23" s="55"/>
      <c r="AA23" s="55"/>
      <c r="AB23" s="55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3"/>
    </row>
    <row r="24" spans="1:85" s="60" customFormat="1" ht="16.149999999999999" customHeight="1" x14ac:dyDescent="0.2">
      <c r="A24" s="52"/>
      <c r="B24" s="52"/>
      <c r="C24" s="52"/>
      <c r="D24" s="52"/>
      <c r="E24" s="52"/>
      <c r="F24" s="52"/>
      <c r="G24" s="59"/>
      <c r="H24" s="62"/>
      <c r="I24" s="58"/>
      <c r="J24" s="189"/>
      <c r="K24" s="57"/>
      <c r="L24" s="57"/>
      <c r="M24" s="56"/>
      <c r="N24" s="170"/>
      <c r="O24" s="170"/>
      <c r="P24" s="183"/>
      <c r="Q24" s="178"/>
      <c r="R24" s="57"/>
      <c r="S24" s="57"/>
      <c r="T24" s="56"/>
      <c r="U24" s="186"/>
      <c r="V24" s="186"/>
      <c r="W24" s="186"/>
      <c r="X24" s="55"/>
      <c r="Y24" s="55"/>
      <c r="Z24" s="55"/>
      <c r="AA24" s="55"/>
      <c r="AB24" s="55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3"/>
    </row>
    <row r="25" spans="1:85" ht="16.149999999999999" customHeight="1" x14ac:dyDescent="0.2">
      <c r="H25" s="61"/>
    </row>
    <row r="28" spans="1:85" ht="16.149999999999999" customHeight="1" x14ac:dyDescent="0.2">
      <c r="A28" s="60"/>
      <c r="B28" s="60"/>
      <c r="C28" s="60"/>
      <c r="D28" s="60"/>
      <c r="E28" s="60"/>
      <c r="F28" s="60"/>
    </row>
    <row r="29" spans="1:85" ht="16.149999999999999" customHeight="1" x14ac:dyDescent="0.2">
      <c r="A29" s="60"/>
      <c r="B29" s="60"/>
      <c r="C29" s="60"/>
      <c r="D29" s="60"/>
      <c r="E29" s="60"/>
      <c r="F29" s="60"/>
    </row>
    <row r="30" spans="1:85" ht="16.149999999999999" customHeight="1" x14ac:dyDescent="0.2">
      <c r="A30" s="60"/>
      <c r="B30" s="60"/>
      <c r="C30" s="60"/>
      <c r="D30" s="60"/>
      <c r="E30" s="60"/>
      <c r="F30" s="60"/>
    </row>
    <row r="31" spans="1:85" ht="16.149999999999999" customHeight="1" x14ac:dyDescent="0.2">
      <c r="A31" s="60"/>
      <c r="B31" s="60"/>
      <c r="C31" s="60"/>
      <c r="D31" s="60"/>
      <c r="E31" s="60"/>
      <c r="F31" s="60"/>
    </row>
    <row r="32" spans="1:85" ht="16.149999999999999" customHeight="1" x14ac:dyDescent="0.2">
      <c r="A32" s="60"/>
      <c r="B32" s="60"/>
      <c r="C32" s="60"/>
      <c r="D32" s="60"/>
      <c r="E32" s="60"/>
      <c r="F32" s="60"/>
    </row>
    <row r="33" spans="1:6" ht="16.149999999999999" customHeight="1" x14ac:dyDescent="0.2">
      <c r="A33" s="60"/>
      <c r="B33" s="60"/>
      <c r="C33" s="60"/>
      <c r="D33" s="60"/>
      <c r="E33" s="60"/>
      <c r="F33" s="60"/>
    </row>
    <row r="34" spans="1:6" ht="16.149999999999999" customHeight="1" x14ac:dyDescent="0.2">
      <c r="A34" s="60"/>
      <c r="B34" s="60"/>
      <c r="C34" s="60"/>
      <c r="D34" s="60"/>
      <c r="E34" s="60"/>
      <c r="F34" s="60"/>
    </row>
  </sheetData>
  <sheetProtection algorithmName="SHA-512" hashValue="srTc8cBYMt/UCyeHfrQG289ZzydkFEbFo8yOGzX+uWCIaOuKvw+SiGSU7KtsSKEji5pfAYg1jSlFTZd/30jqkQ==" saltValue="KS07NgnbpnNboNx+z9aZVw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28575</xdr:colOff>
                    <xdr:row>5</xdr:row>
                    <xdr:rowOff>28575</xdr:rowOff>
                  </from>
                  <to>
                    <xdr:col>32</xdr:col>
                    <xdr:colOff>28575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8821-0872-4CEA-9FFA-669FC903123C}">
  <sheetPr codeName="Sheet5">
    <outlinePr summaryBelow="0"/>
    <pageSetUpPr fitToPage="1"/>
  </sheetPr>
  <dimension ref="A1:VTB42"/>
  <sheetViews>
    <sheetView showGridLines="0" showRowColHeaders="0" tabSelected="1" topLeftCell="G6" zoomScaleNormal="100" workbookViewId="0">
      <selection activeCell="AI19" sqref="AI19"/>
    </sheetView>
  </sheetViews>
  <sheetFormatPr baseColWidth="10" defaultColWidth="0" defaultRowHeight="16.149999999999999" customHeight="1" x14ac:dyDescent="0.2"/>
  <cols>
    <col min="1" max="1" width="5.28515625" style="52" hidden="1" customWidth="1"/>
    <col min="2" max="2" width="3.140625" style="52" hidden="1" customWidth="1"/>
    <col min="3" max="3" width="11.28515625" style="52" hidden="1" customWidth="1"/>
    <col min="4" max="4" width="11" style="52" hidden="1" customWidth="1"/>
    <col min="5" max="5" width="13" style="52" hidden="1" customWidth="1"/>
    <col min="6" max="6" width="12.28515625" style="52" hidden="1" customWidth="1"/>
    <col min="7" max="7" width="4.42578125" style="208" bestFit="1" customWidth="1"/>
    <col min="8" max="8" width="40.28515625" style="58" customWidth="1"/>
    <col min="9" max="9" width="17.28515625" style="58" customWidth="1"/>
    <col min="10" max="10" width="10.85546875" style="189" hidden="1" customWidth="1"/>
    <col min="11" max="12" width="14.7109375" style="57" hidden="1" customWidth="1"/>
    <col min="13" max="13" width="10.28515625" style="56" hidden="1" customWidth="1"/>
    <col min="14" max="15" width="14.7109375" style="170" customWidth="1"/>
    <col min="16" max="16" width="8.85546875" style="183" customWidth="1"/>
    <col min="17" max="17" width="8.7109375" style="178" customWidth="1"/>
    <col min="18" max="19" width="14.7109375" style="57" hidden="1" customWidth="1"/>
    <col min="20" max="20" width="8.7109375" style="56" hidden="1" customWidth="1"/>
    <col min="21" max="23" width="7" style="186" hidden="1" customWidth="1"/>
    <col min="24" max="24" width="14.28515625" style="55" hidden="1" customWidth="1"/>
    <col min="25" max="25" width="7.28515625" style="55" hidden="1" customWidth="1"/>
    <col min="26" max="26" width="6.28515625" style="55" hidden="1" customWidth="1"/>
    <col min="27" max="27" width="6.85546875" style="55" hidden="1" customWidth="1"/>
    <col min="28" max="28" width="6" style="55" hidden="1" customWidth="1"/>
    <col min="29" max="29" width="3.85546875" style="54" bestFit="1" customWidth="1"/>
    <col min="30" max="30" width="3.140625" style="54" bestFit="1" customWidth="1"/>
    <col min="31" max="31" width="3.42578125" style="54" bestFit="1" customWidth="1"/>
    <col min="32" max="32" width="3.5703125" style="54" bestFit="1" customWidth="1"/>
    <col min="33" max="33" width="2.85546875" style="54" bestFit="1" customWidth="1"/>
    <col min="34" max="35" width="3.28515625" style="54" bestFit="1" customWidth="1"/>
    <col min="36" max="36" width="3.85546875" style="54" bestFit="1" customWidth="1"/>
    <col min="37" max="37" width="3.140625" style="54" bestFit="1" customWidth="1"/>
    <col min="38" max="38" width="3.42578125" style="54" bestFit="1" customWidth="1"/>
    <col min="39" max="39" width="3.5703125" style="54" bestFit="1" customWidth="1"/>
    <col min="40" max="40" width="2.85546875" style="54" bestFit="1" customWidth="1"/>
    <col min="41" max="42" width="3.28515625" style="54" bestFit="1" customWidth="1"/>
    <col min="43" max="43" width="3.85546875" style="54" bestFit="1" customWidth="1"/>
    <col min="44" max="44" width="3.140625" style="54" bestFit="1" customWidth="1"/>
    <col min="45" max="45" width="3.42578125" style="54" bestFit="1" customWidth="1"/>
    <col min="46" max="46" width="3.5703125" style="54" bestFit="1" customWidth="1"/>
    <col min="47" max="47" width="2.85546875" style="54" bestFit="1" customWidth="1"/>
    <col min="48" max="49" width="3.28515625" style="54" bestFit="1" customWidth="1"/>
    <col min="50" max="50" width="3.85546875" style="54" bestFit="1" customWidth="1"/>
    <col min="51" max="51" width="3.140625" style="54" bestFit="1" customWidth="1"/>
    <col min="52" max="52" width="3.42578125" style="54" bestFit="1" customWidth="1"/>
    <col min="53" max="53" width="3.5703125" style="54" bestFit="1" customWidth="1"/>
    <col min="54" max="54" width="2.85546875" style="54" bestFit="1" customWidth="1"/>
    <col min="55" max="56" width="3.28515625" style="54" bestFit="1" customWidth="1"/>
    <col min="57" max="57" width="3.85546875" style="54" bestFit="1" customWidth="1"/>
    <col min="58" max="58" width="3.140625" style="54" bestFit="1" customWidth="1"/>
    <col min="59" max="59" width="3.42578125" style="54" bestFit="1" customWidth="1"/>
    <col min="60" max="60" width="3.5703125" style="54" bestFit="1" customWidth="1"/>
    <col min="61" max="61" width="2.85546875" style="54" bestFit="1" customWidth="1"/>
    <col min="62" max="63" width="3.28515625" style="54" bestFit="1" customWidth="1"/>
    <col min="64" max="64" width="3.85546875" style="54" bestFit="1" customWidth="1"/>
    <col min="65" max="65" width="3.140625" style="54" bestFit="1" customWidth="1"/>
    <col min="66" max="66" width="3.42578125" style="54" bestFit="1" customWidth="1"/>
    <col min="67" max="67" width="3.5703125" style="54" bestFit="1" customWidth="1"/>
    <col min="68" max="68" width="2.85546875" style="54" bestFit="1" customWidth="1"/>
    <col min="69" max="70" width="3.28515625" style="54" bestFit="1" customWidth="1"/>
    <col min="71" max="71" width="3.85546875" style="54" bestFit="1" customWidth="1"/>
    <col min="72" max="72" width="3.140625" style="54" bestFit="1" customWidth="1"/>
    <col min="73" max="73" width="3.42578125" style="54" bestFit="1" customWidth="1"/>
    <col min="74" max="74" width="3.5703125" style="54" bestFit="1" customWidth="1"/>
    <col min="75" max="75" width="2.85546875" style="54" bestFit="1" customWidth="1"/>
    <col min="76" max="77" width="3.28515625" style="54" bestFit="1" customWidth="1"/>
    <col min="78" max="78" width="3.85546875" style="54" bestFit="1" customWidth="1"/>
    <col min="79" max="79" width="3.140625" style="54" bestFit="1" customWidth="1"/>
    <col min="80" max="80" width="3.42578125" style="54" bestFit="1" customWidth="1"/>
    <col min="81" max="81" width="3.5703125" style="54" bestFit="1" customWidth="1"/>
    <col min="82" max="82" width="2.85546875" style="54" bestFit="1" customWidth="1"/>
    <col min="83" max="84" width="3.28515625" style="54" bestFit="1" customWidth="1"/>
    <col min="85" max="85" width="9" style="53" hidden="1" customWidth="1"/>
    <col min="86" max="16384" width="9" style="52" hidden="1"/>
  </cols>
  <sheetData>
    <row r="1" spans="1:2129 15008:15070 15386:15394" ht="15" hidden="1" x14ac:dyDescent="0.25">
      <c r="A1" s="52" t="s">
        <v>27</v>
      </c>
      <c r="B1" s="52" t="s">
        <v>86</v>
      </c>
      <c r="C1" t="s">
        <v>85</v>
      </c>
      <c r="D1" s="52" t="s">
        <v>84</v>
      </c>
      <c r="E1" s="52" t="s">
        <v>83</v>
      </c>
      <c r="F1" s="52" t="s">
        <v>82</v>
      </c>
      <c r="G1" s="203" t="s">
        <v>54</v>
      </c>
      <c r="H1" s="106" t="s">
        <v>53</v>
      </c>
      <c r="I1" s="105" t="s">
        <v>52</v>
      </c>
      <c r="J1" s="103" t="s">
        <v>51</v>
      </c>
      <c r="K1" s="105" t="s">
        <v>50</v>
      </c>
      <c r="L1" s="104" t="s">
        <v>49</v>
      </c>
      <c r="M1" s="103" t="s">
        <v>48</v>
      </c>
      <c r="N1" s="166" t="s">
        <v>47</v>
      </c>
      <c r="O1" s="166" t="s">
        <v>45</v>
      </c>
      <c r="P1" s="179" t="s">
        <v>43</v>
      </c>
      <c r="Q1" s="171" t="s">
        <v>42</v>
      </c>
      <c r="R1" s="104" t="s">
        <v>46</v>
      </c>
      <c r="S1" s="104" t="s">
        <v>44</v>
      </c>
      <c r="T1" s="103" t="s">
        <v>41</v>
      </c>
      <c r="U1" s="191" t="s">
        <v>40</v>
      </c>
      <c r="V1" s="191" t="s">
        <v>39</v>
      </c>
      <c r="W1" s="191" t="s">
        <v>38</v>
      </c>
      <c r="X1" s="102" t="s">
        <v>37</v>
      </c>
      <c r="Y1" s="40" t="s">
        <v>155</v>
      </c>
      <c r="Z1" s="40" t="s">
        <v>154</v>
      </c>
      <c r="AA1" s="40" t="s">
        <v>180</v>
      </c>
      <c r="AB1" s="40" t="s">
        <v>181</v>
      </c>
      <c r="AC1" s="54" t="s">
        <v>153</v>
      </c>
      <c r="CF1" s="54" t="s">
        <v>152</v>
      </c>
      <c r="CCW1" s="52" t="s">
        <v>151</v>
      </c>
      <c r="VEF1" s="52" t="s">
        <v>150</v>
      </c>
      <c r="VEG1" s="52" t="s">
        <v>14</v>
      </c>
      <c r="VEH1" s="52" t="s">
        <v>16</v>
      </c>
      <c r="VEI1" s="52" t="s">
        <v>149</v>
      </c>
      <c r="VEJ1" s="52" t="s">
        <v>148</v>
      </c>
      <c r="VEK1" s="52" t="s">
        <v>147</v>
      </c>
      <c r="VEL1" s="52" t="s">
        <v>146</v>
      </c>
      <c r="VEM1" s="52" t="s">
        <v>145</v>
      </c>
      <c r="VEN1" s="52" t="s">
        <v>144</v>
      </c>
      <c r="VEO1" s="52" t="s">
        <v>143</v>
      </c>
      <c r="VEP1" s="52" t="s">
        <v>192</v>
      </c>
      <c r="VEQ1" s="52" t="s">
        <v>193</v>
      </c>
      <c r="VER1" s="52" t="s">
        <v>182</v>
      </c>
      <c r="VES1" s="52" t="s">
        <v>183</v>
      </c>
      <c r="VET1" s="52" t="s">
        <v>142</v>
      </c>
      <c r="VEU1" s="52" t="s">
        <v>141</v>
      </c>
      <c r="VEV1" s="52" t="s">
        <v>140</v>
      </c>
      <c r="VEW1" s="52" t="s">
        <v>139</v>
      </c>
      <c r="VEX1" s="52" t="s">
        <v>138</v>
      </c>
      <c r="VEY1" s="52" t="s">
        <v>137</v>
      </c>
      <c r="VEZ1" s="52" t="s">
        <v>136</v>
      </c>
      <c r="VFA1" s="52" t="s">
        <v>135</v>
      </c>
      <c r="VFB1" s="52" t="s">
        <v>134</v>
      </c>
      <c r="VFC1" s="52" t="s">
        <v>133</v>
      </c>
      <c r="VFD1" s="52" t="s">
        <v>132</v>
      </c>
      <c r="VFE1" s="52" t="s">
        <v>131</v>
      </c>
      <c r="VFF1" s="52" t="s">
        <v>130</v>
      </c>
      <c r="VFG1" s="52" t="s">
        <v>129</v>
      </c>
      <c r="VFH1" s="52" t="s">
        <v>128</v>
      </c>
      <c r="VFI1" s="52" t="s">
        <v>127</v>
      </c>
      <c r="VFJ1" s="52" t="s">
        <v>126</v>
      </c>
      <c r="VFK1" s="52" t="s">
        <v>125</v>
      </c>
      <c r="VFL1" s="52" t="s">
        <v>124</v>
      </c>
      <c r="VFM1" s="52" t="s">
        <v>176</v>
      </c>
      <c r="VFN1" s="52" t="s">
        <v>123</v>
      </c>
      <c r="VFO1" s="52" t="s">
        <v>122</v>
      </c>
      <c r="VFP1" s="52" t="s">
        <v>121</v>
      </c>
      <c r="VFQ1" s="52" t="s">
        <v>120</v>
      </c>
      <c r="VFR1" s="52" t="s">
        <v>119</v>
      </c>
      <c r="VFS1" s="52" t="s">
        <v>118</v>
      </c>
      <c r="VFT1" s="52" t="s">
        <v>117</v>
      </c>
      <c r="VFU1" s="52" t="s">
        <v>116</v>
      </c>
      <c r="VFV1" s="52" t="s">
        <v>115</v>
      </c>
      <c r="VFW1" s="52" t="s">
        <v>114</v>
      </c>
      <c r="VFX1" s="52" t="s">
        <v>113</v>
      </c>
      <c r="VFY1" s="52" t="s">
        <v>112</v>
      </c>
      <c r="VFZ1" s="52" t="s">
        <v>111</v>
      </c>
      <c r="VGA1" s="52" t="s">
        <v>110</v>
      </c>
      <c r="VGB1" s="52" t="s">
        <v>109</v>
      </c>
      <c r="VGC1" s="52" t="s">
        <v>108</v>
      </c>
      <c r="VGD1" s="52" t="s">
        <v>107</v>
      </c>
      <c r="VGE1" s="52" t="s">
        <v>106</v>
      </c>
      <c r="VGF1" s="52" t="s">
        <v>105</v>
      </c>
      <c r="VGG1" s="52" t="s">
        <v>104</v>
      </c>
      <c r="VGH1" s="52" t="s">
        <v>103</v>
      </c>
      <c r="VGI1" s="52" t="s">
        <v>102</v>
      </c>
      <c r="VGJ1" s="52" t="s">
        <v>101</v>
      </c>
      <c r="VGK1" s="52" t="s">
        <v>166</v>
      </c>
      <c r="VGL1" s="52" t="s">
        <v>167</v>
      </c>
      <c r="VGM1" s="52" t="s">
        <v>168</v>
      </c>
      <c r="VGN1" s="52" t="s">
        <v>175</v>
      </c>
      <c r="VGO1" s="52" t="s">
        <v>186</v>
      </c>
      <c r="VGP1" s="52" t="s">
        <v>187</v>
      </c>
    </row>
    <row r="2" spans="1:2129 15008:15070 15386:15394" ht="12.75" hidden="1" x14ac:dyDescent="0.2">
      <c r="A2" s="115" t="s">
        <v>100</v>
      </c>
      <c r="B2" s="115" t="s">
        <v>100</v>
      </c>
      <c r="C2" s="115" t="s">
        <v>100</v>
      </c>
      <c r="D2" s="115" t="s">
        <v>100</v>
      </c>
      <c r="E2" s="115" t="s">
        <v>100</v>
      </c>
      <c r="F2" s="115" t="s">
        <v>100</v>
      </c>
      <c r="G2" s="203" t="s">
        <v>100</v>
      </c>
      <c r="H2" s="106" t="s">
        <v>100</v>
      </c>
      <c r="I2" s="105" t="s">
        <v>100</v>
      </c>
      <c r="J2" s="103" t="s">
        <v>100</v>
      </c>
      <c r="K2" s="105" t="s">
        <v>100</v>
      </c>
      <c r="L2" s="104" t="s">
        <v>100</v>
      </c>
      <c r="M2" s="103" t="s">
        <v>100</v>
      </c>
      <c r="N2" s="166" t="s">
        <v>100</v>
      </c>
      <c r="O2" s="166" t="s">
        <v>100</v>
      </c>
      <c r="P2" s="179" t="s">
        <v>100</v>
      </c>
      <c r="Q2" s="172" t="s">
        <v>100</v>
      </c>
      <c r="R2" s="104" t="s">
        <v>100</v>
      </c>
      <c r="S2" s="104" t="s">
        <v>100</v>
      </c>
      <c r="T2" s="103" t="s">
        <v>100</v>
      </c>
      <c r="U2" s="179" t="s">
        <v>100</v>
      </c>
      <c r="V2" s="179" t="s">
        <v>100</v>
      </c>
      <c r="W2" s="179" t="s">
        <v>100</v>
      </c>
      <c r="X2" s="114" t="s">
        <v>100</v>
      </c>
      <c r="Y2" s="141" t="s">
        <v>100</v>
      </c>
      <c r="Z2" s="141" t="s">
        <v>100</v>
      </c>
      <c r="AA2" s="141" t="s">
        <v>100</v>
      </c>
      <c r="AB2" s="141" t="s">
        <v>100</v>
      </c>
      <c r="VEF2" s="110" t="b">
        <v>1</v>
      </c>
      <c r="VEG2" s="110" t="s">
        <v>169</v>
      </c>
      <c r="VEH2" s="110" t="s">
        <v>169</v>
      </c>
      <c r="VEI2" s="110"/>
      <c r="VEJ2" s="110">
        <v>0</v>
      </c>
      <c r="VEK2" s="113">
        <v>2158758</v>
      </c>
      <c r="VEL2" s="113">
        <v>9041872</v>
      </c>
      <c r="VEM2" s="113">
        <v>15773696</v>
      </c>
      <c r="VEN2" s="113">
        <v>10086143</v>
      </c>
      <c r="VEO2" s="110">
        <v>15773696</v>
      </c>
      <c r="VEP2" s="110">
        <v>255</v>
      </c>
      <c r="VEQ2" s="110">
        <v>0</v>
      </c>
      <c r="VER2" s="110">
        <v>0</v>
      </c>
      <c r="VES2" s="110">
        <v>0</v>
      </c>
      <c r="VET2" s="110" t="s">
        <v>18</v>
      </c>
      <c r="VEU2" s="112"/>
      <c r="VEV2" s="112"/>
      <c r="VEW2" s="112"/>
      <c r="VEX2" s="112"/>
      <c r="VEY2" s="110">
        <v>1</v>
      </c>
      <c r="VEZ2" s="110" t="s">
        <v>99</v>
      </c>
      <c r="VFA2" s="110">
        <v>1</v>
      </c>
      <c r="VFB2" s="110">
        <v>1</v>
      </c>
      <c r="VFC2" s="110">
        <v>1</v>
      </c>
      <c r="VFD2" s="110">
        <v>1</v>
      </c>
      <c r="VFE2" s="110"/>
      <c r="VFF2" s="110">
        <v>1</v>
      </c>
      <c r="VFG2" s="110">
        <v>1</v>
      </c>
      <c r="VFH2" s="110">
        <v>1</v>
      </c>
      <c r="VFI2" s="110">
        <v>1</v>
      </c>
      <c r="VFJ2" s="110">
        <v>1</v>
      </c>
      <c r="VFK2" s="110" t="b">
        <v>1</v>
      </c>
      <c r="VFL2" s="110">
        <v>1</v>
      </c>
      <c r="VFM2" s="52" t="s">
        <v>207</v>
      </c>
      <c r="VFN2" s="110">
        <v>1</v>
      </c>
      <c r="VFO2" s="111">
        <v>16</v>
      </c>
      <c r="VFP2" s="110">
        <v>1</v>
      </c>
      <c r="VFQ2" s="52">
        <v>1</v>
      </c>
      <c r="VFR2" s="52">
        <v>1</v>
      </c>
      <c r="VFS2" s="52" t="s">
        <v>195</v>
      </c>
      <c r="VFT2" s="52">
        <v>8</v>
      </c>
      <c r="VFU2" s="52">
        <v>0</v>
      </c>
      <c r="VFV2" s="52" t="s">
        <v>98</v>
      </c>
      <c r="VFW2" s="52">
        <v>1</v>
      </c>
      <c r="VFX2" s="52">
        <v>1</v>
      </c>
      <c r="VFY2" s="52">
        <v>0</v>
      </c>
      <c r="VFZ2" s="109" t="s">
        <v>198</v>
      </c>
      <c r="VGA2" s="109" t="s">
        <v>197</v>
      </c>
      <c r="VGB2" s="109" t="s">
        <v>196</v>
      </c>
      <c r="VGD2" s="52">
        <v>0</v>
      </c>
      <c r="VGE2" s="52">
        <v>25</v>
      </c>
      <c r="VGF2" s="52">
        <v>10</v>
      </c>
      <c r="VGG2" s="52" t="s">
        <v>53</v>
      </c>
      <c r="VGH2" s="52">
        <v>0</v>
      </c>
      <c r="VGI2" s="52">
        <v>0</v>
      </c>
      <c r="VGJ2" s="52">
        <v>0</v>
      </c>
      <c r="VGK2" s="52">
        <v>12566463</v>
      </c>
      <c r="VGL2" s="52">
        <v>16777164</v>
      </c>
      <c r="VGM2" s="77" t="s">
        <v>199</v>
      </c>
      <c r="VGN2" s="52" t="s">
        <v>200</v>
      </c>
      <c r="VGO2" s="52" t="s">
        <v>188</v>
      </c>
      <c r="VGP2" s="52" t="s">
        <v>189</v>
      </c>
    </row>
    <row r="3" spans="1:2129 15008:15070 15386:15394" ht="12.75" hidden="1" x14ac:dyDescent="0.2">
      <c r="A3" s="110"/>
      <c r="G3" s="203" t="s">
        <v>205</v>
      </c>
      <c r="H3" s="106"/>
      <c r="I3" s="105"/>
      <c r="J3" s="103"/>
      <c r="K3" s="105"/>
      <c r="L3" s="104"/>
      <c r="M3" s="103"/>
      <c r="N3" s="166"/>
      <c r="O3" s="166"/>
      <c r="P3" s="179"/>
      <c r="Q3" s="171"/>
      <c r="R3" s="104"/>
      <c r="S3" s="104"/>
      <c r="T3" s="103"/>
      <c r="U3" s="191"/>
      <c r="V3" s="191"/>
      <c r="W3" s="191"/>
      <c r="X3" s="102"/>
      <c r="Y3" s="40"/>
      <c r="Z3" s="40"/>
      <c r="AA3" s="40"/>
      <c r="AB3" s="40"/>
      <c r="VEU3" s="108"/>
    </row>
    <row r="4" spans="1:2129 15008:15070 15386:15394" ht="12.75" hidden="1" x14ac:dyDescent="0.2">
      <c r="G4" s="203" t="s">
        <v>205</v>
      </c>
      <c r="H4" s="106"/>
      <c r="I4" s="105"/>
      <c r="J4" s="103"/>
      <c r="K4" s="105"/>
      <c r="L4" s="104"/>
      <c r="M4" s="103"/>
      <c r="N4" s="166"/>
      <c r="O4" s="166"/>
      <c r="P4" s="179"/>
      <c r="Q4" s="171"/>
      <c r="R4" s="104"/>
      <c r="S4" s="104"/>
      <c r="T4" s="103"/>
      <c r="U4" s="191"/>
      <c r="V4" s="191"/>
      <c r="W4" s="191"/>
      <c r="X4" s="102"/>
      <c r="Y4" s="40"/>
      <c r="Z4" s="40"/>
      <c r="AA4" s="40"/>
      <c r="AB4" s="40"/>
    </row>
    <row r="5" spans="1:2129 15008:15070 15386:15394" ht="12.75" hidden="1" x14ac:dyDescent="0.2">
      <c r="G5" s="203" t="s">
        <v>205</v>
      </c>
      <c r="H5" s="106"/>
      <c r="I5" s="105"/>
      <c r="J5" s="103"/>
      <c r="K5" s="105"/>
      <c r="L5" s="104"/>
      <c r="M5" s="103"/>
      <c r="N5" s="166"/>
      <c r="O5" s="166"/>
      <c r="P5" s="179"/>
      <c r="Q5" s="171"/>
      <c r="R5" s="104"/>
      <c r="S5" s="104"/>
      <c r="T5" s="103"/>
      <c r="U5" s="191"/>
      <c r="V5" s="191"/>
      <c r="W5" s="191"/>
      <c r="X5" s="102"/>
      <c r="Y5" s="40"/>
      <c r="Z5" s="40"/>
      <c r="AA5" s="40"/>
      <c r="AB5" s="40"/>
    </row>
    <row r="6" spans="1:2129 15008:15070 15386:15394" ht="20.25" customHeight="1" x14ac:dyDescent="0.2">
      <c r="G6" s="204" t="s">
        <v>208</v>
      </c>
      <c r="H6" s="99"/>
      <c r="I6" s="99"/>
      <c r="J6" s="101"/>
      <c r="K6" s="99"/>
      <c r="L6" s="99"/>
      <c r="M6" s="101"/>
      <c r="N6" s="100"/>
      <c r="O6" s="100"/>
      <c r="P6" s="180"/>
      <c r="Q6" s="173"/>
      <c r="R6" s="99"/>
      <c r="S6" s="99"/>
      <c r="T6" s="101"/>
      <c r="U6" s="180"/>
      <c r="V6" s="180"/>
      <c r="W6" s="180"/>
      <c r="X6" s="99"/>
      <c r="Y6" s="99"/>
      <c r="Z6" s="99"/>
      <c r="AA6" s="99"/>
      <c r="AB6" s="99"/>
      <c r="AC6" s="98">
        <v>42996</v>
      </c>
      <c r="AD6" s="98">
        <v>42997</v>
      </c>
      <c r="AE6" s="98">
        <v>42998</v>
      </c>
      <c r="AF6" s="98">
        <v>42999</v>
      </c>
      <c r="AG6" s="98">
        <v>43000</v>
      </c>
      <c r="AH6" s="98">
        <v>43001</v>
      </c>
      <c r="AI6" s="98">
        <v>43002</v>
      </c>
      <c r="AJ6" s="98">
        <v>43003</v>
      </c>
      <c r="AK6" s="98">
        <v>43004</v>
      </c>
      <c r="AL6" s="98">
        <v>43005</v>
      </c>
      <c r="AM6" s="98">
        <v>43006</v>
      </c>
      <c r="AN6" s="98">
        <v>43007</v>
      </c>
      <c r="AO6" s="98">
        <v>43008</v>
      </c>
      <c r="AP6" s="98">
        <v>43009</v>
      </c>
      <c r="AQ6" s="98">
        <v>43010</v>
      </c>
      <c r="AR6" s="98">
        <v>43011</v>
      </c>
      <c r="AS6" s="98">
        <v>43012</v>
      </c>
      <c r="AT6" s="98">
        <v>43013</v>
      </c>
      <c r="AU6" s="98">
        <v>43014</v>
      </c>
      <c r="AV6" s="98">
        <v>43015</v>
      </c>
      <c r="AW6" s="98">
        <v>43016</v>
      </c>
      <c r="AX6" s="98">
        <v>43017</v>
      </c>
      <c r="AY6" s="98">
        <v>43018</v>
      </c>
      <c r="AZ6" s="98">
        <v>43019</v>
      </c>
      <c r="BA6" s="98">
        <v>43020</v>
      </c>
      <c r="BB6" s="98">
        <v>43021</v>
      </c>
      <c r="BC6" s="98">
        <v>43022</v>
      </c>
      <c r="BD6" s="98">
        <v>43023</v>
      </c>
      <c r="BE6" s="98">
        <v>43024</v>
      </c>
      <c r="BF6" s="98">
        <v>43025</v>
      </c>
      <c r="BG6" s="98">
        <v>43026</v>
      </c>
      <c r="BH6" s="98">
        <v>43027</v>
      </c>
      <c r="BI6" s="98">
        <v>43028</v>
      </c>
      <c r="BJ6" s="98">
        <v>43029</v>
      </c>
      <c r="BK6" s="98">
        <v>43030</v>
      </c>
      <c r="BL6" s="98">
        <v>43031</v>
      </c>
      <c r="BM6" s="98">
        <v>43032</v>
      </c>
      <c r="BN6" s="98">
        <v>43033</v>
      </c>
      <c r="BO6" s="98">
        <v>43034</v>
      </c>
      <c r="BP6" s="98">
        <v>43035</v>
      </c>
      <c r="BQ6" s="98">
        <v>43036</v>
      </c>
      <c r="BR6" s="98">
        <v>43037</v>
      </c>
      <c r="BS6" s="98">
        <v>43038</v>
      </c>
      <c r="BT6" s="98">
        <v>43039</v>
      </c>
      <c r="BU6" s="98">
        <v>43040</v>
      </c>
      <c r="BV6" s="98">
        <v>43041</v>
      </c>
      <c r="BW6" s="98">
        <v>43042</v>
      </c>
      <c r="BX6" s="98">
        <v>43043</v>
      </c>
      <c r="BY6" s="98">
        <v>43044</v>
      </c>
      <c r="BZ6" s="98">
        <v>43045</v>
      </c>
      <c r="CA6" s="98">
        <v>43046</v>
      </c>
      <c r="CB6" s="98">
        <v>43047</v>
      </c>
      <c r="CC6" s="98">
        <v>43048</v>
      </c>
      <c r="CD6" s="98">
        <v>43049</v>
      </c>
      <c r="CE6" s="98">
        <v>43050</v>
      </c>
      <c r="CF6" s="98">
        <v>43051</v>
      </c>
      <c r="CG6" s="98">
        <v>43052</v>
      </c>
      <c r="CH6" s="98"/>
      <c r="CI6" s="98"/>
      <c r="CJ6" s="98"/>
      <c r="CK6" s="98"/>
      <c r="CL6" s="98"/>
      <c r="CM6" s="98"/>
      <c r="CN6" s="98"/>
      <c r="CO6" s="98"/>
      <c r="CP6" s="98"/>
      <c r="CQ6" s="98"/>
      <c r="CR6" s="98"/>
      <c r="CS6" s="98"/>
      <c r="CT6" s="98"/>
      <c r="CU6" s="98"/>
      <c r="CV6" s="98"/>
      <c r="CW6" s="98"/>
      <c r="CX6" s="98"/>
      <c r="CY6" s="98"/>
      <c r="CZ6" s="98"/>
      <c r="DA6" s="98"/>
      <c r="DB6" s="98"/>
      <c r="DC6" s="98"/>
      <c r="DD6" s="98"/>
      <c r="DE6" s="98"/>
      <c r="DF6" s="98"/>
      <c r="DG6" s="98"/>
      <c r="DH6" s="98"/>
      <c r="DI6" s="98"/>
      <c r="DJ6" s="98"/>
      <c r="DK6" s="98"/>
      <c r="DL6" s="98"/>
      <c r="DM6" s="98"/>
      <c r="DN6" s="98"/>
      <c r="DO6" s="98"/>
      <c r="DP6" s="98"/>
      <c r="DQ6" s="98"/>
      <c r="DR6" s="98"/>
      <c r="DS6" s="98"/>
      <c r="DT6" s="98"/>
      <c r="DU6" s="98"/>
      <c r="DV6" s="98"/>
      <c r="DW6" s="98"/>
      <c r="DX6" s="98"/>
      <c r="DY6" s="98"/>
      <c r="DZ6" s="98"/>
      <c r="EA6" s="98"/>
      <c r="EB6" s="98"/>
      <c r="EC6" s="98"/>
      <c r="ED6" s="98"/>
      <c r="EE6" s="98"/>
      <c r="EF6" s="98"/>
      <c r="EG6" s="98"/>
      <c r="EH6" s="98"/>
      <c r="EI6" s="98"/>
      <c r="EJ6" s="98"/>
      <c r="EK6" s="98"/>
      <c r="EL6" s="98"/>
      <c r="EM6" s="98"/>
      <c r="EN6" s="98"/>
      <c r="EO6" s="98"/>
      <c r="EP6" s="98"/>
      <c r="EQ6" s="98"/>
      <c r="ER6" s="98"/>
      <c r="ES6" s="98"/>
      <c r="ET6" s="98"/>
      <c r="EU6" s="98"/>
      <c r="EV6" s="98"/>
      <c r="EW6" s="98"/>
      <c r="EX6" s="98"/>
      <c r="EY6" s="98"/>
      <c r="EZ6" s="98"/>
      <c r="FA6" s="98"/>
      <c r="FB6" s="98"/>
      <c r="FC6" s="98"/>
      <c r="FD6" s="98"/>
      <c r="FE6" s="98"/>
      <c r="FF6" s="98"/>
      <c r="FG6" s="98"/>
      <c r="FH6" s="98"/>
      <c r="FI6" s="98"/>
      <c r="FJ6" s="98"/>
      <c r="FK6" s="98"/>
      <c r="FL6" s="98"/>
      <c r="FM6" s="98"/>
      <c r="FN6" s="98"/>
      <c r="FO6" s="98"/>
      <c r="FP6" s="98"/>
      <c r="FQ6" s="98"/>
      <c r="FR6" s="98"/>
      <c r="FS6" s="98"/>
      <c r="FT6" s="98"/>
      <c r="FU6" s="98"/>
      <c r="FV6" s="98"/>
      <c r="FW6" s="98"/>
      <c r="FX6" s="98"/>
      <c r="FY6" s="98"/>
      <c r="FZ6" s="98"/>
      <c r="GA6" s="98"/>
      <c r="GB6" s="98"/>
      <c r="GC6" s="98"/>
      <c r="GD6" s="98"/>
      <c r="GE6" s="98"/>
      <c r="GF6" s="98"/>
      <c r="GG6" s="98"/>
      <c r="GH6" s="98"/>
      <c r="GI6" s="98"/>
      <c r="GJ6" s="98"/>
      <c r="GK6" s="98"/>
      <c r="GL6" s="98"/>
      <c r="GM6" s="98"/>
      <c r="GN6" s="98"/>
      <c r="GO6" s="98"/>
      <c r="GP6" s="98"/>
      <c r="GQ6" s="98"/>
      <c r="GR6" s="98"/>
      <c r="GS6" s="98"/>
      <c r="GT6" s="98"/>
      <c r="GU6" s="98"/>
      <c r="GV6" s="98"/>
      <c r="GW6" s="98"/>
      <c r="GX6" s="98"/>
      <c r="GY6" s="98"/>
      <c r="GZ6" s="98"/>
      <c r="HA6" s="98"/>
      <c r="HB6" s="98"/>
      <c r="HC6" s="98"/>
      <c r="HD6" s="98"/>
      <c r="HE6" s="98"/>
      <c r="HF6" s="98"/>
      <c r="HG6" s="98"/>
      <c r="HH6" s="98"/>
      <c r="HI6" s="98"/>
      <c r="HJ6" s="98"/>
      <c r="HK6" s="98"/>
      <c r="HL6" s="98"/>
      <c r="HM6" s="98"/>
      <c r="HN6" s="98"/>
      <c r="HO6" s="98"/>
      <c r="HP6" s="98"/>
      <c r="HQ6" s="98"/>
      <c r="HR6" s="98"/>
      <c r="HS6" s="98"/>
      <c r="HT6" s="98"/>
      <c r="HU6" s="98"/>
      <c r="HV6" s="98"/>
      <c r="HW6" s="98"/>
      <c r="HX6" s="98"/>
      <c r="HY6" s="98"/>
      <c r="HZ6" s="98"/>
      <c r="IA6" s="98"/>
      <c r="IB6" s="98"/>
      <c r="IC6" s="98"/>
      <c r="ID6" s="98"/>
      <c r="IE6" s="98"/>
      <c r="IF6" s="98"/>
      <c r="IG6" s="98"/>
      <c r="IH6" s="98"/>
      <c r="II6" s="98"/>
      <c r="IJ6" s="98"/>
      <c r="IK6" s="98"/>
      <c r="IL6" s="98"/>
      <c r="IM6" s="98"/>
      <c r="IN6" s="98"/>
      <c r="IO6" s="98"/>
      <c r="IP6" s="98"/>
      <c r="IQ6" s="98"/>
      <c r="IR6" s="98"/>
      <c r="IS6" s="98"/>
      <c r="IT6" s="98"/>
      <c r="IU6" s="98"/>
      <c r="IV6" s="98"/>
      <c r="IW6" s="98"/>
      <c r="IX6" s="98"/>
      <c r="IY6" s="98"/>
      <c r="IZ6" s="98"/>
      <c r="JA6" s="98"/>
      <c r="JB6" s="98"/>
      <c r="JC6" s="98"/>
      <c r="JD6" s="98"/>
      <c r="JE6" s="98"/>
      <c r="JF6" s="98"/>
      <c r="JG6" s="98"/>
      <c r="JH6" s="98"/>
      <c r="JI6" s="98"/>
      <c r="JJ6" s="98"/>
      <c r="JK6" s="98"/>
      <c r="JL6" s="98"/>
      <c r="JM6" s="98"/>
      <c r="JN6" s="98"/>
      <c r="JO6" s="98"/>
      <c r="JP6" s="98"/>
      <c r="JQ6" s="98"/>
      <c r="JR6" s="98"/>
      <c r="JS6" s="98"/>
      <c r="JT6" s="98"/>
      <c r="JU6" s="98"/>
      <c r="JV6" s="98"/>
      <c r="JW6" s="98"/>
      <c r="JX6" s="98"/>
      <c r="JY6" s="98"/>
      <c r="JZ6" s="98"/>
      <c r="KA6" s="98"/>
      <c r="KB6" s="98"/>
      <c r="KC6" s="98"/>
      <c r="KD6" s="98"/>
      <c r="KE6" s="98"/>
      <c r="KF6" s="98"/>
      <c r="KG6" s="98"/>
      <c r="KH6" s="98"/>
      <c r="KI6" s="98"/>
      <c r="KJ6" s="98"/>
      <c r="KK6" s="98"/>
      <c r="KL6" s="98"/>
      <c r="KM6" s="98"/>
      <c r="KN6" s="98"/>
      <c r="KO6" s="98"/>
      <c r="KP6" s="98"/>
      <c r="KQ6" s="98"/>
      <c r="KR6" s="98"/>
      <c r="KS6" s="98"/>
      <c r="KT6" s="98"/>
      <c r="KU6" s="98"/>
      <c r="KV6" s="98"/>
      <c r="KW6" s="98"/>
      <c r="KX6" s="98"/>
      <c r="KY6" s="98"/>
      <c r="KZ6" s="98"/>
      <c r="LA6" s="98"/>
      <c r="LB6" s="98"/>
      <c r="LC6" s="98"/>
      <c r="LD6" s="98"/>
      <c r="LE6" s="98"/>
      <c r="LF6" s="98"/>
      <c r="LG6" s="98"/>
      <c r="LH6" s="98"/>
      <c r="LI6" s="98"/>
      <c r="LJ6" s="98"/>
      <c r="LK6" s="98"/>
      <c r="LL6" s="98"/>
      <c r="LM6" s="98"/>
      <c r="LN6" s="98"/>
      <c r="LO6" s="98"/>
      <c r="LP6" s="98"/>
      <c r="LQ6" s="98"/>
      <c r="LR6" s="98"/>
      <c r="LS6" s="98"/>
      <c r="LT6" s="98"/>
      <c r="LU6" s="98"/>
      <c r="LV6" s="98"/>
      <c r="LW6" s="98"/>
      <c r="LX6" s="98"/>
      <c r="LY6" s="98"/>
      <c r="LZ6" s="98"/>
      <c r="MA6" s="98"/>
      <c r="MB6" s="98"/>
      <c r="MC6" s="98"/>
      <c r="MD6" s="98"/>
      <c r="ME6" s="98"/>
      <c r="MF6" s="98"/>
      <c r="MG6" s="98"/>
      <c r="MH6" s="98"/>
      <c r="MI6" s="98"/>
      <c r="MJ6" s="98"/>
      <c r="MK6" s="98"/>
      <c r="ML6" s="98"/>
      <c r="MM6" s="98"/>
      <c r="MN6" s="98"/>
      <c r="MO6" s="98"/>
      <c r="MP6" s="98"/>
      <c r="MQ6" s="98"/>
      <c r="MR6" s="98"/>
      <c r="MS6" s="98"/>
      <c r="MT6" s="98"/>
      <c r="MU6" s="98"/>
      <c r="MV6" s="98"/>
      <c r="MW6" s="98"/>
      <c r="MX6" s="98"/>
      <c r="MY6" s="98"/>
      <c r="MZ6" s="98"/>
      <c r="NA6" s="98"/>
      <c r="NB6" s="98"/>
      <c r="NC6" s="98"/>
      <c r="ND6" s="98"/>
      <c r="NE6" s="98"/>
      <c r="NF6" s="98"/>
      <c r="NG6" s="98"/>
      <c r="NH6" s="98"/>
      <c r="NI6" s="98"/>
      <c r="NJ6" s="98"/>
      <c r="NK6" s="98"/>
      <c r="NL6" s="98"/>
      <c r="NM6" s="98"/>
      <c r="NN6" s="98"/>
      <c r="NO6" s="98"/>
      <c r="NP6" s="98"/>
      <c r="NQ6" s="98"/>
      <c r="NR6" s="98"/>
      <c r="NS6" s="98"/>
      <c r="NT6" s="98"/>
      <c r="NU6" s="98"/>
      <c r="NV6" s="98"/>
      <c r="NW6" s="98"/>
      <c r="NX6" s="98"/>
      <c r="NY6" s="98"/>
      <c r="NZ6" s="98"/>
      <c r="OA6" s="98"/>
      <c r="OB6" s="98"/>
      <c r="OC6" s="98"/>
      <c r="OD6" s="98"/>
      <c r="OE6" s="98"/>
      <c r="OF6" s="98"/>
      <c r="OG6" s="98"/>
      <c r="OH6" s="98"/>
      <c r="OI6" s="98"/>
      <c r="OJ6" s="98"/>
      <c r="OK6" s="98"/>
      <c r="OL6" s="98"/>
      <c r="OM6" s="98"/>
      <c r="ON6" s="98"/>
      <c r="OO6" s="98"/>
      <c r="OP6" s="98"/>
      <c r="OQ6" s="98"/>
      <c r="OR6" s="98"/>
      <c r="OS6" s="98"/>
      <c r="OT6" s="98"/>
      <c r="OU6" s="98"/>
      <c r="OV6" s="98"/>
      <c r="OW6" s="98"/>
      <c r="OX6" s="98"/>
      <c r="OY6" s="98"/>
      <c r="OZ6" s="98"/>
      <c r="PA6" s="98"/>
      <c r="PB6" s="98"/>
      <c r="PC6" s="98"/>
      <c r="PD6" s="98"/>
      <c r="PE6" s="98"/>
      <c r="PF6" s="98"/>
      <c r="PG6" s="98"/>
      <c r="PH6" s="98"/>
      <c r="PI6" s="98"/>
      <c r="PJ6" s="98"/>
      <c r="PK6" s="98"/>
      <c r="PL6" s="98"/>
      <c r="PM6" s="98"/>
      <c r="PN6" s="98"/>
      <c r="PO6" s="98"/>
      <c r="PP6" s="98"/>
      <c r="PQ6" s="98"/>
      <c r="PR6" s="98"/>
      <c r="PS6" s="98"/>
      <c r="PT6" s="98"/>
      <c r="PU6" s="98"/>
      <c r="PV6" s="98"/>
      <c r="PW6" s="98"/>
      <c r="PX6" s="98"/>
      <c r="PY6" s="98"/>
      <c r="PZ6" s="98"/>
      <c r="QA6" s="98"/>
      <c r="QB6" s="98"/>
      <c r="QC6" s="98"/>
      <c r="QD6" s="98"/>
      <c r="QE6" s="98"/>
      <c r="QF6" s="98"/>
      <c r="QG6" s="98"/>
      <c r="QH6" s="98"/>
      <c r="QI6" s="98"/>
      <c r="QJ6" s="98"/>
      <c r="QK6" s="98"/>
      <c r="QL6" s="98"/>
      <c r="QM6" s="98"/>
      <c r="QN6" s="98"/>
      <c r="QO6" s="98"/>
      <c r="QP6" s="98"/>
      <c r="QQ6" s="98"/>
      <c r="QR6" s="98"/>
      <c r="QS6" s="98"/>
      <c r="QT6" s="98"/>
      <c r="QU6" s="98"/>
      <c r="QV6" s="98"/>
      <c r="QW6" s="98"/>
      <c r="QX6" s="98"/>
      <c r="QY6" s="98"/>
      <c r="QZ6" s="98"/>
      <c r="RA6" s="98"/>
      <c r="RB6" s="98"/>
      <c r="RC6" s="98"/>
      <c r="RD6" s="98"/>
      <c r="RE6" s="98"/>
      <c r="RF6" s="98"/>
      <c r="RG6" s="98"/>
      <c r="RH6" s="98"/>
      <c r="RI6" s="98"/>
      <c r="RJ6" s="98"/>
      <c r="RK6" s="98"/>
      <c r="RL6" s="98"/>
      <c r="RM6" s="98"/>
      <c r="RN6" s="98"/>
      <c r="RO6" s="98"/>
      <c r="RP6" s="98"/>
      <c r="RQ6" s="98"/>
      <c r="RR6" s="98"/>
      <c r="RS6" s="98"/>
      <c r="RT6" s="98"/>
      <c r="RU6" s="98"/>
      <c r="RV6" s="98"/>
      <c r="RW6" s="98"/>
      <c r="RX6" s="98"/>
      <c r="RY6" s="98"/>
      <c r="RZ6" s="98"/>
      <c r="SA6" s="98"/>
      <c r="SB6" s="98"/>
      <c r="SC6" s="98"/>
      <c r="SD6" s="98"/>
      <c r="SE6" s="98"/>
      <c r="SF6" s="98"/>
      <c r="SG6" s="98"/>
      <c r="SH6" s="98"/>
      <c r="SI6" s="98"/>
      <c r="SJ6" s="98"/>
      <c r="SK6" s="98"/>
      <c r="SL6" s="98"/>
      <c r="SM6" s="98"/>
      <c r="SN6" s="98"/>
      <c r="SO6" s="98"/>
      <c r="SP6" s="98"/>
      <c r="SQ6" s="98"/>
      <c r="SR6" s="98"/>
      <c r="SS6" s="98"/>
      <c r="ST6" s="98"/>
      <c r="SU6" s="98"/>
      <c r="SV6" s="98"/>
      <c r="SW6" s="98"/>
      <c r="SX6" s="98"/>
      <c r="SY6" s="98"/>
      <c r="SZ6" s="98"/>
      <c r="TA6" s="98"/>
      <c r="TB6" s="98"/>
      <c r="TC6" s="98"/>
      <c r="TD6" s="98"/>
      <c r="TE6" s="98"/>
      <c r="TF6" s="98"/>
      <c r="TG6" s="98"/>
      <c r="TH6" s="98"/>
      <c r="TI6" s="98"/>
      <c r="TJ6" s="98"/>
      <c r="TK6" s="98"/>
      <c r="TL6" s="98"/>
      <c r="TM6" s="98"/>
      <c r="TN6" s="98"/>
      <c r="TO6" s="98"/>
      <c r="TP6" s="98"/>
      <c r="TQ6" s="98"/>
      <c r="TR6" s="98"/>
      <c r="TS6" s="98"/>
      <c r="TT6" s="98"/>
      <c r="TU6" s="98"/>
      <c r="TV6" s="98"/>
      <c r="TW6" s="98"/>
      <c r="TX6" s="98"/>
      <c r="TY6" s="98"/>
      <c r="TZ6" s="98"/>
      <c r="UA6" s="98"/>
      <c r="UB6" s="98"/>
      <c r="UC6" s="98"/>
      <c r="UD6" s="98"/>
      <c r="UE6" s="98"/>
      <c r="UF6" s="98"/>
      <c r="UG6" s="98"/>
      <c r="UH6" s="98"/>
      <c r="UI6" s="98"/>
      <c r="UJ6" s="98"/>
      <c r="UK6" s="98"/>
      <c r="UL6" s="98"/>
      <c r="UM6" s="98"/>
      <c r="UN6" s="98"/>
      <c r="UO6" s="98"/>
      <c r="UP6" s="98"/>
      <c r="UQ6" s="98"/>
      <c r="UR6" s="98"/>
      <c r="US6" s="98"/>
      <c r="UT6" s="98"/>
      <c r="UU6" s="98"/>
      <c r="UV6" s="98"/>
      <c r="UW6" s="98"/>
      <c r="UX6" s="98"/>
      <c r="UY6" s="98"/>
      <c r="UZ6" s="98"/>
      <c r="VA6" s="98"/>
      <c r="VB6" s="98"/>
      <c r="VC6" s="98"/>
      <c r="VD6" s="98"/>
      <c r="VE6" s="98"/>
      <c r="VF6" s="98"/>
      <c r="VG6" s="98"/>
      <c r="VH6" s="98"/>
      <c r="VI6" s="98"/>
      <c r="VJ6" s="98"/>
      <c r="VK6" s="98"/>
      <c r="VL6" s="98"/>
      <c r="VM6" s="98"/>
      <c r="VN6" s="98"/>
      <c r="VO6" s="98"/>
      <c r="VP6" s="98"/>
      <c r="VQ6" s="98"/>
      <c r="VR6" s="98"/>
      <c r="VS6" s="98"/>
      <c r="VT6" s="98"/>
      <c r="VU6" s="98"/>
      <c r="VV6" s="98"/>
      <c r="VW6" s="98"/>
      <c r="VX6" s="98"/>
      <c r="VY6" s="98"/>
      <c r="VZ6" s="98"/>
      <c r="WA6" s="98"/>
      <c r="WB6" s="98"/>
      <c r="WC6" s="98"/>
      <c r="WD6" s="98"/>
      <c r="WE6" s="98"/>
      <c r="WF6" s="98"/>
      <c r="WG6" s="98"/>
      <c r="WH6" s="98"/>
      <c r="WI6" s="98"/>
      <c r="WJ6" s="98"/>
      <c r="WK6" s="98"/>
      <c r="WL6" s="98"/>
      <c r="WM6" s="98"/>
      <c r="WN6" s="98"/>
      <c r="WO6" s="98"/>
      <c r="WP6" s="98"/>
      <c r="WQ6" s="98"/>
      <c r="WR6" s="98"/>
      <c r="WS6" s="98"/>
      <c r="WT6" s="98"/>
      <c r="WU6" s="98"/>
      <c r="WV6" s="98"/>
      <c r="WW6" s="98"/>
      <c r="WX6" s="98"/>
      <c r="WY6" s="98"/>
      <c r="WZ6" s="98"/>
      <c r="XA6" s="98"/>
      <c r="XB6" s="98"/>
      <c r="XC6" s="98"/>
      <c r="XD6" s="98"/>
      <c r="XE6" s="98"/>
      <c r="XF6" s="98"/>
      <c r="XG6" s="98"/>
      <c r="XH6" s="98"/>
      <c r="XI6" s="98"/>
      <c r="XJ6" s="98"/>
      <c r="XK6" s="98"/>
      <c r="XL6" s="98"/>
      <c r="XM6" s="98"/>
      <c r="XN6" s="98"/>
      <c r="XO6" s="98"/>
      <c r="XP6" s="98"/>
      <c r="XQ6" s="98"/>
      <c r="XR6" s="98"/>
      <c r="XS6" s="98"/>
      <c r="XT6" s="98"/>
      <c r="XU6" s="98"/>
      <c r="XV6" s="98"/>
      <c r="XW6" s="98"/>
      <c r="XX6" s="98"/>
      <c r="XY6" s="98"/>
      <c r="XZ6" s="98"/>
      <c r="YA6" s="98"/>
      <c r="YB6" s="98"/>
      <c r="YC6" s="98"/>
      <c r="YD6" s="98"/>
      <c r="YE6" s="98"/>
      <c r="YF6" s="98"/>
      <c r="YG6" s="98"/>
      <c r="YH6" s="98"/>
      <c r="YI6" s="98"/>
      <c r="YJ6" s="98"/>
      <c r="YK6" s="98"/>
      <c r="YL6" s="98"/>
      <c r="YM6" s="98"/>
      <c r="YN6" s="98"/>
      <c r="YO6" s="98"/>
      <c r="YP6" s="98"/>
      <c r="YQ6" s="98"/>
      <c r="YR6" s="98"/>
      <c r="YS6" s="98"/>
      <c r="YT6" s="98"/>
      <c r="YU6" s="98"/>
      <c r="YV6" s="98"/>
      <c r="YW6" s="98"/>
      <c r="YX6" s="98"/>
      <c r="YY6" s="98"/>
      <c r="YZ6" s="98"/>
      <c r="ZA6" s="98"/>
      <c r="ZB6" s="98"/>
      <c r="ZC6" s="98"/>
      <c r="ZD6" s="98"/>
      <c r="ZE6" s="98"/>
      <c r="ZF6" s="98"/>
      <c r="ZG6" s="98"/>
      <c r="ZH6" s="98"/>
      <c r="ZI6" s="98"/>
      <c r="ZJ6" s="98"/>
      <c r="ZK6" s="98"/>
      <c r="ZL6" s="98"/>
      <c r="ZM6" s="98"/>
      <c r="ZN6" s="98"/>
      <c r="ZO6" s="98"/>
      <c r="ZP6" s="98"/>
      <c r="ZQ6" s="98"/>
      <c r="ZR6" s="98"/>
      <c r="ZS6" s="98"/>
      <c r="ZT6" s="98"/>
      <c r="ZU6" s="98"/>
      <c r="ZV6" s="98"/>
      <c r="ZW6" s="98"/>
      <c r="ZX6" s="98"/>
      <c r="ZY6" s="98"/>
      <c r="ZZ6" s="98"/>
      <c r="AAA6" s="98"/>
      <c r="AAB6" s="98"/>
      <c r="AAC6" s="98"/>
      <c r="AAD6" s="98"/>
      <c r="AAE6" s="98"/>
      <c r="AAF6" s="98"/>
      <c r="AAG6" s="98"/>
      <c r="AAH6" s="98"/>
      <c r="AAI6" s="98"/>
      <c r="AAJ6" s="98"/>
      <c r="AAK6" s="98"/>
      <c r="AAL6" s="98"/>
      <c r="AAM6" s="98"/>
      <c r="AAN6" s="98"/>
      <c r="AAO6" s="98"/>
      <c r="AAP6" s="98"/>
      <c r="AAQ6" s="98"/>
      <c r="AAR6" s="98"/>
      <c r="AAS6" s="98"/>
      <c r="AAT6" s="98"/>
      <c r="AAU6" s="98"/>
      <c r="AAV6" s="98"/>
      <c r="AAW6" s="98"/>
      <c r="AAX6" s="98"/>
      <c r="AAY6" s="98"/>
      <c r="AAZ6" s="98"/>
      <c r="ABA6" s="98"/>
      <c r="ABB6" s="98"/>
      <c r="ABC6" s="98"/>
      <c r="ABD6" s="98"/>
      <c r="ABE6" s="98"/>
      <c r="ABF6" s="98"/>
      <c r="ABG6" s="98"/>
      <c r="ABH6" s="98"/>
      <c r="ABI6" s="98"/>
      <c r="ABJ6" s="98"/>
      <c r="ABK6" s="98"/>
      <c r="ABL6" s="98"/>
      <c r="ABM6" s="98"/>
      <c r="ABN6" s="98"/>
      <c r="ABO6" s="98"/>
      <c r="ABP6" s="98"/>
      <c r="ABQ6" s="98"/>
      <c r="ABR6" s="98"/>
      <c r="ABS6" s="98"/>
      <c r="ABT6" s="98"/>
      <c r="ABU6" s="98"/>
      <c r="ABV6" s="98"/>
      <c r="ABW6" s="98"/>
      <c r="ABX6" s="98"/>
      <c r="ABY6" s="98"/>
      <c r="ABZ6" s="98"/>
      <c r="ACA6" s="98"/>
      <c r="ACB6" s="98"/>
      <c r="ACC6" s="98"/>
      <c r="ACD6" s="98"/>
      <c r="ACE6" s="98"/>
      <c r="ACF6" s="98"/>
      <c r="ACG6" s="98"/>
      <c r="ACH6" s="98"/>
      <c r="ACI6" s="98"/>
      <c r="ACJ6" s="98"/>
      <c r="ACK6" s="98"/>
      <c r="ACL6" s="98"/>
      <c r="ACM6" s="98"/>
      <c r="ACN6" s="98"/>
      <c r="ACO6" s="98"/>
      <c r="ACP6" s="98"/>
      <c r="ACQ6" s="98"/>
      <c r="ACR6" s="98"/>
      <c r="ACS6" s="98"/>
      <c r="ACT6" s="98"/>
      <c r="ACU6" s="98"/>
      <c r="ACV6" s="98"/>
      <c r="ACW6" s="98"/>
      <c r="ACX6" s="98"/>
      <c r="ACY6" s="98"/>
      <c r="ACZ6" s="98"/>
      <c r="ADA6" s="98"/>
      <c r="ADB6" s="98"/>
      <c r="ADC6" s="98"/>
      <c r="ADD6" s="98"/>
      <c r="ADE6" s="98"/>
      <c r="ADF6" s="98"/>
      <c r="ADG6" s="98"/>
      <c r="ADH6" s="98"/>
      <c r="ADI6" s="98"/>
      <c r="ADJ6" s="98"/>
      <c r="ADK6" s="98"/>
      <c r="ADL6" s="98"/>
      <c r="ADM6" s="98"/>
      <c r="ADN6" s="98"/>
      <c r="ADO6" s="98"/>
      <c r="ADP6" s="98"/>
      <c r="ADQ6" s="98"/>
      <c r="ADR6" s="98"/>
      <c r="ADS6" s="98"/>
      <c r="ADT6" s="98"/>
      <c r="ADU6" s="98"/>
      <c r="ADV6" s="98"/>
      <c r="ADW6" s="98"/>
      <c r="ADX6" s="98"/>
      <c r="ADY6" s="98"/>
      <c r="ADZ6" s="98"/>
      <c r="AEA6" s="98"/>
      <c r="AEB6" s="98"/>
      <c r="AEC6" s="98"/>
      <c r="AED6" s="98"/>
      <c r="AEE6" s="98"/>
      <c r="AEF6" s="98"/>
      <c r="AEG6" s="98"/>
      <c r="AEH6" s="98"/>
      <c r="AEI6" s="98"/>
      <c r="AEJ6" s="98"/>
      <c r="AEK6" s="98"/>
      <c r="AEL6" s="98"/>
      <c r="AEM6" s="98"/>
      <c r="AEN6" s="98"/>
      <c r="AEO6" s="98"/>
      <c r="AEP6" s="98"/>
      <c r="AEQ6" s="98"/>
      <c r="AER6" s="98"/>
      <c r="AES6" s="98"/>
      <c r="AET6" s="98"/>
      <c r="AEU6" s="98"/>
      <c r="AEV6" s="98"/>
      <c r="AEW6" s="98"/>
      <c r="AEX6" s="98"/>
      <c r="AEY6" s="98"/>
      <c r="AEZ6" s="98"/>
      <c r="AFA6" s="98"/>
      <c r="AFB6" s="98"/>
      <c r="AFC6" s="98"/>
      <c r="AFD6" s="98"/>
      <c r="AFE6" s="98"/>
      <c r="AFF6" s="98"/>
      <c r="AFG6" s="98"/>
      <c r="AFH6" s="98"/>
      <c r="AFI6" s="98"/>
      <c r="AFJ6" s="98"/>
      <c r="AFK6" s="98"/>
      <c r="AFL6" s="98"/>
      <c r="AFM6" s="98"/>
      <c r="AFN6" s="98"/>
      <c r="AFO6" s="98"/>
      <c r="AFP6" s="98"/>
      <c r="AFQ6" s="98"/>
      <c r="AFR6" s="98"/>
      <c r="AFS6" s="98"/>
      <c r="AFT6" s="98"/>
      <c r="AFU6" s="98"/>
      <c r="AFV6" s="98"/>
      <c r="AFW6" s="98"/>
      <c r="AFX6" s="98"/>
      <c r="AFY6" s="98"/>
      <c r="AFZ6" s="98"/>
      <c r="AGA6" s="98"/>
      <c r="AGB6" s="98"/>
      <c r="AGC6" s="98"/>
      <c r="AGD6" s="98"/>
      <c r="AGE6" s="98"/>
      <c r="AGF6" s="98"/>
      <c r="AGG6" s="98"/>
      <c r="AGH6" s="98"/>
      <c r="AGI6" s="98"/>
      <c r="AGJ6" s="98"/>
      <c r="AGK6" s="98"/>
      <c r="AGL6" s="98"/>
      <c r="AGM6" s="98"/>
      <c r="AGN6" s="98"/>
      <c r="AGO6" s="98"/>
      <c r="AGP6" s="98"/>
      <c r="AGQ6" s="98"/>
      <c r="AGR6" s="98"/>
      <c r="AGS6" s="98"/>
      <c r="AGT6" s="98"/>
      <c r="AGU6" s="98"/>
      <c r="AGV6" s="98"/>
      <c r="AGW6" s="98"/>
      <c r="AGX6" s="98"/>
      <c r="AGY6" s="98"/>
      <c r="AGZ6" s="98"/>
      <c r="AHA6" s="98"/>
      <c r="AHB6" s="98"/>
      <c r="AHC6" s="98"/>
      <c r="AHD6" s="98"/>
      <c r="AHE6" s="98"/>
      <c r="AHF6" s="98"/>
      <c r="AHG6" s="98"/>
      <c r="AHH6" s="98"/>
      <c r="AHI6" s="98"/>
      <c r="AHJ6" s="98"/>
      <c r="AHK6" s="98"/>
      <c r="AHL6" s="98"/>
      <c r="AHM6" s="98"/>
      <c r="AHN6" s="98"/>
      <c r="AHO6" s="98"/>
      <c r="AHP6" s="98"/>
      <c r="AHQ6" s="98"/>
      <c r="AHR6" s="98"/>
      <c r="AHS6" s="98"/>
      <c r="AHT6" s="98"/>
      <c r="AHU6" s="98"/>
      <c r="AHV6" s="98"/>
      <c r="AHW6" s="98"/>
      <c r="AHX6" s="98"/>
      <c r="AHY6" s="98"/>
      <c r="AHZ6" s="98"/>
      <c r="AIA6" s="98"/>
      <c r="AIB6" s="98"/>
      <c r="AIC6" s="98"/>
      <c r="AID6" s="98"/>
      <c r="AIE6" s="98"/>
      <c r="AIF6" s="98"/>
      <c r="AIG6" s="98"/>
      <c r="AIH6" s="98"/>
      <c r="AII6" s="98"/>
      <c r="AIJ6" s="98"/>
      <c r="AIK6" s="98"/>
      <c r="AIL6" s="98"/>
      <c r="AIM6" s="98"/>
      <c r="AIN6" s="98"/>
      <c r="AIO6" s="98"/>
      <c r="AIP6" s="98"/>
      <c r="AIQ6" s="98"/>
      <c r="AIR6" s="98"/>
      <c r="AIS6" s="98"/>
      <c r="AIT6" s="98"/>
      <c r="AIU6" s="98"/>
      <c r="AIV6" s="98"/>
      <c r="AIW6" s="98"/>
      <c r="AIX6" s="98"/>
      <c r="AIY6" s="98"/>
      <c r="AIZ6" s="98"/>
      <c r="AJA6" s="98"/>
      <c r="AJB6" s="98"/>
      <c r="AJC6" s="98"/>
      <c r="AJD6" s="98"/>
      <c r="AJE6" s="98"/>
      <c r="AJF6" s="98"/>
      <c r="AJG6" s="98"/>
      <c r="AJH6" s="98"/>
      <c r="AJI6" s="98"/>
      <c r="AJJ6" s="98"/>
      <c r="AJK6" s="98"/>
      <c r="AJL6" s="98"/>
      <c r="AJM6" s="98"/>
      <c r="AJN6" s="98"/>
      <c r="AJO6" s="98"/>
      <c r="AJP6" s="98"/>
      <c r="AJQ6" s="98"/>
      <c r="AJR6" s="98"/>
      <c r="AJS6" s="98"/>
      <c r="AJT6" s="98"/>
      <c r="AJU6" s="98"/>
      <c r="AJV6" s="98"/>
      <c r="AJW6" s="98"/>
      <c r="AJX6" s="98"/>
      <c r="AJY6" s="98"/>
      <c r="AJZ6" s="98"/>
      <c r="AKA6" s="98"/>
      <c r="AKB6" s="98"/>
      <c r="AKC6" s="98"/>
      <c r="AKD6" s="98"/>
      <c r="AKE6" s="98"/>
      <c r="AKF6" s="98"/>
      <c r="AKG6" s="98"/>
      <c r="AKH6" s="98"/>
      <c r="AKI6" s="98"/>
      <c r="AKJ6" s="98"/>
      <c r="AKK6" s="98"/>
      <c r="AKL6" s="98"/>
      <c r="AKM6" s="98"/>
      <c r="AKN6" s="98"/>
      <c r="AKO6" s="98"/>
      <c r="AKP6" s="98"/>
      <c r="AKQ6" s="98"/>
      <c r="AKR6" s="98"/>
      <c r="AKS6" s="98"/>
      <c r="AKT6" s="98"/>
      <c r="AKU6" s="98"/>
      <c r="AKV6" s="98"/>
      <c r="AKW6" s="98"/>
      <c r="AKX6" s="98"/>
      <c r="AKY6" s="98"/>
      <c r="AKZ6" s="98"/>
      <c r="ALA6" s="98"/>
      <c r="ALB6" s="98"/>
      <c r="ALC6" s="98"/>
      <c r="ALD6" s="98"/>
      <c r="ALE6" s="98"/>
      <c r="ALF6" s="98"/>
      <c r="ALG6" s="98"/>
      <c r="ALH6" s="98"/>
      <c r="ALI6" s="98"/>
      <c r="ALJ6" s="98"/>
      <c r="ALK6" s="98"/>
      <c r="ALL6" s="98"/>
      <c r="ALM6" s="98"/>
      <c r="ALN6" s="98"/>
      <c r="ALO6" s="98"/>
      <c r="ALP6" s="98"/>
      <c r="ALQ6" s="98"/>
      <c r="ALR6" s="98"/>
      <c r="ALS6" s="98"/>
      <c r="ALT6" s="98"/>
      <c r="ALU6" s="98"/>
      <c r="ALV6" s="98"/>
      <c r="ALW6" s="98"/>
      <c r="ALX6" s="98"/>
      <c r="ALY6" s="98"/>
      <c r="ALZ6" s="98"/>
      <c r="AMA6" s="98"/>
      <c r="AMB6" s="98"/>
      <c r="AMC6" s="98"/>
      <c r="AMD6" s="98"/>
      <c r="AME6" s="98"/>
      <c r="AMF6" s="98"/>
      <c r="AMG6" s="98"/>
      <c r="AMH6" s="98"/>
      <c r="AMI6" s="98"/>
      <c r="AMJ6" s="98"/>
      <c r="AMK6" s="98"/>
      <c r="AML6" s="98"/>
      <c r="AMM6" s="98"/>
      <c r="AMN6" s="98"/>
      <c r="AMO6" s="98"/>
      <c r="AMP6" s="98"/>
      <c r="AMQ6" s="98"/>
      <c r="AMR6" s="98"/>
      <c r="AMS6" s="98"/>
      <c r="AMT6" s="98"/>
      <c r="AMU6" s="98"/>
      <c r="AMV6" s="98"/>
      <c r="AMW6" s="98"/>
      <c r="AMX6" s="98"/>
      <c r="AMY6" s="98"/>
      <c r="AMZ6" s="98"/>
      <c r="ANA6" s="98"/>
      <c r="ANB6" s="98"/>
      <c r="ANC6" s="98"/>
      <c r="AND6" s="98"/>
      <c r="ANE6" s="98"/>
      <c r="ANF6" s="98"/>
      <c r="ANG6" s="98"/>
      <c r="ANH6" s="98"/>
      <c r="ANI6" s="98"/>
      <c r="ANJ6" s="98"/>
      <c r="ANK6" s="98"/>
      <c r="ANL6" s="98"/>
      <c r="ANM6" s="98"/>
      <c r="ANN6" s="98"/>
      <c r="ANO6" s="98"/>
      <c r="ANP6" s="98"/>
      <c r="ANQ6" s="98"/>
      <c r="ANR6" s="98"/>
      <c r="ANS6" s="98"/>
      <c r="ANT6" s="98"/>
      <c r="ANU6" s="98"/>
      <c r="ANV6" s="98"/>
      <c r="ANW6" s="98"/>
      <c r="ANX6" s="98"/>
      <c r="ANY6" s="98"/>
      <c r="ANZ6" s="98"/>
      <c r="AOA6" s="98"/>
      <c r="AOB6" s="98"/>
      <c r="AOC6" s="98"/>
      <c r="AOD6" s="98"/>
      <c r="AOE6" s="98"/>
      <c r="AOF6" s="98"/>
      <c r="AOG6" s="98"/>
      <c r="AOH6" s="98"/>
      <c r="AOI6" s="98"/>
      <c r="AOJ6" s="98"/>
      <c r="AOK6" s="98"/>
      <c r="AOL6" s="98"/>
      <c r="AOM6" s="98"/>
      <c r="AON6" s="98"/>
      <c r="AOO6" s="98"/>
      <c r="AOP6" s="98"/>
      <c r="AOQ6" s="98"/>
      <c r="AOR6" s="98"/>
      <c r="AOS6" s="98"/>
      <c r="AOT6" s="98"/>
      <c r="AOU6" s="98"/>
      <c r="AOV6" s="98"/>
      <c r="AOW6" s="98"/>
      <c r="AOX6" s="98"/>
      <c r="AOY6" s="98"/>
      <c r="AOZ6" s="98"/>
      <c r="APA6" s="98"/>
      <c r="APB6" s="98"/>
      <c r="APC6" s="98"/>
      <c r="APD6" s="98"/>
      <c r="APE6" s="98"/>
      <c r="APF6" s="98"/>
      <c r="APG6" s="98"/>
      <c r="APH6" s="98"/>
      <c r="API6" s="98"/>
      <c r="APJ6" s="98"/>
      <c r="APK6" s="98"/>
      <c r="APL6" s="98"/>
      <c r="APM6" s="98"/>
      <c r="APN6" s="98"/>
      <c r="APO6" s="98"/>
      <c r="APP6" s="98"/>
      <c r="APQ6" s="98"/>
      <c r="APR6" s="98"/>
      <c r="APS6" s="98"/>
      <c r="APT6" s="98"/>
      <c r="APU6" s="98"/>
      <c r="APV6" s="98"/>
      <c r="APW6" s="98"/>
      <c r="APX6" s="98"/>
      <c r="APY6" s="98"/>
      <c r="APZ6" s="98"/>
      <c r="AQA6" s="98"/>
      <c r="AQB6" s="98"/>
      <c r="AQC6" s="98"/>
      <c r="AQD6" s="98"/>
      <c r="AQE6" s="98"/>
      <c r="AQF6" s="98"/>
      <c r="AQG6" s="98"/>
      <c r="AQH6" s="98"/>
      <c r="AQI6" s="98"/>
      <c r="AQJ6" s="98"/>
      <c r="AQK6" s="98"/>
      <c r="AQL6" s="98"/>
      <c r="AQM6" s="98"/>
      <c r="AQN6" s="98"/>
      <c r="AQO6" s="98"/>
      <c r="AQP6" s="98"/>
      <c r="AQQ6" s="98"/>
      <c r="AQR6" s="98"/>
      <c r="AQS6" s="98"/>
      <c r="AQT6" s="98"/>
      <c r="AQU6" s="98"/>
      <c r="AQV6" s="98"/>
      <c r="AQW6" s="98"/>
      <c r="AQX6" s="98"/>
      <c r="AQY6" s="98"/>
      <c r="AQZ6" s="98"/>
      <c r="ARA6" s="98"/>
      <c r="ARB6" s="98"/>
      <c r="ARC6" s="98"/>
      <c r="ARD6" s="98"/>
      <c r="ARE6" s="98"/>
      <c r="ARF6" s="98"/>
      <c r="ARG6" s="98"/>
      <c r="ARH6" s="98"/>
      <c r="ARI6" s="98"/>
      <c r="ARJ6" s="98"/>
      <c r="ARK6" s="98"/>
      <c r="ARL6" s="98"/>
      <c r="ARM6" s="98"/>
      <c r="ARN6" s="98"/>
      <c r="ARO6" s="98"/>
      <c r="ARP6" s="98"/>
      <c r="ARQ6" s="98"/>
      <c r="ARR6" s="98"/>
      <c r="ARS6" s="98"/>
      <c r="ART6" s="98"/>
      <c r="ARU6" s="98"/>
      <c r="ARV6" s="98"/>
      <c r="ARW6" s="98"/>
      <c r="ARX6" s="98"/>
      <c r="ARY6" s="98"/>
      <c r="ARZ6" s="98"/>
      <c r="ASA6" s="98"/>
      <c r="ASB6" s="98"/>
      <c r="ASC6" s="98"/>
      <c r="ASD6" s="98"/>
      <c r="ASE6" s="98"/>
      <c r="ASF6" s="98"/>
      <c r="ASG6" s="98"/>
      <c r="ASH6" s="98"/>
      <c r="ASI6" s="98"/>
      <c r="ASJ6" s="98"/>
      <c r="ASK6" s="98"/>
      <c r="ASL6" s="98"/>
      <c r="ASM6" s="98"/>
      <c r="ASN6" s="98"/>
      <c r="ASO6" s="98"/>
      <c r="ASP6" s="98"/>
      <c r="ASQ6" s="98"/>
      <c r="ASR6" s="98"/>
      <c r="ASS6" s="98"/>
      <c r="AST6" s="98"/>
      <c r="ASU6" s="98"/>
      <c r="ASV6" s="98"/>
      <c r="ASW6" s="98"/>
      <c r="ASX6" s="98"/>
      <c r="ASY6" s="98"/>
      <c r="ASZ6" s="98"/>
      <c r="ATA6" s="98"/>
      <c r="ATB6" s="98"/>
      <c r="ATC6" s="98"/>
      <c r="ATD6" s="98"/>
      <c r="ATE6" s="98"/>
      <c r="ATF6" s="98"/>
      <c r="ATG6" s="98"/>
      <c r="ATH6" s="98"/>
      <c r="ATI6" s="98"/>
      <c r="ATJ6" s="98"/>
      <c r="ATK6" s="98"/>
      <c r="ATL6" s="98"/>
      <c r="ATM6" s="98"/>
      <c r="ATN6" s="98"/>
      <c r="ATO6" s="98"/>
      <c r="ATP6" s="98"/>
      <c r="ATQ6" s="98"/>
      <c r="ATR6" s="98"/>
      <c r="ATS6" s="98"/>
      <c r="ATT6" s="98"/>
      <c r="ATU6" s="98"/>
      <c r="ATV6" s="98"/>
      <c r="ATW6" s="98"/>
      <c r="ATX6" s="98"/>
      <c r="ATY6" s="98"/>
      <c r="ATZ6" s="98"/>
      <c r="AUA6" s="98"/>
      <c r="AUB6" s="98"/>
      <c r="AUC6" s="98"/>
      <c r="AUD6" s="98"/>
      <c r="AUE6" s="98"/>
      <c r="AUF6" s="98"/>
      <c r="AUG6" s="98"/>
      <c r="AUH6" s="98"/>
      <c r="AUI6" s="98"/>
      <c r="AUJ6" s="98"/>
      <c r="AUK6" s="98"/>
      <c r="AUL6" s="98"/>
      <c r="AUM6" s="98"/>
      <c r="AUN6" s="98"/>
      <c r="AUO6" s="98"/>
      <c r="AUP6" s="98"/>
      <c r="AUQ6" s="98"/>
      <c r="AUR6" s="98"/>
      <c r="AUS6" s="98"/>
      <c r="AUT6" s="98"/>
      <c r="AUU6" s="98"/>
      <c r="AUV6" s="98"/>
      <c r="AUW6" s="98"/>
      <c r="AUX6" s="98"/>
      <c r="AUY6" s="98"/>
      <c r="AUZ6" s="98"/>
      <c r="AVA6" s="98"/>
      <c r="AVB6" s="98"/>
      <c r="AVC6" s="98"/>
      <c r="AVD6" s="98"/>
      <c r="AVE6" s="98"/>
      <c r="AVF6" s="98"/>
      <c r="AVG6" s="98"/>
      <c r="AVH6" s="98"/>
      <c r="AVI6" s="98"/>
      <c r="AVJ6" s="98"/>
      <c r="AVK6" s="98"/>
      <c r="AVL6" s="98"/>
      <c r="AVM6" s="98"/>
      <c r="AVN6" s="98"/>
      <c r="AVO6" s="98"/>
      <c r="AVP6" s="98"/>
      <c r="AVQ6" s="98"/>
      <c r="AVR6" s="98"/>
      <c r="AVS6" s="98"/>
      <c r="AVT6" s="98"/>
      <c r="AVU6" s="98"/>
      <c r="AVV6" s="98"/>
      <c r="AVW6" s="98"/>
      <c r="AVX6" s="98"/>
      <c r="AVY6" s="98"/>
      <c r="AVZ6" s="98"/>
      <c r="AWA6" s="98"/>
      <c r="AWB6" s="98"/>
      <c r="AWC6" s="98"/>
      <c r="AWD6" s="98"/>
      <c r="AWE6" s="98"/>
      <c r="AWF6" s="98"/>
      <c r="AWG6" s="98"/>
      <c r="AWH6" s="98"/>
      <c r="AWI6" s="98"/>
      <c r="AWJ6" s="98"/>
      <c r="AWK6" s="98"/>
      <c r="AWL6" s="98"/>
      <c r="AWM6" s="98"/>
      <c r="AWN6" s="98"/>
      <c r="AWO6" s="98"/>
      <c r="AWP6" s="98"/>
      <c r="AWQ6" s="98"/>
      <c r="AWR6" s="98"/>
      <c r="AWS6" s="98"/>
      <c r="AWT6" s="98"/>
      <c r="AWU6" s="98"/>
      <c r="AWV6" s="98"/>
      <c r="AWW6" s="98"/>
      <c r="AWX6" s="98"/>
      <c r="AWY6" s="98"/>
      <c r="AWZ6" s="98"/>
      <c r="AXA6" s="98"/>
      <c r="AXB6" s="98"/>
      <c r="AXC6" s="98"/>
      <c r="AXD6" s="98"/>
      <c r="AXE6" s="98"/>
      <c r="AXF6" s="98"/>
      <c r="AXG6" s="98"/>
      <c r="AXH6" s="98"/>
      <c r="AXI6" s="98"/>
      <c r="AXJ6" s="98"/>
      <c r="AXK6" s="98"/>
      <c r="AXL6" s="98"/>
      <c r="AXM6" s="98"/>
      <c r="AXN6" s="98"/>
      <c r="AXO6" s="98"/>
      <c r="AXP6" s="98"/>
      <c r="AXQ6" s="98"/>
      <c r="AXR6" s="98"/>
      <c r="AXS6" s="98"/>
      <c r="AXT6" s="98"/>
      <c r="AXU6" s="98"/>
      <c r="AXV6" s="98"/>
      <c r="AXW6" s="98"/>
      <c r="AXX6" s="98"/>
      <c r="AXY6" s="98"/>
      <c r="AXZ6" s="98"/>
      <c r="AYA6" s="98"/>
      <c r="AYB6" s="98"/>
      <c r="AYC6" s="98"/>
      <c r="AYD6" s="98"/>
      <c r="AYE6" s="98"/>
      <c r="AYF6" s="98"/>
      <c r="AYG6" s="98"/>
      <c r="AYH6" s="98"/>
      <c r="AYI6" s="98"/>
      <c r="AYJ6" s="98"/>
      <c r="AYK6" s="98"/>
      <c r="AYL6" s="98"/>
      <c r="AYM6" s="98"/>
      <c r="AYN6" s="98"/>
      <c r="AYO6" s="98"/>
      <c r="AYP6" s="98"/>
      <c r="AYQ6" s="98"/>
      <c r="AYR6" s="98"/>
      <c r="AYS6" s="98"/>
      <c r="AYT6" s="98"/>
      <c r="AYU6" s="98"/>
      <c r="AYV6" s="98"/>
      <c r="AYW6" s="98"/>
      <c r="AYX6" s="98"/>
      <c r="AYY6" s="98"/>
      <c r="AYZ6" s="98"/>
      <c r="AZA6" s="98"/>
      <c r="AZB6" s="98"/>
      <c r="AZC6" s="98"/>
      <c r="AZD6" s="98"/>
      <c r="AZE6" s="98"/>
      <c r="AZF6" s="98"/>
      <c r="AZG6" s="98"/>
      <c r="AZH6" s="98"/>
      <c r="AZI6" s="98"/>
      <c r="AZJ6" s="98"/>
      <c r="AZK6" s="98"/>
      <c r="AZL6" s="98"/>
      <c r="AZM6" s="98"/>
      <c r="AZN6" s="98"/>
      <c r="AZO6" s="98"/>
      <c r="AZP6" s="98"/>
      <c r="AZQ6" s="98"/>
      <c r="AZR6" s="98"/>
      <c r="AZS6" s="98"/>
      <c r="AZT6" s="98"/>
      <c r="AZU6" s="98"/>
      <c r="AZV6" s="98"/>
      <c r="AZW6" s="98"/>
      <c r="AZX6" s="98"/>
      <c r="AZY6" s="98"/>
      <c r="AZZ6" s="98"/>
      <c r="BAA6" s="98"/>
      <c r="BAB6" s="98"/>
      <c r="BAC6" s="98"/>
      <c r="BAD6" s="98"/>
      <c r="BAE6" s="98"/>
      <c r="BAF6" s="98"/>
      <c r="BAG6" s="98"/>
      <c r="BAH6" s="98"/>
      <c r="BAI6" s="98"/>
      <c r="BAJ6" s="98"/>
      <c r="BAK6" s="98"/>
      <c r="BAL6" s="98"/>
      <c r="BAM6" s="98"/>
      <c r="BAN6" s="98"/>
      <c r="BAO6" s="98"/>
      <c r="BAP6" s="98"/>
      <c r="BAQ6" s="98"/>
      <c r="BAR6" s="98"/>
      <c r="BAS6" s="98"/>
      <c r="BAT6" s="98"/>
      <c r="BAU6" s="98"/>
      <c r="BAV6" s="98"/>
      <c r="BAW6" s="98"/>
      <c r="BAX6" s="98"/>
      <c r="BAY6" s="98"/>
      <c r="BAZ6" s="98"/>
      <c r="BBA6" s="98"/>
      <c r="BBB6" s="98"/>
      <c r="BBC6" s="98"/>
      <c r="BBD6" s="98"/>
      <c r="BBE6" s="98"/>
      <c r="BBF6" s="98"/>
      <c r="BBG6" s="98"/>
      <c r="BBH6" s="98"/>
      <c r="BBI6" s="98"/>
      <c r="BBJ6" s="98"/>
      <c r="BBK6" s="98"/>
      <c r="BBL6" s="98"/>
      <c r="BBM6" s="98"/>
      <c r="BBN6" s="98"/>
      <c r="BBO6" s="98"/>
      <c r="BBP6" s="98"/>
      <c r="BBQ6" s="98"/>
      <c r="BBR6" s="98"/>
      <c r="BBS6" s="98"/>
      <c r="BBT6" s="98"/>
      <c r="BBU6" s="98"/>
      <c r="BBV6" s="98"/>
      <c r="BBW6" s="98"/>
      <c r="BBX6" s="98"/>
      <c r="BBY6" s="98"/>
      <c r="BBZ6" s="98"/>
      <c r="BCA6" s="98"/>
      <c r="BCB6" s="98"/>
      <c r="BCC6" s="98"/>
      <c r="BCD6" s="98"/>
      <c r="BCE6" s="98"/>
      <c r="BCF6" s="98"/>
      <c r="BCG6" s="98"/>
      <c r="BCH6" s="98"/>
      <c r="BCI6" s="98"/>
      <c r="BCJ6" s="98"/>
      <c r="BCK6" s="98"/>
      <c r="BCL6" s="98"/>
      <c r="BCM6" s="98"/>
      <c r="BCN6" s="98"/>
      <c r="BCO6" s="98"/>
      <c r="BCP6" s="98"/>
      <c r="BCQ6" s="98"/>
      <c r="BCR6" s="98"/>
      <c r="BCS6" s="98"/>
      <c r="BCT6" s="98"/>
      <c r="BCU6" s="98"/>
      <c r="BCV6" s="98"/>
      <c r="BCW6" s="98"/>
      <c r="BCX6" s="98"/>
      <c r="BCY6" s="98"/>
      <c r="BCZ6" s="98"/>
      <c r="BDA6" s="98"/>
      <c r="BDB6" s="98"/>
      <c r="BDC6" s="98"/>
      <c r="BDD6" s="98"/>
      <c r="BDE6" s="98"/>
      <c r="BDF6" s="98"/>
      <c r="BDG6" s="98"/>
      <c r="BDH6" s="98"/>
      <c r="BDI6" s="98"/>
      <c r="BDJ6" s="98"/>
      <c r="BDK6" s="98"/>
      <c r="BDL6" s="98"/>
      <c r="BDM6" s="98"/>
      <c r="BDN6" s="98"/>
      <c r="BDO6" s="98"/>
      <c r="BDP6" s="98"/>
      <c r="BDQ6" s="98"/>
      <c r="BDR6" s="98"/>
      <c r="BDS6" s="98"/>
      <c r="BDT6" s="98"/>
      <c r="BDU6" s="98"/>
      <c r="BDV6" s="98"/>
      <c r="BDW6" s="98"/>
      <c r="BDX6" s="98"/>
      <c r="BDY6" s="98"/>
      <c r="BDZ6" s="98"/>
      <c r="BEA6" s="98"/>
      <c r="BEB6" s="98"/>
      <c r="BEC6" s="98"/>
      <c r="BED6" s="98"/>
      <c r="BEE6" s="98"/>
      <c r="BEF6" s="98"/>
      <c r="BEG6" s="98"/>
      <c r="BEH6" s="98"/>
      <c r="BEI6" s="98"/>
      <c r="BEJ6" s="98"/>
      <c r="BEK6" s="98"/>
      <c r="BEL6" s="98"/>
      <c r="BEM6" s="98"/>
      <c r="BEN6" s="98"/>
      <c r="BEO6" s="98"/>
      <c r="BEP6" s="98"/>
      <c r="BEQ6" s="98"/>
      <c r="BER6" s="98"/>
      <c r="BES6" s="98"/>
      <c r="BET6" s="98"/>
      <c r="BEU6" s="98"/>
      <c r="BEV6" s="98"/>
      <c r="BEW6" s="98"/>
      <c r="BEX6" s="98"/>
      <c r="BEY6" s="98"/>
      <c r="BEZ6" s="98"/>
      <c r="BFA6" s="98"/>
      <c r="BFB6" s="98"/>
      <c r="BFC6" s="98"/>
      <c r="BFD6" s="98"/>
      <c r="BFE6" s="98"/>
      <c r="BFF6" s="98"/>
      <c r="BFG6" s="98"/>
      <c r="BFH6" s="98"/>
      <c r="BFI6" s="98"/>
      <c r="BFJ6" s="98"/>
      <c r="BFK6" s="98"/>
      <c r="BFL6" s="98"/>
      <c r="BFM6" s="98"/>
      <c r="BFN6" s="98"/>
      <c r="BFO6" s="98"/>
      <c r="BFP6" s="98"/>
      <c r="BFQ6" s="98"/>
      <c r="BFR6" s="98"/>
      <c r="BFS6" s="98"/>
      <c r="BFT6" s="98"/>
      <c r="BFU6" s="98"/>
      <c r="BFV6" s="98"/>
      <c r="BFW6" s="98"/>
      <c r="BFX6" s="98"/>
      <c r="BFY6" s="98"/>
      <c r="BFZ6" s="98"/>
      <c r="BGA6" s="98"/>
      <c r="BGB6" s="98"/>
      <c r="BGC6" s="98"/>
      <c r="BGD6" s="98"/>
      <c r="BGE6" s="98"/>
      <c r="BGF6" s="98"/>
      <c r="BGG6" s="98"/>
      <c r="BGH6" s="98"/>
      <c r="BGI6" s="98"/>
      <c r="BGJ6" s="98"/>
      <c r="BGK6" s="98"/>
      <c r="BGL6" s="98"/>
      <c r="BGM6" s="98"/>
      <c r="BGN6" s="98"/>
      <c r="BGO6" s="98"/>
      <c r="BGP6" s="98"/>
      <c r="BGQ6" s="98"/>
      <c r="BGR6" s="98"/>
      <c r="BGS6" s="98"/>
      <c r="BGT6" s="98"/>
      <c r="BGU6" s="98"/>
      <c r="BGV6" s="98"/>
      <c r="BGW6" s="98"/>
      <c r="BGX6" s="98"/>
      <c r="BGY6" s="98"/>
      <c r="BGZ6" s="98"/>
      <c r="BHA6" s="98"/>
      <c r="BHB6" s="98"/>
      <c r="BHC6" s="98"/>
      <c r="BHD6" s="98"/>
      <c r="BHE6" s="98"/>
      <c r="BHF6" s="98"/>
      <c r="BHG6" s="98"/>
      <c r="BHH6" s="98"/>
      <c r="BHI6" s="98"/>
      <c r="BHJ6" s="98"/>
      <c r="BHK6" s="98"/>
      <c r="BHL6" s="98"/>
      <c r="BHM6" s="98"/>
      <c r="BHN6" s="98"/>
      <c r="BHO6" s="98"/>
      <c r="BHP6" s="98"/>
      <c r="BHQ6" s="98"/>
      <c r="BHR6" s="98"/>
      <c r="BHS6" s="98"/>
      <c r="BHT6" s="98"/>
      <c r="BHU6" s="98"/>
      <c r="BHV6" s="98"/>
      <c r="BHW6" s="98"/>
      <c r="BHX6" s="98"/>
      <c r="BHY6" s="98"/>
      <c r="BHZ6" s="98"/>
      <c r="BIA6" s="98"/>
      <c r="BIB6" s="98"/>
      <c r="BIC6" s="98"/>
      <c r="BID6" s="98"/>
      <c r="BIE6" s="98"/>
      <c r="BIF6" s="98"/>
      <c r="BIG6" s="98"/>
      <c r="BIH6" s="98"/>
      <c r="BII6" s="98"/>
      <c r="BIJ6" s="98"/>
      <c r="BIK6" s="98"/>
      <c r="BIL6" s="98"/>
      <c r="BIM6" s="98"/>
      <c r="BIN6" s="98"/>
      <c r="BIO6" s="98"/>
      <c r="BIP6" s="98"/>
      <c r="BIQ6" s="98"/>
      <c r="BIR6" s="98"/>
      <c r="BIS6" s="98"/>
      <c r="BIT6" s="98"/>
      <c r="BIU6" s="98"/>
      <c r="BIV6" s="98"/>
      <c r="BIW6" s="98"/>
      <c r="BIX6" s="98"/>
      <c r="BIY6" s="98"/>
      <c r="BIZ6" s="98"/>
      <c r="BJA6" s="98"/>
      <c r="BJB6" s="98"/>
      <c r="BJC6" s="98"/>
      <c r="BJD6" s="98"/>
      <c r="BJE6" s="98"/>
      <c r="BJF6" s="98"/>
      <c r="BJG6" s="98"/>
      <c r="BJH6" s="98"/>
      <c r="BJI6" s="98"/>
      <c r="BJJ6" s="98"/>
      <c r="BJK6" s="98"/>
      <c r="BJL6" s="98"/>
      <c r="BJM6" s="98"/>
      <c r="BJN6" s="98"/>
      <c r="BJO6" s="98"/>
      <c r="BJP6" s="98"/>
      <c r="BJQ6" s="98"/>
      <c r="BJR6" s="98"/>
      <c r="BJS6" s="98"/>
      <c r="BJT6" s="98"/>
      <c r="BJU6" s="98"/>
      <c r="BJV6" s="98"/>
      <c r="BJW6" s="98"/>
      <c r="BJX6" s="98"/>
      <c r="BJY6" s="98"/>
      <c r="BJZ6" s="98"/>
      <c r="BKA6" s="98"/>
      <c r="BKB6" s="98"/>
      <c r="BKC6" s="98"/>
      <c r="BKD6" s="98"/>
      <c r="BKE6" s="98"/>
      <c r="BKF6" s="98"/>
      <c r="BKG6" s="98"/>
      <c r="BKH6" s="98"/>
      <c r="BKI6" s="98"/>
      <c r="BKJ6" s="98"/>
      <c r="BKK6" s="98"/>
      <c r="BKL6" s="98"/>
      <c r="BKM6" s="98"/>
      <c r="BKN6" s="98"/>
      <c r="BKO6" s="98"/>
      <c r="BKP6" s="98"/>
      <c r="BKQ6" s="98"/>
      <c r="BKR6" s="98"/>
      <c r="BKS6" s="98"/>
      <c r="BKT6" s="98"/>
      <c r="BKU6" s="98"/>
      <c r="BKV6" s="98"/>
      <c r="BKW6" s="98"/>
      <c r="BKX6" s="98"/>
      <c r="BKY6" s="98"/>
      <c r="BKZ6" s="98"/>
      <c r="BLA6" s="98"/>
      <c r="BLB6" s="98"/>
      <c r="BLC6" s="98"/>
      <c r="BLD6" s="98"/>
      <c r="BLE6" s="98"/>
      <c r="BLF6" s="98"/>
      <c r="BLG6" s="98"/>
      <c r="BLH6" s="98"/>
      <c r="BLI6" s="98"/>
      <c r="BLJ6" s="98"/>
      <c r="BLK6" s="98"/>
      <c r="BLL6" s="98"/>
      <c r="BLM6" s="98"/>
      <c r="BLN6" s="98"/>
      <c r="BLO6" s="98"/>
      <c r="BLP6" s="98"/>
      <c r="BLQ6" s="98"/>
      <c r="BLR6" s="98"/>
      <c r="BLS6" s="98"/>
      <c r="BLT6" s="98"/>
      <c r="BLU6" s="98"/>
      <c r="BLV6" s="98"/>
      <c r="BLW6" s="98"/>
      <c r="BLX6" s="98"/>
      <c r="BLY6" s="98"/>
      <c r="BLZ6" s="98"/>
      <c r="BMA6" s="98"/>
      <c r="BMB6" s="98"/>
      <c r="BMC6" s="98"/>
      <c r="BMD6" s="98"/>
      <c r="BME6" s="98"/>
      <c r="BMF6" s="98"/>
      <c r="BMG6" s="98"/>
      <c r="BMH6" s="98"/>
      <c r="BMI6" s="98"/>
      <c r="BMJ6" s="98"/>
      <c r="BMK6" s="98"/>
      <c r="BML6" s="98"/>
      <c r="BMM6" s="98"/>
      <c r="BMN6" s="98"/>
      <c r="BMO6" s="98"/>
      <c r="BMP6" s="98"/>
      <c r="BMQ6" s="98"/>
      <c r="BMR6" s="98"/>
      <c r="BMS6" s="98"/>
      <c r="BMT6" s="98"/>
      <c r="BMU6" s="98"/>
      <c r="BMV6" s="98"/>
      <c r="BMW6" s="98"/>
      <c r="BMX6" s="98"/>
      <c r="BMY6" s="98"/>
      <c r="BMZ6" s="98"/>
      <c r="BNA6" s="98"/>
      <c r="BNB6" s="98"/>
      <c r="BNC6" s="98"/>
      <c r="BND6" s="98"/>
      <c r="BNE6" s="98"/>
      <c r="BNF6" s="98"/>
      <c r="BNG6" s="98"/>
      <c r="BNH6" s="98"/>
      <c r="BNI6" s="98"/>
      <c r="BNJ6" s="98"/>
      <c r="BNK6" s="98"/>
      <c r="BNL6" s="98"/>
      <c r="BNM6" s="98"/>
      <c r="BNN6" s="98"/>
      <c r="BNO6" s="98"/>
      <c r="BNP6" s="98"/>
      <c r="BNQ6" s="98"/>
      <c r="BNR6" s="98"/>
      <c r="BNS6" s="98"/>
      <c r="BNT6" s="98"/>
      <c r="BNU6" s="98"/>
      <c r="BNV6" s="98"/>
      <c r="BNW6" s="98"/>
      <c r="BNX6" s="98"/>
      <c r="BNY6" s="98"/>
      <c r="BNZ6" s="98"/>
      <c r="BOA6" s="98"/>
      <c r="BOB6" s="98"/>
      <c r="BOC6" s="98"/>
      <c r="BOD6" s="98"/>
      <c r="BOE6" s="98"/>
      <c r="BOF6" s="98"/>
      <c r="BOG6" s="98"/>
      <c r="BOH6" s="98"/>
      <c r="BOI6" s="98"/>
      <c r="BOJ6" s="98"/>
      <c r="BOK6" s="98"/>
      <c r="BOL6" s="98"/>
      <c r="BOM6" s="98"/>
      <c r="BON6" s="98"/>
      <c r="BOO6" s="98"/>
      <c r="BOP6" s="98"/>
      <c r="BOQ6" s="98"/>
      <c r="BOR6" s="98"/>
      <c r="BOS6" s="98"/>
      <c r="BOT6" s="98"/>
      <c r="BOU6" s="98"/>
      <c r="BOV6" s="98"/>
      <c r="BOW6" s="98"/>
      <c r="BOX6" s="98"/>
      <c r="BOY6" s="98"/>
      <c r="BOZ6" s="98"/>
      <c r="BPA6" s="98"/>
      <c r="BPB6" s="98"/>
      <c r="BPC6" s="98"/>
      <c r="BPD6" s="98"/>
      <c r="BPE6" s="98"/>
      <c r="BPF6" s="98"/>
      <c r="BPG6" s="98"/>
      <c r="BPH6" s="98"/>
      <c r="BPI6" s="98"/>
      <c r="BPJ6" s="98"/>
      <c r="BPK6" s="98"/>
      <c r="BPL6" s="98"/>
      <c r="BPM6" s="98"/>
      <c r="BPN6" s="98"/>
      <c r="BPO6" s="98"/>
      <c r="BPP6" s="98"/>
      <c r="BPQ6" s="98"/>
      <c r="BPR6" s="98"/>
      <c r="BPS6" s="98"/>
      <c r="BPT6" s="98"/>
      <c r="BPU6" s="98"/>
      <c r="BPV6" s="98"/>
      <c r="BPW6" s="98"/>
      <c r="BPX6" s="98"/>
      <c r="BPY6" s="98"/>
      <c r="BPZ6" s="98"/>
      <c r="BQA6" s="98"/>
      <c r="BQB6" s="98"/>
      <c r="BQC6" s="98"/>
      <c r="BQD6" s="98"/>
      <c r="BQE6" s="98"/>
      <c r="BQF6" s="98"/>
      <c r="BQG6" s="98"/>
      <c r="BQH6" s="98"/>
      <c r="BQI6" s="98"/>
      <c r="BQJ6" s="98"/>
      <c r="BQK6" s="98"/>
      <c r="BQL6" s="98"/>
      <c r="BQM6" s="98"/>
      <c r="BQN6" s="98"/>
      <c r="BQO6" s="98"/>
      <c r="BQP6" s="98"/>
      <c r="BQQ6" s="98"/>
      <c r="BQR6" s="98"/>
      <c r="BQS6" s="98"/>
      <c r="BQT6" s="98"/>
      <c r="BQU6" s="98"/>
      <c r="BQV6" s="98"/>
      <c r="BQW6" s="98"/>
      <c r="BQX6" s="98"/>
      <c r="BQY6" s="98"/>
      <c r="BQZ6" s="98"/>
      <c r="BRA6" s="98"/>
      <c r="BRB6" s="98"/>
      <c r="BRC6" s="98"/>
      <c r="BRD6" s="98"/>
      <c r="BRE6" s="98"/>
      <c r="BRF6" s="98"/>
      <c r="BRG6" s="98"/>
      <c r="BRH6" s="98"/>
      <c r="BRI6" s="98"/>
      <c r="BRJ6" s="98"/>
      <c r="BRK6" s="98"/>
      <c r="BRL6" s="98"/>
      <c r="BRM6" s="98"/>
      <c r="BRN6" s="98"/>
      <c r="BRO6" s="98"/>
      <c r="BRP6" s="98"/>
      <c r="BRQ6" s="98"/>
      <c r="BRR6" s="98"/>
      <c r="BRS6" s="98"/>
      <c r="BRT6" s="98"/>
      <c r="BRU6" s="98"/>
      <c r="BRV6" s="98"/>
      <c r="BRW6" s="98"/>
      <c r="BRX6" s="98"/>
      <c r="BRY6" s="98"/>
      <c r="BRZ6" s="98"/>
      <c r="BSA6" s="98"/>
      <c r="BSB6" s="98"/>
      <c r="BSC6" s="98"/>
      <c r="BSD6" s="98"/>
      <c r="BSE6" s="98"/>
      <c r="BSF6" s="98"/>
      <c r="BSG6" s="98"/>
      <c r="BSH6" s="98"/>
      <c r="BSI6" s="98"/>
      <c r="BSJ6" s="98"/>
      <c r="BSK6" s="98"/>
      <c r="BSL6" s="98"/>
      <c r="BSM6" s="98"/>
      <c r="BSN6" s="98"/>
      <c r="BSO6" s="98"/>
      <c r="BSP6" s="98"/>
      <c r="BSQ6" s="98"/>
      <c r="BSR6" s="98"/>
      <c r="BSS6" s="98"/>
      <c r="BST6" s="98"/>
      <c r="BSU6" s="98"/>
      <c r="BSV6" s="98"/>
      <c r="BSW6" s="98"/>
      <c r="BSX6" s="98"/>
      <c r="BSY6" s="98"/>
      <c r="BSZ6" s="98"/>
      <c r="BTA6" s="98"/>
      <c r="BTB6" s="98"/>
      <c r="BTC6" s="98"/>
      <c r="BTD6" s="98"/>
      <c r="BTE6" s="98"/>
      <c r="BTF6" s="98"/>
      <c r="BTG6" s="98"/>
      <c r="BTH6" s="98"/>
      <c r="BTI6" s="98"/>
      <c r="BTJ6" s="98"/>
      <c r="BTK6" s="98"/>
      <c r="BTL6" s="98"/>
      <c r="BTM6" s="98"/>
      <c r="BTN6" s="98"/>
      <c r="BTO6" s="98"/>
      <c r="BTP6" s="98"/>
      <c r="BTQ6" s="98"/>
      <c r="BTR6" s="98"/>
      <c r="BTS6" s="98"/>
      <c r="BTT6" s="98"/>
      <c r="BTU6" s="98"/>
      <c r="BTV6" s="98"/>
      <c r="BTW6" s="98"/>
      <c r="BTX6" s="98"/>
      <c r="BTY6" s="98"/>
      <c r="BTZ6" s="98"/>
      <c r="BUA6" s="98"/>
      <c r="BUB6" s="98"/>
      <c r="BUC6" s="98"/>
      <c r="BUD6" s="98"/>
      <c r="BUE6" s="98"/>
      <c r="BUF6" s="98"/>
      <c r="BUG6" s="98"/>
      <c r="BUH6" s="98"/>
      <c r="BUI6" s="98"/>
      <c r="BUJ6" s="98"/>
      <c r="BUK6" s="98"/>
      <c r="BUL6" s="98"/>
      <c r="BUM6" s="98"/>
      <c r="BUN6" s="98"/>
      <c r="BUO6" s="98"/>
      <c r="BUP6" s="98"/>
      <c r="BUQ6" s="98"/>
      <c r="BUR6" s="98"/>
      <c r="BUS6" s="98"/>
      <c r="BUT6" s="98"/>
      <c r="BUU6" s="98"/>
      <c r="BUV6" s="98"/>
      <c r="BUW6" s="98"/>
      <c r="BUX6" s="98"/>
      <c r="BUY6" s="98"/>
      <c r="BUZ6" s="98"/>
      <c r="BVA6" s="98"/>
      <c r="BVB6" s="98"/>
      <c r="BVC6" s="98"/>
      <c r="BVD6" s="98"/>
      <c r="BVE6" s="98"/>
      <c r="BVF6" s="98"/>
      <c r="BVG6" s="98"/>
      <c r="BVH6" s="98"/>
      <c r="BVI6" s="98"/>
      <c r="BVJ6" s="98"/>
      <c r="BVK6" s="98"/>
      <c r="BVL6" s="98"/>
      <c r="BVM6" s="98"/>
      <c r="BVN6" s="98"/>
      <c r="BVO6" s="98"/>
      <c r="BVP6" s="98"/>
      <c r="BVQ6" s="98"/>
      <c r="BVR6" s="98"/>
      <c r="BVS6" s="98"/>
      <c r="BVT6" s="98"/>
      <c r="BVU6" s="98"/>
      <c r="BVV6" s="98"/>
      <c r="BVW6" s="98"/>
      <c r="BVX6" s="98"/>
      <c r="BVY6" s="98"/>
      <c r="BVZ6" s="98"/>
      <c r="BWA6" s="98"/>
      <c r="BWB6" s="98"/>
      <c r="BWC6" s="98"/>
      <c r="BWD6" s="98"/>
      <c r="BWE6" s="98"/>
      <c r="BWF6" s="98"/>
      <c r="BWG6" s="98"/>
      <c r="BWH6" s="98"/>
      <c r="BWI6" s="98"/>
      <c r="BWJ6" s="98"/>
      <c r="BWK6" s="98"/>
      <c r="BWL6" s="98"/>
      <c r="BWM6" s="98"/>
      <c r="BWN6" s="98"/>
      <c r="BWO6" s="98"/>
      <c r="BWP6" s="98"/>
      <c r="BWQ6" s="98"/>
      <c r="BWR6" s="98"/>
      <c r="BWS6" s="98"/>
      <c r="BWT6" s="98"/>
      <c r="BWU6" s="98"/>
      <c r="BWV6" s="98"/>
      <c r="BWW6" s="98"/>
      <c r="BWX6" s="98"/>
      <c r="BWY6" s="98"/>
      <c r="BWZ6" s="98"/>
      <c r="BXA6" s="98"/>
      <c r="BXB6" s="98"/>
      <c r="BXC6" s="98"/>
      <c r="BXD6" s="98"/>
      <c r="BXE6" s="98"/>
      <c r="BXF6" s="98"/>
      <c r="BXG6" s="98"/>
      <c r="BXH6" s="98"/>
      <c r="BXI6" s="98"/>
      <c r="BXJ6" s="98"/>
      <c r="BXK6" s="98"/>
      <c r="BXL6" s="98"/>
      <c r="BXM6" s="98"/>
      <c r="BXN6" s="98"/>
      <c r="BXO6" s="98"/>
      <c r="BXP6" s="98"/>
      <c r="BXQ6" s="98"/>
      <c r="BXR6" s="98"/>
      <c r="BXS6" s="98"/>
      <c r="BXT6" s="98"/>
      <c r="BXU6" s="98"/>
      <c r="BXV6" s="98"/>
      <c r="BXW6" s="98"/>
      <c r="BXX6" s="98"/>
      <c r="BXY6" s="98"/>
      <c r="BXZ6" s="98"/>
      <c r="BYA6" s="98"/>
      <c r="BYB6" s="98"/>
      <c r="BYC6" s="98"/>
      <c r="BYD6" s="98"/>
      <c r="BYE6" s="98"/>
      <c r="BYF6" s="98"/>
      <c r="BYG6" s="98"/>
      <c r="BYH6" s="98"/>
      <c r="BYI6" s="98"/>
      <c r="BYJ6" s="98"/>
      <c r="BYK6" s="98"/>
      <c r="BYL6" s="98"/>
      <c r="BYM6" s="98"/>
      <c r="BYN6" s="98"/>
      <c r="BYO6" s="98"/>
      <c r="BYP6" s="98"/>
      <c r="BYQ6" s="98"/>
      <c r="BYR6" s="98"/>
      <c r="BYS6" s="98"/>
      <c r="BYT6" s="98"/>
      <c r="BYU6" s="98"/>
      <c r="BYV6" s="98"/>
      <c r="BYW6" s="98"/>
      <c r="BYX6" s="98"/>
      <c r="BYY6" s="98"/>
      <c r="BYZ6" s="98"/>
      <c r="BZA6" s="98"/>
      <c r="BZB6" s="98"/>
      <c r="BZC6" s="98"/>
      <c r="BZD6" s="98"/>
      <c r="BZE6" s="98"/>
      <c r="BZF6" s="98"/>
      <c r="BZG6" s="98"/>
      <c r="BZH6" s="98"/>
      <c r="BZI6" s="98"/>
      <c r="BZJ6" s="98"/>
      <c r="BZK6" s="98"/>
      <c r="BZL6" s="98"/>
      <c r="BZM6" s="98"/>
      <c r="BZN6" s="98"/>
      <c r="BZO6" s="98"/>
      <c r="BZP6" s="98"/>
      <c r="BZQ6" s="98"/>
      <c r="BZR6" s="98"/>
      <c r="BZS6" s="98"/>
      <c r="BZT6" s="98"/>
      <c r="BZU6" s="98"/>
      <c r="BZV6" s="98"/>
      <c r="BZW6" s="98"/>
      <c r="BZX6" s="98"/>
      <c r="BZY6" s="98"/>
      <c r="BZZ6" s="98"/>
      <c r="CAA6" s="98"/>
      <c r="CAB6" s="98"/>
      <c r="CAC6" s="98"/>
      <c r="CAD6" s="98"/>
      <c r="CAE6" s="98"/>
      <c r="CAF6" s="98"/>
      <c r="CAG6" s="98"/>
      <c r="CAH6" s="98"/>
      <c r="CAI6" s="98"/>
      <c r="CAJ6" s="98"/>
      <c r="CAK6" s="98"/>
      <c r="CAL6" s="98"/>
      <c r="CAM6" s="98"/>
      <c r="CAN6" s="98"/>
      <c r="CAO6" s="98"/>
      <c r="CAP6" s="98"/>
      <c r="CAQ6" s="98"/>
      <c r="CAR6" s="98"/>
      <c r="CAS6" s="98"/>
      <c r="CAT6" s="98"/>
      <c r="CAU6" s="98"/>
      <c r="CAV6" s="98"/>
      <c r="CAW6" s="98"/>
      <c r="CAX6" s="98"/>
      <c r="CAY6" s="98"/>
      <c r="CAZ6" s="98"/>
      <c r="CBA6" s="98"/>
      <c r="CBB6" s="98"/>
      <c r="CBC6" s="98"/>
      <c r="CBD6" s="98"/>
      <c r="CBE6" s="98"/>
      <c r="CBF6" s="98"/>
      <c r="CBG6" s="98"/>
      <c r="CBH6" s="98"/>
      <c r="CBI6" s="98"/>
      <c r="CBJ6" s="98"/>
      <c r="CBK6" s="98"/>
      <c r="CBL6" s="98"/>
      <c r="CBM6" s="98"/>
      <c r="CBN6" s="98"/>
      <c r="CBO6" s="98"/>
      <c r="CBP6" s="98"/>
      <c r="CBQ6" s="98"/>
      <c r="CBR6" s="98"/>
      <c r="CBS6" s="98"/>
      <c r="CBT6" s="98"/>
      <c r="CBU6" s="98"/>
      <c r="CBV6" s="98"/>
      <c r="CBW6" s="98"/>
      <c r="CBX6" s="98"/>
      <c r="CBY6" s="98"/>
      <c r="CBZ6" s="98"/>
      <c r="CCA6" s="98"/>
      <c r="CCB6" s="98"/>
      <c r="CCC6" s="98"/>
      <c r="CCD6" s="98"/>
      <c r="CCE6" s="98"/>
      <c r="CCF6" s="98"/>
      <c r="CCG6" s="98"/>
      <c r="CCH6" s="98"/>
      <c r="CCI6" s="98"/>
      <c r="CCJ6" s="98"/>
      <c r="CCK6" s="98"/>
      <c r="CCL6" s="98"/>
      <c r="CCM6" s="98"/>
      <c r="CCN6" s="98"/>
      <c r="CCO6" s="98"/>
      <c r="CCP6" s="98"/>
      <c r="CCQ6" s="98"/>
      <c r="CCR6" s="98"/>
      <c r="CCS6" s="98"/>
      <c r="CCT6" s="98"/>
      <c r="CCU6" s="98"/>
      <c r="CCV6" s="98"/>
    </row>
    <row r="7" spans="1:2129 15008:15070 15386:15394" ht="14.1" customHeight="1" x14ac:dyDescent="0.25">
      <c r="G7" s="205" t="s">
        <v>201</v>
      </c>
      <c r="H7" s="196"/>
      <c r="I7" s="97"/>
      <c r="J7" s="197"/>
      <c r="K7" s="97"/>
      <c r="L7" s="96"/>
      <c r="M7" s="95"/>
      <c r="N7" s="167"/>
      <c r="O7" s="167"/>
      <c r="P7" s="181"/>
      <c r="Q7" s="174"/>
      <c r="R7" s="96"/>
      <c r="S7" s="96"/>
      <c r="T7" s="95"/>
      <c r="U7" s="192"/>
      <c r="V7" s="192"/>
      <c r="W7" s="192"/>
      <c r="X7" s="94"/>
      <c r="Y7" s="94"/>
      <c r="Z7" s="94"/>
      <c r="AA7" s="94"/>
      <c r="AB7" s="94"/>
      <c r="AC7" s="235" t="s">
        <v>229</v>
      </c>
      <c r="AD7" s="92"/>
      <c r="AE7" s="92"/>
      <c r="AF7" s="92"/>
      <c r="AG7" s="235"/>
      <c r="AH7" s="92"/>
      <c r="AI7" s="92"/>
      <c r="AJ7" s="91" t="s">
        <v>230</v>
      </c>
      <c r="AK7" s="91"/>
      <c r="AL7" s="91"/>
      <c r="AM7" s="91"/>
      <c r="AN7" s="91"/>
      <c r="AO7" s="91"/>
      <c r="AP7" s="91"/>
      <c r="AQ7" s="92" t="s">
        <v>231</v>
      </c>
      <c r="AR7" s="92"/>
      <c r="AS7" s="235"/>
      <c r="AT7" s="92"/>
      <c r="AU7" s="92"/>
      <c r="AV7" s="92"/>
      <c r="AW7" s="92"/>
      <c r="AX7" s="91" t="s">
        <v>232</v>
      </c>
      <c r="AY7" s="91"/>
      <c r="AZ7" s="91"/>
      <c r="BA7" s="91"/>
      <c r="BB7" s="91"/>
      <c r="BC7" s="93"/>
      <c r="BD7" s="91"/>
      <c r="BE7" s="235" t="s">
        <v>233</v>
      </c>
      <c r="BF7" s="92"/>
      <c r="BG7" s="92"/>
      <c r="BH7" s="92"/>
      <c r="BI7" s="92"/>
      <c r="BJ7" s="92"/>
      <c r="BK7" s="92"/>
      <c r="BL7" s="91" t="s">
        <v>234</v>
      </c>
      <c r="BM7" s="91"/>
      <c r="BN7" s="91"/>
      <c r="BO7" s="93"/>
      <c r="BP7" s="91"/>
      <c r="BQ7" s="93"/>
      <c r="BR7" s="91"/>
      <c r="BS7" s="92" t="s">
        <v>235</v>
      </c>
      <c r="BT7" s="92"/>
      <c r="BU7" s="92"/>
      <c r="BV7" s="92"/>
      <c r="BW7" s="92"/>
      <c r="BX7" s="92"/>
      <c r="BY7" s="92"/>
      <c r="BZ7" s="91" t="s">
        <v>236</v>
      </c>
      <c r="CA7" s="91"/>
      <c r="CB7" s="91"/>
      <c r="CC7" s="93"/>
      <c r="CD7" s="91"/>
      <c r="CE7" s="91"/>
      <c r="CF7" s="91"/>
      <c r="CG7" s="92"/>
      <c r="CH7" s="92"/>
      <c r="CI7" s="92"/>
      <c r="CJ7" s="92"/>
      <c r="CK7" s="92"/>
      <c r="CL7" s="92"/>
      <c r="CM7" s="92"/>
      <c r="CN7" s="91"/>
      <c r="CO7" s="91"/>
      <c r="CP7" s="91"/>
      <c r="CQ7" s="91"/>
      <c r="CR7" s="91"/>
      <c r="CS7" s="91"/>
      <c r="CT7" s="91"/>
      <c r="CU7" s="92"/>
      <c r="CV7" s="92"/>
      <c r="CW7" s="92"/>
      <c r="CX7" s="92"/>
      <c r="CY7" s="92"/>
      <c r="CZ7" s="92"/>
      <c r="DA7" s="92"/>
      <c r="DB7" s="91"/>
      <c r="DC7" s="91"/>
      <c r="DD7" s="91"/>
      <c r="DE7" s="91"/>
      <c r="DF7" s="91"/>
      <c r="DG7" s="91"/>
      <c r="DH7" s="91"/>
      <c r="DI7" s="92"/>
      <c r="DJ7" s="92"/>
      <c r="DK7" s="92"/>
      <c r="DL7" s="92"/>
      <c r="DM7" s="92"/>
      <c r="DN7" s="92"/>
      <c r="DO7" s="92"/>
      <c r="DP7" s="91"/>
      <c r="DQ7" s="91"/>
      <c r="DR7" s="91"/>
      <c r="DS7" s="91"/>
      <c r="DT7" s="91"/>
      <c r="DU7" s="91"/>
      <c r="DV7" s="91"/>
      <c r="DW7" s="92"/>
      <c r="DX7" s="92"/>
      <c r="DY7" s="92"/>
      <c r="DZ7" s="92"/>
      <c r="EA7" s="92"/>
      <c r="EB7" s="92"/>
      <c r="EC7" s="92"/>
      <c r="ED7" s="91"/>
      <c r="EE7" s="91"/>
      <c r="EF7" s="91"/>
      <c r="EG7" s="91"/>
      <c r="EH7" s="91"/>
      <c r="EI7" s="91"/>
      <c r="EJ7" s="91"/>
      <c r="EK7" s="92"/>
      <c r="EL7" s="92"/>
      <c r="EM7" s="92"/>
      <c r="EN7" s="92"/>
      <c r="EO7" s="92"/>
      <c r="EP7" s="92"/>
      <c r="EQ7" s="92"/>
      <c r="ER7" s="91"/>
      <c r="ES7" s="91"/>
      <c r="ET7" s="91"/>
      <c r="EU7" s="91"/>
      <c r="EV7" s="91"/>
      <c r="EW7" s="91"/>
      <c r="EX7" s="91"/>
      <c r="EY7" s="92"/>
      <c r="EZ7" s="92"/>
      <c r="FA7" s="92"/>
      <c r="FB7" s="92"/>
      <c r="FC7" s="92"/>
      <c r="FD7" s="92"/>
      <c r="FE7" s="92"/>
      <c r="FF7" s="91"/>
      <c r="FG7" s="91"/>
      <c r="FH7" s="91"/>
      <c r="FI7" s="91"/>
      <c r="FJ7" s="91"/>
      <c r="FK7" s="91"/>
      <c r="FL7" s="91"/>
      <c r="FM7" s="92"/>
      <c r="FN7" s="92"/>
      <c r="FO7" s="92"/>
      <c r="FP7" s="92"/>
      <c r="FQ7" s="92"/>
      <c r="FR7" s="92"/>
      <c r="FS7" s="92"/>
      <c r="FT7" s="91"/>
      <c r="FU7" s="91"/>
      <c r="FV7" s="91"/>
      <c r="FW7" s="91"/>
      <c r="FX7" s="91"/>
      <c r="FY7" s="91"/>
      <c r="FZ7" s="91"/>
      <c r="GA7" s="92"/>
      <c r="GB7" s="92"/>
      <c r="GC7" s="92"/>
      <c r="GD7" s="92"/>
      <c r="GE7" s="92"/>
      <c r="GF7" s="92"/>
      <c r="GG7" s="92"/>
      <c r="GH7" s="91"/>
      <c r="GI7" s="91"/>
      <c r="GJ7" s="91"/>
      <c r="GK7" s="91"/>
      <c r="GL7" s="91"/>
      <c r="GM7" s="91"/>
      <c r="GN7" s="91"/>
      <c r="GO7" s="92"/>
      <c r="GP7" s="92"/>
      <c r="GQ7" s="92"/>
      <c r="GR7" s="92"/>
      <c r="GS7" s="92"/>
      <c r="GT7" s="92"/>
      <c r="GU7" s="92"/>
      <c r="GV7" s="91"/>
      <c r="GW7" s="91"/>
      <c r="GX7" s="91"/>
      <c r="GY7" s="91"/>
      <c r="GZ7" s="91"/>
      <c r="HA7" s="91"/>
      <c r="HB7" s="91"/>
      <c r="HC7" s="92"/>
      <c r="HD7" s="92"/>
      <c r="HE7" s="92"/>
      <c r="HF7" s="92"/>
      <c r="HG7" s="92"/>
      <c r="HH7" s="92"/>
      <c r="HI7" s="92"/>
      <c r="HJ7" s="91"/>
      <c r="HK7" s="91"/>
      <c r="HL7" s="91"/>
      <c r="HM7" s="91"/>
      <c r="HN7" s="91"/>
      <c r="HO7" s="91"/>
      <c r="HP7" s="91"/>
      <c r="HQ7" s="92"/>
      <c r="HR7" s="92"/>
      <c r="HS7" s="92"/>
      <c r="HT7" s="92"/>
      <c r="HU7" s="92"/>
      <c r="HV7" s="92"/>
      <c r="HW7" s="92"/>
      <c r="HX7" s="91"/>
      <c r="HY7" s="91"/>
      <c r="HZ7" s="91"/>
      <c r="IA7" s="91"/>
      <c r="IB7" s="91"/>
      <c r="IC7" s="91"/>
      <c r="ID7" s="91"/>
      <c r="IE7" s="92"/>
      <c r="IF7" s="92"/>
      <c r="IG7" s="92"/>
      <c r="IH7" s="92"/>
      <c r="II7" s="92"/>
      <c r="IJ7" s="92"/>
      <c r="IK7" s="92"/>
      <c r="IL7" s="91"/>
      <c r="IM7" s="91"/>
      <c r="IN7" s="91"/>
      <c r="IO7" s="91"/>
      <c r="IP7" s="91"/>
      <c r="IQ7" s="91"/>
      <c r="IR7" s="91"/>
      <c r="IS7" s="92"/>
      <c r="IT7" s="92"/>
      <c r="IU7" s="92"/>
      <c r="IV7" s="92"/>
      <c r="IW7" s="92"/>
      <c r="IX7" s="92"/>
      <c r="IY7" s="92"/>
      <c r="IZ7" s="91"/>
      <c r="JA7" s="91"/>
      <c r="JB7" s="91"/>
      <c r="JC7" s="91"/>
      <c r="JD7" s="91"/>
      <c r="JE7" s="91"/>
      <c r="JF7" s="91"/>
      <c r="JG7" s="92"/>
      <c r="JH7" s="92"/>
      <c r="JI7" s="92"/>
      <c r="JJ7" s="92"/>
      <c r="JK7" s="92"/>
      <c r="JL7" s="92"/>
      <c r="JM7" s="92"/>
      <c r="JN7" s="91"/>
      <c r="JO7" s="91"/>
      <c r="JP7" s="91"/>
      <c r="JQ7" s="91"/>
      <c r="JR7" s="91"/>
      <c r="JS7" s="91"/>
      <c r="JT7" s="91"/>
      <c r="JU7" s="92"/>
      <c r="JV7" s="92"/>
      <c r="JW7" s="92"/>
      <c r="JX7" s="92"/>
      <c r="JY7" s="92"/>
      <c r="JZ7" s="92"/>
      <c r="KA7" s="92"/>
      <c r="KB7" s="91"/>
      <c r="KC7" s="91"/>
      <c r="KD7" s="91"/>
      <c r="KE7" s="91"/>
      <c r="KF7" s="91"/>
      <c r="KG7" s="91"/>
      <c r="KH7" s="91"/>
      <c r="KI7" s="92"/>
      <c r="KJ7" s="92"/>
      <c r="KK7" s="92"/>
      <c r="KL7" s="92"/>
      <c r="KM7" s="92"/>
      <c r="KN7" s="92"/>
      <c r="KO7" s="92"/>
      <c r="KP7" s="91"/>
      <c r="KQ7" s="91"/>
      <c r="KR7" s="91"/>
      <c r="KS7" s="91"/>
      <c r="KT7" s="91"/>
      <c r="KU7" s="91"/>
      <c r="KV7" s="91"/>
      <c r="KW7" s="92"/>
      <c r="KX7" s="92"/>
      <c r="KY7" s="92"/>
      <c r="KZ7" s="92"/>
      <c r="LA7" s="92"/>
      <c r="LB7" s="92"/>
      <c r="LC7" s="92"/>
      <c r="LD7" s="91"/>
      <c r="LE7" s="91"/>
      <c r="LF7" s="91"/>
      <c r="LG7" s="91"/>
      <c r="LH7" s="91"/>
      <c r="LI7" s="91"/>
      <c r="LJ7" s="91"/>
      <c r="LK7" s="92"/>
      <c r="LL7" s="92"/>
      <c r="LM7" s="92"/>
      <c r="LN7" s="92"/>
      <c r="LO7" s="92"/>
      <c r="LP7" s="92"/>
      <c r="LQ7" s="92"/>
      <c r="LR7" s="91"/>
      <c r="LS7" s="91"/>
      <c r="LT7" s="91"/>
      <c r="LU7" s="91"/>
      <c r="LV7" s="91"/>
      <c r="LW7" s="91"/>
      <c r="LX7" s="91"/>
      <c r="LY7" s="92"/>
      <c r="LZ7" s="92"/>
      <c r="MA7" s="92"/>
      <c r="MB7" s="92"/>
      <c r="MC7" s="92"/>
      <c r="MD7" s="92"/>
      <c r="ME7" s="92"/>
      <c r="MF7" s="91"/>
      <c r="MG7" s="91"/>
      <c r="MH7" s="91"/>
      <c r="MI7" s="91"/>
      <c r="MJ7" s="91"/>
      <c r="MK7" s="91"/>
      <c r="ML7" s="91"/>
      <c r="MM7" s="92"/>
      <c r="MN7" s="92"/>
      <c r="MO7" s="92"/>
      <c r="MP7" s="92"/>
      <c r="MQ7" s="92"/>
      <c r="MR7" s="92"/>
      <c r="MS7" s="92"/>
      <c r="MT7" s="91"/>
      <c r="MU7" s="91"/>
      <c r="MV7" s="91"/>
      <c r="MW7" s="91"/>
      <c r="MX7" s="91"/>
      <c r="MY7" s="91"/>
      <c r="MZ7" s="91"/>
      <c r="NA7" s="92"/>
      <c r="NB7" s="92"/>
      <c r="NC7" s="92"/>
      <c r="ND7" s="92"/>
      <c r="NE7" s="92"/>
      <c r="NF7" s="92"/>
      <c r="NG7" s="92"/>
      <c r="NH7" s="91"/>
      <c r="NI7" s="91"/>
      <c r="NJ7" s="91"/>
      <c r="NK7" s="91"/>
      <c r="NL7" s="91"/>
      <c r="NM7" s="91"/>
      <c r="NN7" s="91"/>
      <c r="NO7" s="92"/>
      <c r="NP7" s="92"/>
      <c r="NQ7" s="92"/>
      <c r="NR7" s="92"/>
      <c r="NS7" s="92"/>
      <c r="NT7" s="92"/>
      <c r="NU7" s="92"/>
      <c r="NV7" s="91"/>
      <c r="NW7" s="91"/>
      <c r="NX7" s="91"/>
      <c r="NY7" s="91"/>
      <c r="NZ7" s="91"/>
      <c r="OA7" s="91"/>
      <c r="OB7" s="91"/>
      <c r="OC7" s="92"/>
      <c r="OD7" s="92"/>
      <c r="OE7" s="92"/>
      <c r="OF7" s="92"/>
      <c r="OG7" s="92"/>
      <c r="OH7" s="92"/>
      <c r="OI7" s="92"/>
      <c r="OJ7" s="91"/>
      <c r="OK7" s="91"/>
      <c r="OL7" s="91"/>
      <c r="OM7" s="91"/>
      <c r="ON7" s="91"/>
      <c r="OO7" s="91"/>
      <c r="OP7" s="91"/>
      <c r="OQ7" s="92"/>
      <c r="OR7" s="92"/>
      <c r="OS7" s="92"/>
      <c r="OT7" s="92"/>
      <c r="OU7" s="92"/>
      <c r="OV7" s="92"/>
      <c r="OW7" s="92"/>
      <c r="OX7" s="91"/>
      <c r="OY7" s="91"/>
      <c r="OZ7" s="91"/>
      <c r="PA7" s="91"/>
      <c r="PB7" s="91"/>
      <c r="PC7" s="91"/>
      <c r="PD7" s="91"/>
      <c r="PE7" s="92"/>
      <c r="PF7" s="92"/>
      <c r="PG7" s="92"/>
      <c r="PH7" s="92"/>
      <c r="PI7" s="92"/>
      <c r="PJ7" s="92"/>
      <c r="PK7" s="92"/>
      <c r="PL7" s="91"/>
      <c r="PM7" s="91"/>
      <c r="PN7" s="91"/>
      <c r="PO7" s="91"/>
      <c r="PP7" s="91"/>
      <c r="PQ7" s="91"/>
      <c r="PR7" s="91"/>
      <c r="PS7" s="92"/>
      <c r="PT7" s="92"/>
      <c r="PU7" s="92"/>
      <c r="PV7" s="92"/>
      <c r="PW7" s="92"/>
      <c r="PX7" s="92"/>
      <c r="PY7" s="92"/>
      <c r="PZ7" s="91"/>
      <c r="QA7" s="91"/>
      <c r="QB7" s="91"/>
      <c r="QC7" s="91"/>
      <c r="QD7" s="91"/>
      <c r="QE7" s="91"/>
      <c r="QF7" s="91"/>
      <c r="QG7" s="92"/>
      <c r="QH7" s="92"/>
      <c r="QI7" s="92"/>
      <c r="QJ7" s="92"/>
      <c r="QK7" s="92"/>
      <c r="QL7" s="92"/>
      <c r="QM7" s="92"/>
      <c r="QN7" s="91"/>
      <c r="QO7" s="91"/>
      <c r="QP7" s="91"/>
      <c r="QQ7" s="91"/>
      <c r="QR7" s="91"/>
      <c r="QS7" s="91"/>
      <c r="QT7" s="91"/>
      <c r="QU7" s="92"/>
      <c r="QV7" s="92"/>
      <c r="QW7" s="92"/>
      <c r="QX7" s="92"/>
      <c r="QY7" s="92"/>
      <c r="QZ7" s="92"/>
      <c r="RA7" s="92"/>
      <c r="RB7" s="91"/>
      <c r="RC7" s="91"/>
      <c r="RD7" s="91"/>
      <c r="RE7" s="91"/>
      <c r="RF7" s="91"/>
      <c r="RG7" s="91"/>
      <c r="RH7" s="91"/>
      <c r="RI7" s="92"/>
      <c r="RJ7" s="92"/>
      <c r="RK7" s="92"/>
      <c r="RL7" s="92"/>
      <c r="RM7" s="92"/>
      <c r="RN7" s="92"/>
      <c r="RO7" s="92"/>
      <c r="RP7" s="91"/>
      <c r="RQ7" s="91"/>
      <c r="RR7" s="91"/>
      <c r="RS7" s="91"/>
      <c r="RT7" s="91"/>
      <c r="RU7" s="91"/>
      <c r="RV7" s="91"/>
      <c r="RW7" s="92"/>
      <c r="RX7" s="92"/>
      <c r="RY7" s="92"/>
      <c r="RZ7" s="92"/>
      <c r="SA7" s="92"/>
      <c r="SB7" s="92"/>
      <c r="SC7" s="92"/>
      <c r="SD7" s="91"/>
      <c r="SE7" s="91"/>
      <c r="SF7" s="91"/>
      <c r="SG7" s="91"/>
      <c r="SH7" s="91"/>
      <c r="SI7" s="91"/>
      <c r="SJ7" s="91"/>
      <c r="SK7" s="92"/>
      <c r="SL7" s="92"/>
      <c r="SM7" s="92"/>
      <c r="SN7" s="92"/>
      <c r="SO7" s="92"/>
      <c r="SP7" s="92"/>
      <c r="SQ7" s="92"/>
      <c r="SR7" s="91"/>
      <c r="SS7" s="91"/>
      <c r="ST7" s="91"/>
      <c r="SU7" s="91"/>
      <c r="SV7" s="91"/>
      <c r="SW7" s="91"/>
      <c r="SX7" s="91"/>
      <c r="SY7" s="92"/>
      <c r="SZ7" s="92"/>
      <c r="TA7" s="92"/>
      <c r="TB7" s="92"/>
      <c r="TC7" s="92"/>
      <c r="TD7" s="92"/>
      <c r="TE7" s="92"/>
      <c r="TF7" s="91"/>
      <c r="TG7" s="91"/>
      <c r="TH7" s="91"/>
      <c r="TI7" s="91"/>
      <c r="TJ7" s="91"/>
      <c r="TK7" s="91"/>
      <c r="TL7" s="91"/>
      <c r="TM7" s="92"/>
      <c r="TN7" s="92"/>
      <c r="TO7" s="92"/>
      <c r="TP7" s="92"/>
      <c r="TQ7" s="92"/>
      <c r="TR7" s="92"/>
      <c r="TS7" s="92"/>
      <c r="TT7" s="91"/>
      <c r="TU7" s="91"/>
      <c r="TV7" s="91"/>
      <c r="TW7" s="91"/>
      <c r="TX7" s="91"/>
      <c r="TY7" s="91"/>
      <c r="TZ7" s="91"/>
      <c r="UA7" s="92"/>
      <c r="UB7" s="92"/>
      <c r="UC7" s="92"/>
      <c r="UD7" s="92"/>
      <c r="UE7" s="92"/>
      <c r="UF7" s="92"/>
      <c r="UG7" s="92"/>
      <c r="UH7" s="91"/>
      <c r="UI7" s="91"/>
      <c r="UJ7" s="91"/>
      <c r="UK7" s="91"/>
      <c r="UL7" s="91"/>
      <c r="UM7" s="91"/>
      <c r="UN7" s="91"/>
      <c r="UO7" s="92"/>
      <c r="UP7" s="92"/>
      <c r="UQ7" s="92"/>
      <c r="UR7" s="92"/>
      <c r="US7" s="92"/>
      <c r="UT7" s="92"/>
      <c r="UU7" s="92"/>
      <c r="UV7" s="91"/>
      <c r="UW7" s="91"/>
      <c r="UX7" s="91"/>
      <c r="UY7" s="91"/>
      <c r="UZ7" s="91"/>
      <c r="VA7" s="91"/>
      <c r="VB7" s="91"/>
      <c r="VC7" s="92"/>
      <c r="VD7" s="92"/>
      <c r="VE7" s="92"/>
      <c r="VF7" s="92"/>
      <c r="VG7" s="92"/>
      <c r="VH7" s="92"/>
      <c r="VI7" s="92"/>
      <c r="VJ7" s="91"/>
      <c r="VK7" s="91"/>
      <c r="VL7" s="91"/>
      <c r="VM7" s="91"/>
      <c r="VN7" s="91"/>
      <c r="VO7" s="91"/>
      <c r="VP7" s="91"/>
      <c r="VQ7" s="92"/>
      <c r="VR7" s="92"/>
      <c r="VS7" s="92"/>
      <c r="VT7" s="92"/>
      <c r="VU7" s="92"/>
      <c r="VV7" s="92"/>
      <c r="VW7" s="92"/>
      <c r="VX7" s="91"/>
      <c r="VY7" s="91"/>
      <c r="VZ7" s="91"/>
      <c r="WA7" s="91"/>
      <c r="WB7" s="91"/>
      <c r="WC7" s="91"/>
      <c r="WD7" s="91"/>
      <c r="WE7" s="92"/>
      <c r="WF7" s="92"/>
      <c r="WG7" s="92"/>
      <c r="WH7" s="92"/>
      <c r="WI7" s="92"/>
      <c r="WJ7" s="92"/>
      <c r="WK7" s="92"/>
      <c r="WL7" s="91"/>
      <c r="WM7" s="91"/>
      <c r="WN7" s="91"/>
      <c r="WO7" s="91"/>
      <c r="WP7" s="91"/>
      <c r="WQ7" s="91"/>
      <c r="WR7" s="91"/>
      <c r="WS7" s="92"/>
      <c r="WT7" s="92"/>
      <c r="WU7" s="92"/>
      <c r="WV7" s="92"/>
      <c r="WW7" s="92"/>
      <c r="WX7" s="92"/>
      <c r="WY7" s="92"/>
      <c r="WZ7" s="91"/>
      <c r="XA7" s="91"/>
      <c r="XB7" s="91"/>
      <c r="XC7" s="91"/>
      <c r="XD7" s="91"/>
      <c r="XE7" s="91"/>
      <c r="XF7" s="91"/>
      <c r="XG7" s="92"/>
      <c r="XH7" s="92"/>
      <c r="XI7" s="92"/>
      <c r="XJ7" s="92"/>
      <c r="XK7" s="92"/>
      <c r="XL7" s="92"/>
      <c r="XM7" s="92"/>
      <c r="XN7" s="91"/>
      <c r="XO7" s="91"/>
      <c r="XP7" s="91"/>
      <c r="XQ7" s="91"/>
      <c r="XR7" s="91"/>
      <c r="XS7" s="91"/>
      <c r="XT7" s="91"/>
      <c r="XU7" s="92"/>
      <c r="XV7" s="92"/>
      <c r="XW7" s="92"/>
      <c r="XX7" s="92"/>
      <c r="XY7" s="92"/>
      <c r="XZ7" s="92"/>
      <c r="YA7" s="92"/>
      <c r="YB7" s="91"/>
      <c r="YC7" s="91"/>
      <c r="YD7" s="91"/>
      <c r="YE7" s="91"/>
      <c r="YF7" s="91"/>
      <c r="YG7" s="91"/>
      <c r="YH7" s="91"/>
      <c r="YI7" s="92"/>
      <c r="YJ7" s="92"/>
      <c r="YK7" s="92"/>
      <c r="YL7" s="92"/>
      <c r="YM7" s="92"/>
      <c r="YN7" s="92"/>
      <c r="YO7" s="92"/>
      <c r="YP7" s="91"/>
      <c r="YQ7" s="91"/>
      <c r="YR7" s="91"/>
      <c r="YS7" s="91"/>
      <c r="YT7" s="91"/>
      <c r="YU7" s="91"/>
      <c r="YV7" s="91"/>
      <c r="YW7" s="92"/>
      <c r="YX7" s="92"/>
      <c r="YY7" s="92"/>
      <c r="YZ7" s="92"/>
      <c r="ZA7" s="92"/>
      <c r="ZB7" s="92"/>
      <c r="ZC7" s="92"/>
      <c r="ZD7" s="91"/>
      <c r="ZE7" s="91"/>
      <c r="ZF7" s="91"/>
      <c r="ZG7" s="91"/>
      <c r="ZH7" s="91"/>
      <c r="ZI7" s="91"/>
      <c r="ZJ7" s="91"/>
      <c r="ZK7" s="92"/>
      <c r="ZL7" s="92"/>
      <c r="ZM7" s="92"/>
      <c r="ZN7" s="92"/>
      <c r="ZO7" s="92"/>
      <c r="ZP7" s="92"/>
      <c r="ZQ7" s="92"/>
      <c r="ZR7" s="91"/>
      <c r="ZS7" s="91"/>
      <c r="ZT7" s="91"/>
      <c r="ZU7" s="91"/>
      <c r="ZV7" s="91"/>
      <c r="ZW7" s="91"/>
      <c r="ZX7" s="91"/>
      <c r="ZY7" s="92"/>
      <c r="ZZ7" s="92"/>
      <c r="AAA7" s="92"/>
      <c r="AAB7" s="92"/>
      <c r="AAC7" s="92"/>
      <c r="AAD7" s="92"/>
      <c r="AAE7" s="92"/>
      <c r="AAF7" s="91"/>
      <c r="AAG7" s="91"/>
      <c r="AAH7" s="91"/>
      <c r="AAI7" s="91"/>
      <c r="AAJ7" s="91"/>
      <c r="AAK7" s="91"/>
      <c r="AAL7" s="91"/>
      <c r="AAM7" s="92"/>
      <c r="AAN7" s="92"/>
      <c r="AAO7" s="92"/>
      <c r="AAP7" s="92"/>
      <c r="AAQ7" s="92"/>
      <c r="AAR7" s="92"/>
      <c r="AAS7" s="92"/>
      <c r="AAT7" s="91"/>
      <c r="AAU7" s="91"/>
      <c r="AAV7" s="91"/>
      <c r="AAW7" s="91"/>
      <c r="AAX7" s="91"/>
      <c r="AAY7" s="91"/>
      <c r="AAZ7" s="91"/>
      <c r="ABA7" s="92"/>
      <c r="ABB7" s="92"/>
      <c r="ABC7" s="92"/>
      <c r="ABD7" s="92"/>
      <c r="ABE7" s="92"/>
      <c r="ABF7" s="92"/>
      <c r="ABG7" s="92"/>
      <c r="ABH7" s="91"/>
      <c r="ABI7" s="91"/>
      <c r="ABJ7" s="91"/>
      <c r="ABK7" s="91"/>
      <c r="ABL7" s="91"/>
      <c r="ABM7" s="91"/>
      <c r="ABN7" s="91"/>
      <c r="ABO7" s="92"/>
      <c r="ABP7" s="92"/>
      <c r="ABQ7" s="92"/>
      <c r="ABR7" s="92"/>
      <c r="ABS7" s="92"/>
      <c r="ABT7" s="92"/>
      <c r="ABU7" s="92"/>
      <c r="ABV7" s="91"/>
      <c r="ABW7" s="91"/>
      <c r="ABX7" s="91"/>
      <c r="ABY7" s="91"/>
      <c r="ABZ7" s="91"/>
      <c r="ACA7" s="91"/>
      <c r="ACB7" s="91"/>
      <c r="ACC7" s="92"/>
      <c r="ACD7" s="92"/>
      <c r="ACE7" s="92"/>
      <c r="ACF7" s="92"/>
      <c r="ACG7" s="92"/>
      <c r="ACH7" s="92"/>
      <c r="ACI7" s="92"/>
      <c r="ACJ7" s="91"/>
      <c r="ACK7" s="91"/>
      <c r="ACL7" s="91"/>
      <c r="ACM7" s="91"/>
      <c r="ACN7" s="91"/>
      <c r="ACO7" s="91"/>
      <c r="ACP7" s="91"/>
      <c r="ACQ7" s="92"/>
      <c r="ACR7" s="92"/>
      <c r="ACS7" s="92"/>
      <c r="ACT7" s="92"/>
      <c r="ACU7" s="92"/>
      <c r="ACV7" s="92"/>
      <c r="ACW7" s="92"/>
      <c r="ACX7" s="91"/>
      <c r="ACY7" s="91"/>
      <c r="ACZ7" s="91"/>
      <c r="ADA7" s="91"/>
      <c r="ADB7" s="91"/>
      <c r="ADC7" s="91"/>
      <c r="ADD7" s="91"/>
      <c r="ADE7" s="92"/>
      <c r="ADF7" s="92"/>
      <c r="ADG7" s="92"/>
      <c r="ADH7" s="92"/>
      <c r="ADI7" s="92"/>
      <c r="ADJ7" s="92"/>
      <c r="ADK7" s="92"/>
      <c r="ADL7" s="91"/>
      <c r="ADM7" s="91"/>
      <c r="ADN7" s="91"/>
      <c r="ADO7" s="91"/>
      <c r="ADP7" s="91"/>
      <c r="ADQ7" s="91"/>
      <c r="ADR7" s="91"/>
      <c r="ADS7" s="92"/>
      <c r="ADT7" s="92"/>
      <c r="ADU7" s="92"/>
      <c r="ADV7" s="92"/>
      <c r="ADW7" s="92"/>
      <c r="ADX7" s="92"/>
      <c r="ADY7" s="92"/>
      <c r="ADZ7" s="91"/>
      <c r="AEA7" s="91"/>
      <c r="AEB7" s="91"/>
      <c r="AEC7" s="91"/>
      <c r="AED7" s="91"/>
      <c r="AEE7" s="91"/>
      <c r="AEF7" s="91"/>
      <c r="AEG7" s="92"/>
      <c r="AEH7" s="92"/>
      <c r="AEI7" s="92"/>
      <c r="AEJ7" s="92"/>
      <c r="AEK7" s="92"/>
      <c r="AEL7" s="92"/>
      <c r="AEM7" s="92"/>
      <c r="AEN7" s="91"/>
      <c r="AEO7" s="91"/>
      <c r="AEP7" s="91"/>
      <c r="AEQ7" s="91"/>
      <c r="AER7" s="91"/>
      <c r="AES7" s="91"/>
      <c r="AET7" s="91"/>
      <c r="AEU7" s="92"/>
      <c r="AEV7" s="92"/>
      <c r="AEW7" s="92"/>
      <c r="AEX7" s="92"/>
      <c r="AEY7" s="92"/>
      <c r="AEZ7" s="92"/>
      <c r="AFA7" s="92"/>
      <c r="AFB7" s="91"/>
      <c r="AFC7" s="91"/>
      <c r="AFD7" s="91"/>
      <c r="AFE7" s="91"/>
      <c r="AFF7" s="91"/>
      <c r="AFG7" s="91"/>
      <c r="AFH7" s="91"/>
      <c r="AFI7" s="92"/>
      <c r="AFJ7" s="92"/>
      <c r="AFK7" s="92"/>
      <c r="AFL7" s="92"/>
      <c r="AFM7" s="92"/>
      <c r="AFN7" s="92"/>
      <c r="AFO7" s="92"/>
      <c r="AFP7" s="91"/>
      <c r="AFQ7" s="91"/>
      <c r="AFR7" s="91"/>
      <c r="AFS7" s="91"/>
      <c r="AFT7" s="91"/>
      <c r="AFU7" s="91"/>
      <c r="AFV7" s="91"/>
      <c r="AFW7" s="92"/>
      <c r="AFX7" s="92"/>
      <c r="AFY7" s="92"/>
      <c r="AFZ7" s="92"/>
      <c r="AGA7" s="92"/>
      <c r="AGB7" s="92"/>
      <c r="AGC7" s="92"/>
      <c r="AGD7" s="91"/>
      <c r="AGE7" s="91"/>
      <c r="AGF7" s="91"/>
      <c r="AGG7" s="91"/>
      <c r="AGH7" s="91"/>
      <c r="AGI7" s="91"/>
      <c r="AGJ7" s="91"/>
      <c r="AGK7" s="92"/>
      <c r="AGL7" s="92"/>
      <c r="AGM7" s="92"/>
      <c r="AGN7" s="92"/>
      <c r="AGO7" s="92"/>
      <c r="AGP7" s="92"/>
      <c r="AGQ7" s="92"/>
      <c r="AGR7" s="91"/>
      <c r="AGS7" s="91"/>
      <c r="AGT7" s="91"/>
      <c r="AGU7" s="91"/>
      <c r="AGV7" s="91"/>
      <c r="AGW7" s="91"/>
      <c r="AGX7" s="91"/>
      <c r="AGY7" s="92"/>
      <c r="AGZ7" s="92"/>
      <c r="AHA7" s="92"/>
      <c r="AHB7" s="92"/>
      <c r="AHC7" s="92"/>
      <c r="AHD7" s="92"/>
      <c r="AHE7" s="92"/>
      <c r="AHF7" s="91"/>
      <c r="AHG7" s="91"/>
      <c r="AHH7" s="91"/>
      <c r="AHI7" s="91"/>
      <c r="AHJ7" s="91"/>
      <c r="AHK7" s="91"/>
      <c r="AHL7" s="91"/>
      <c r="AHM7" s="92"/>
      <c r="AHN7" s="92"/>
      <c r="AHO7" s="92"/>
      <c r="AHP7" s="92"/>
      <c r="AHQ7" s="92"/>
      <c r="AHR7" s="92"/>
      <c r="AHS7" s="92"/>
      <c r="AHT7" s="91"/>
      <c r="AHU7" s="91"/>
      <c r="AHV7" s="91"/>
      <c r="AHW7" s="91"/>
      <c r="AHX7" s="91"/>
      <c r="AHY7" s="91"/>
      <c r="AHZ7" s="91"/>
      <c r="AIA7" s="92"/>
      <c r="AIB7" s="92"/>
      <c r="AIC7" s="92"/>
      <c r="AID7" s="92"/>
      <c r="AIE7" s="92"/>
      <c r="AIF7" s="92"/>
      <c r="AIG7" s="92"/>
      <c r="AIH7" s="91"/>
      <c r="AII7" s="91"/>
      <c r="AIJ7" s="91"/>
      <c r="AIK7" s="91"/>
      <c r="AIL7" s="91"/>
      <c r="AIM7" s="91"/>
      <c r="AIN7" s="91"/>
      <c r="AIO7" s="92"/>
      <c r="AIP7" s="92"/>
      <c r="AIQ7" s="92"/>
      <c r="AIR7" s="92"/>
      <c r="AIS7" s="92"/>
      <c r="AIT7" s="92"/>
      <c r="AIU7" s="92"/>
      <c r="AIV7" s="91"/>
      <c r="AIW7" s="91"/>
      <c r="AIX7" s="91"/>
      <c r="AIY7" s="91"/>
      <c r="AIZ7" s="91"/>
      <c r="AJA7" s="91"/>
      <c r="AJB7" s="91"/>
      <c r="AJC7" s="92"/>
      <c r="AJD7" s="92"/>
      <c r="AJE7" s="92"/>
      <c r="AJF7" s="92"/>
      <c r="AJG7" s="92"/>
      <c r="AJH7" s="92"/>
      <c r="AJI7" s="92"/>
      <c r="AJJ7" s="91"/>
      <c r="AJK7" s="91"/>
      <c r="AJL7" s="91"/>
      <c r="AJM7" s="91"/>
      <c r="AJN7" s="91"/>
      <c r="AJO7" s="91"/>
      <c r="AJP7" s="91"/>
      <c r="AJQ7" s="92"/>
      <c r="AJR7" s="92"/>
      <c r="AJS7" s="92"/>
      <c r="AJT7" s="92"/>
      <c r="AJU7" s="92"/>
      <c r="AJV7" s="92"/>
      <c r="AJW7" s="92"/>
      <c r="AJX7" s="91"/>
      <c r="AJY7" s="91"/>
      <c r="AJZ7" s="91"/>
      <c r="AKA7" s="91"/>
      <c r="AKB7" s="91"/>
      <c r="AKC7" s="91"/>
      <c r="AKD7" s="91"/>
      <c r="AKE7" s="92"/>
      <c r="AKF7" s="92"/>
      <c r="AKG7" s="92"/>
      <c r="AKH7" s="92"/>
      <c r="AKI7" s="92"/>
      <c r="AKJ7" s="92"/>
      <c r="AKK7" s="92"/>
      <c r="AKL7" s="91"/>
      <c r="AKM7" s="91"/>
      <c r="AKN7" s="91"/>
      <c r="AKO7" s="91"/>
      <c r="AKP7" s="91"/>
      <c r="AKQ7" s="91"/>
      <c r="AKR7" s="91"/>
      <c r="AKS7" s="92"/>
      <c r="AKT7" s="92"/>
      <c r="AKU7" s="92"/>
      <c r="AKV7" s="92"/>
      <c r="AKW7" s="92"/>
      <c r="AKX7" s="92"/>
      <c r="AKY7" s="92"/>
      <c r="AKZ7" s="91"/>
      <c r="ALA7" s="91"/>
      <c r="ALB7" s="91"/>
      <c r="ALC7" s="91"/>
      <c r="ALD7" s="91"/>
      <c r="ALE7" s="91"/>
      <c r="ALF7" s="91"/>
      <c r="ALG7" s="92"/>
      <c r="ALH7" s="92"/>
      <c r="ALI7" s="92"/>
      <c r="ALJ7" s="92"/>
      <c r="ALK7" s="92"/>
      <c r="ALL7" s="92"/>
      <c r="ALM7" s="92"/>
      <c r="ALN7" s="91"/>
      <c r="ALO7" s="91"/>
      <c r="ALP7" s="91"/>
      <c r="ALQ7" s="91"/>
      <c r="ALR7" s="91"/>
      <c r="ALS7" s="91"/>
      <c r="ALT7" s="91"/>
      <c r="ALU7" s="92"/>
      <c r="ALV7" s="92"/>
      <c r="ALW7" s="92"/>
      <c r="ALX7" s="92"/>
      <c r="ALY7" s="92"/>
      <c r="ALZ7" s="92"/>
      <c r="AMA7" s="92"/>
      <c r="AMB7" s="91"/>
      <c r="AMC7" s="91"/>
      <c r="AMD7" s="91"/>
      <c r="AME7" s="91"/>
      <c r="AMF7" s="91"/>
      <c r="AMG7" s="91"/>
      <c r="AMH7" s="91"/>
      <c r="AMI7" s="92"/>
      <c r="AMJ7" s="92"/>
      <c r="AMK7" s="92"/>
      <c r="AML7" s="92"/>
      <c r="AMM7" s="92"/>
      <c r="AMN7" s="92"/>
      <c r="AMO7" s="92"/>
      <c r="AMP7" s="91"/>
      <c r="AMQ7" s="91"/>
      <c r="AMR7" s="91"/>
      <c r="AMS7" s="91"/>
      <c r="AMT7" s="91"/>
      <c r="AMU7" s="91"/>
      <c r="AMV7" s="91"/>
      <c r="AMW7" s="92"/>
      <c r="AMX7" s="92"/>
      <c r="AMY7" s="92"/>
      <c r="AMZ7" s="92"/>
      <c r="ANA7" s="92"/>
      <c r="ANB7" s="92"/>
      <c r="ANC7" s="92"/>
      <c r="AND7" s="91"/>
      <c r="ANE7" s="91"/>
      <c r="ANF7" s="91"/>
      <c r="ANG7" s="91"/>
      <c r="ANH7" s="91"/>
      <c r="ANI7" s="91"/>
      <c r="ANJ7" s="91"/>
      <c r="ANK7" s="92"/>
      <c r="ANL7" s="92"/>
      <c r="ANM7" s="92"/>
      <c r="ANN7" s="92"/>
      <c r="ANO7" s="92"/>
      <c r="ANP7" s="92"/>
      <c r="ANQ7" s="92"/>
      <c r="ANR7" s="91"/>
      <c r="ANS7" s="91"/>
      <c r="ANT7" s="91"/>
      <c r="ANU7" s="91"/>
      <c r="ANV7" s="91"/>
      <c r="ANW7" s="91"/>
      <c r="ANX7" s="91"/>
      <c r="ANY7" s="92"/>
      <c r="ANZ7" s="92"/>
      <c r="AOA7" s="92"/>
      <c r="AOB7" s="92"/>
      <c r="AOC7" s="92"/>
      <c r="AOD7" s="92"/>
      <c r="AOE7" s="92"/>
      <c r="AOF7" s="91"/>
      <c r="AOG7" s="91"/>
      <c r="AOH7" s="91"/>
      <c r="AOI7" s="91"/>
      <c r="AOJ7" s="91"/>
      <c r="AOK7" s="91"/>
      <c r="AOL7" s="91"/>
      <c r="AOM7" s="92"/>
      <c r="AON7" s="92"/>
      <c r="AOO7" s="92"/>
      <c r="AOP7" s="92"/>
      <c r="AOQ7" s="92"/>
      <c r="AOR7" s="92"/>
      <c r="AOS7" s="92"/>
      <c r="AOT7" s="91"/>
      <c r="AOU7" s="91"/>
      <c r="AOV7" s="91"/>
      <c r="AOW7" s="91"/>
      <c r="AOX7" s="91"/>
      <c r="AOY7" s="91"/>
      <c r="AOZ7" s="91"/>
      <c r="APA7" s="92"/>
      <c r="APB7" s="92"/>
      <c r="APC7" s="92"/>
      <c r="APD7" s="92"/>
      <c r="APE7" s="92"/>
      <c r="APF7" s="92"/>
      <c r="APG7" s="92"/>
      <c r="APH7" s="91"/>
      <c r="API7" s="91"/>
      <c r="APJ7" s="91"/>
      <c r="APK7" s="91"/>
      <c r="APL7" s="91"/>
      <c r="APM7" s="91"/>
      <c r="APN7" s="91"/>
      <c r="APO7" s="92"/>
      <c r="APP7" s="92"/>
      <c r="APQ7" s="92"/>
      <c r="APR7" s="92"/>
      <c r="APS7" s="92"/>
      <c r="APT7" s="92"/>
      <c r="APU7" s="92"/>
      <c r="APV7" s="91"/>
      <c r="APW7" s="91"/>
      <c r="APX7" s="91"/>
      <c r="APY7" s="91"/>
      <c r="APZ7" s="91"/>
      <c r="AQA7" s="91"/>
      <c r="AQB7" s="91"/>
      <c r="AQC7" s="92"/>
      <c r="AQD7" s="92"/>
      <c r="AQE7" s="92"/>
      <c r="AQF7" s="92"/>
      <c r="AQG7" s="92"/>
      <c r="AQH7" s="92"/>
      <c r="AQI7" s="92"/>
      <c r="AQJ7" s="91"/>
      <c r="AQK7" s="91"/>
      <c r="AQL7" s="91"/>
      <c r="AQM7" s="91"/>
      <c r="AQN7" s="91"/>
      <c r="AQO7" s="91"/>
      <c r="AQP7" s="91"/>
      <c r="AQQ7" s="92"/>
      <c r="AQR7" s="92"/>
      <c r="AQS7" s="92"/>
      <c r="AQT7" s="92"/>
      <c r="AQU7" s="92"/>
      <c r="AQV7" s="92"/>
      <c r="AQW7" s="92"/>
      <c r="AQX7" s="91"/>
      <c r="AQY7" s="91"/>
      <c r="AQZ7" s="91"/>
      <c r="ARA7" s="91"/>
      <c r="ARB7" s="91"/>
      <c r="ARC7" s="91"/>
      <c r="ARD7" s="91"/>
      <c r="ARE7" s="92"/>
      <c r="ARF7" s="92"/>
      <c r="ARG7" s="92"/>
      <c r="ARH7" s="92"/>
      <c r="ARI7" s="92"/>
      <c r="ARJ7" s="92"/>
      <c r="ARK7" s="92"/>
      <c r="ARL7" s="91"/>
      <c r="ARM7" s="91"/>
      <c r="ARN7" s="91"/>
      <c r="ARO7" s="91"/>
      <c r="ARP7" s="91"/>
      <c r="ARQ7" s="91"/>
      <c r="ARR7" s="91"/>
      <c r="ARS7" s="92"/>
      <c r="ART7" s="92"/>
      <c r="ARU7" s="92"/>
      <c r="ARV7" s="92"/>
      <c r="ARW7" s="92"/>
      <c r="ARX7" s="92"/>
      <c r="ARY7" s="92"/>
      <c r="ARZ7" s="91"/>
      <c r="ASA7" s="91"/>
      <c r="ASB7" s="91"/>
      <c r="ASC7" s="91"/>
      <c r="ASD7" s="91"/>
      <c r="ASE7" s="91"/>
      <c r="ASF7" s="91"/>
      <c r="ASG7" s="92"/>
      <c r="ASH7" s="92"/>
      <c r="ASI7" s="92"/>
      <c r="ASJ7" s="92"/>
      <c r="ASK7" s="92"/>
      <c r="ASL7" s="92"/>
      <c r="ASM7" s="92"/>
      <c r="ASN7" s="91"/>
      <c r="ASO7" s="91"/>
      <c r="ASP7" s="91"/>
      <c r="ASQ7" s="91"/>
      <c r="ASR7" s="91"/>
      <c r="ASS7" s="91"/>
      <c r="AST7" s="91"/>
      <c r="ASU7" s="92"/>
      <c r="ASV7" s="92"/>
      <c r="ASW7" s="92"/>
      <c r="ASX7" s="92"/>
      <c r="ASY7" s="92"/>
      <c r="ASZ7" s="92"/>
      <c r="ATA7" s="92"/>
      <c r="ATB7" s="91"/>
      <c r="ATC7" s="91"/>
      <c r="ATD7" s="91"/>
      <c r="ATE7" s="91"/>
      <c r="ATF7" s="91"/>
      <c r="ATG7" s="91"/>
      <c r="ATH7" s="91"/>
      <c r="ATI7" s="92"/>
      <c r="ATJ7" s="92"/>
      <c r="ATK7" s="92"/>
      <c r="ATL7" s="92"/>
      <c r="ATM7" s="92"/>
      <c r="ATN7" s="92"/>
      <c r="ATO7" s="92"/>
      <c r="ATP7" s="91"/>
      <c r="ATQ7" s="91"/>
      <c r="ATR7" s="91"/>
      <c r="ATS7" s="91"/>
      <c r="ATT7" s="91"/>
      <c r="ATU7" s="91"/>
      <c r="ATV7" s="91"/>
      <c r="ATW7" s="92"/>
      <c r="ATX7" s="92"/>
      <c r="ATY7" s="92"/>
      <c r="ATZ7" s="92"/>
      <c r="AUA7" s="92"/>
      <c r="AUB7" s="92"/>
      <c r="AUC7" s="92"/>
      <c r="AUD7" s="91"/>
      <c r="AUE7" s="91"/>
      <c r="AUF7" s="91"/>
      <c r="AUG7" s="91"/>
      <c r="AUH7" s="91"/>
      <c r="AUI7" s="91"/>
      <c r="AUJ7" s="91"/>
      <c r="AUK7" s="92"/>
      <c r="AUL7" s="92"/>
      <c r="AUM7" s="92"/>
      <c r="AUN7" s="92"/>
      <c r="AUO7" s="92"/>
      <c r="AUP7" s="92"/>
      <c r="AUQ7" s="92"/>
      <c r="AUR7" s="91"/>
      <c r="AUS7" s="91"/>
      <c r="AUT7" s="91"/>
      <c r="AUU7" s="91"/>
      <c r="AUV7" s="91"/>
      <c r="AUW7" s="91"/>
      <c r="AUX7" s="91"/>
      <c r="AUY7" s="92"/>
      <c r="AUZ7" s="92"/>
      <c r="AVA7" s="92"/>
      <c r="AVB7" s="92"/>
      <c r="AVC7" s="92"/>
      <c r="AVD7" s="92"/>
      <c r="AVE7" s="92"/>
      <c r="AVF7" s="91"/>
      <c r="AVG7" s="91"/>
      <c r="AVH7" s="91"/>
      <c r="AVI7" s="91"/>
      <c r="AVJ7" s="91"/>
      <c r="AVK7" s="91"/>
      <c r="AVL7" s="91"/>
      <c r="AVM7" s="92"/>
      <c r="AVN7" s="92"/>
      <c r="AVO7" s="92"/>
      <c r="AVP7" s="92"/>
      <c r="AVQ7" s="92"/>
      <c r="AVR7" s="92"/>
      <c r="AVS7" s="92"/>
      <c r="AVT7" s="91"/>
      <c r="AVU7" s="91"/>
      <c r="AVV7" s="91"/>
      <c r="AVW7" s="91"/>
      <c r="AVX7" s="91"/>
      <c r="AVY7" s="91"/>
      <c r="AVZ7" s="91"/>
      <c r="AWA7" s="92"/>
      <c r="AWB7" s="92"/>
      <c r="AWC7" s="92"/>
      <c r="AWD7" s="92"/>
      <c r="AWE7" s="92"/>
      <c r="AWF7" s="92"/>
      <c r="AWG7" s="92"/>
      <c r="AWH7" s="91"/>
      <c r="AWI7" s="91"/>
      <c r="AWJ7" s="91"/>
      <c r="AWK7" s="91"/>
      <c r="AWL7" s="91"/>
      <c r="AWM7" s="91"/>
      <c r="AWN7" s="91"/>
      <c r="AWO7" s="92"/>
      <c r="AWP7" s="92"/>
      <c r="AWQ7" s="92"/>
      <c r="AWR7" s="92"/>
      <c r="AWS7" s="92"/>
      <c r="AWT7" s="92"/>
      <c r="AWU7" s="92"/>
      <c r="AWV7" s="91"/>
      <c r="AWW7" s="91"/>
      <c r="AWX7" s="91"/>
      <c r="AWY7" s="91"/>
      <c r="AWZ7" s="91"/>
      <c r="AXA7" s="91"/>
      <c r="AXB7" s="91"/>
      <c r="AXC7" s="92"/>
      <c r="AXD7" s="92"/>
      <c r="AXE7" s="92"/>
      <c r="AXF7" s="92"/>
      <c r="AXG7" s="92"/>
      <c r="AXH7" s="92"/>
      <c r="AXI7" s="92"/>
      <c r="AXJ7" s="91"/>
      <c r="AXK7" s="91"/>
      <c r="AXL7" s="91"/>
      <c r="AXM7" s="91"/>
      <c r="AXN7" s="91"/>
      <c r="AXO7" s="91"/>
      <c r="AXP7" s="91"/>
      <c r="AXQ7" s="92"/>
      <c r="AXR7" s="92"/>
      <c r="AXS7" s="92"/>
      <c r="AXT7" s="92"/>
      <c r="AXU7" s="92"/>
      <c r="AXV7" s="92"/>
      <c r="AXW7" s="92"/>
      <c r="AXX7" s="91"/>
      <c r="AXY7" s="91"/>
      <c r="AXZ7" s="91"/>
      <c r="AYA7" s="91"/>
      <c r="AYB7" s="91"/>
      <c r="AYC7" s="91"/>
      <c r="AYD7" s="91"/>
      <c r="AYE7" s="92"/>
      <c r="AYF7" s="92"/>
      <c r="AYG7" s="92"/>
      <c r="AYH7" s="92"/>
      <c r="AYI7" s="92"/>
      <c r="AYJ7" s="92"/>
      <c r="AYK7" s="92"/>
      <c r="AYL7" s="91"/>
      <c r="AYM7" s="91"/>
      <c r="AYN7" s="91"/>
      <c r="AYO7" s="91"/>
      <c r="AYP7" s="91"/>
      <c r="AYQ7" s="91"/>
      <c r="AYR7" s="91"/>
      <c r="AYS7" s="92"/>
      <c r="AYT7" s="92"/>
      <c r="AYU7" s="92"/>
      <c r="AYV7" s="92"/>
      <c r="AYW7" s="92"/>
      <c r="AYX7" s="92"/>
      <c r="AYY7" s="92"/>
      <c r="AYZ7" s="91"/>
      <c r="AZA7" s="91"/>
      <c r="AZB7" s="91"/>
      <c r="AZC7" s="91"/>
      <c r="AZD7" s="91"/>
      <c r="AZE7" s="91"/>
      <c r="AZF7" s="91"/>
      <c r="AZG7" s="92"/>
      <c r="AZH7" s="92"/>
      <c r="AZI7" s="92"/>
      <c r="AZJ7" s="92"/>
      <c r="AZK7" s="92"/>
      <c r="AZL7" s="92"/>
      <c r="AZM7" s="92"/>
      <c r="AZN7" s="91"/>
      <c r="AZO7" s="91"/>
      <c r="AZP7" s="91"/>
      <c r="AZQ7" s="91"/>
      <c r="AZR7" s="91"/>
      <c r="AZS7" s="91"/>
      <c r="AZT7" s="91"/>
      <c r="AZU7" s="92"/>
      <c r="AZV7" s="92"/>
      <c r="AZW7" s="92"/>
      <c r="AZX7" s="92"/>
      <c r="AZY7" s="92"/>
      <c r="AZZ7" s="92"/>
      <c r="BAA7" s="92"/>
      <c r="BAB7" s="91"/>
      <c r="BAC7" s="91"/>
      <c r="BAD7" s="91"/>
      <c r="BAE7" s="91"/>
      <c r="BAF7" s="91"/>
      <c r="BAG7" s="91"/>
      <c r="BAH7" s="91"/>
      <c r="BAI7" s="92"/>
      <c r="BAJ7" s="92"/>
      <c r="BAK7" s="92"/>
      <c r="BAL7" s="92"/>
      <c r="BAM7" s="92"/>
      <c r="BAN7" s="92"/>
      <c r="BAO7" s="92"/>
      <c r="BAP7" s="91"/>
      <c r="BAQ7" s="91"/>
      <c r="BAR7" s="91"/>
      <c r="BAS7" s="91"/>
      <c r="BAT7" s="91"/>
      <c r="BAU7" s="91"/>
      <c r="BAV7" s="91"/>
      <c r="BAW7" s="92"/>
      <c r="BAX7" s="92"/>
      <c r="BAY7" s="92"/>
      <c r="BAZ7" s="92"/>
      <c r="BBA7" s="92"/>
      <c r="BBB7" s="92"/>
      <c r="BBC7" s="92"/>
      <c r="BBD7" s="91"/>
      <c r="BBE7" s="91"/>
      <c r="BBF7" s="91"/>
      <c r="BBG7" s="91"/>
      <c r="BBH7" s="91"/>
      <c r="BBI7" s="91"/>
      <c r="BBJ7" s="91"/>
      <c r="BBK7" s="92"/>
      <c r="BBL7" s="92"/>
      <c r="BBM7" s="92"/>
      <c r="BBN7" s="92"/>
      <c r="BBO7" s="92"/>
      <c r="BBP7" s="92"/>
      <c r="BBQ7" s="92"/>
      <c r="BBR7" s="91"/>
      <c r="BBS7" s="91"/>
      <c r="BBT7" s="91"/>
      <c r="BBU7" s="91"/>
      <c r="BBV7" s="91"/>
      <c r="BBW7" s="91"/>
      <c r="BBX7" s="91"/>
      <c r="BBY7" s="92"/>
      <c r="BBZ7" s="92"/>
      <c r="BCA7" s="92"/>
      <c r="BCB7" s="92"/>
      <c r="BCC7" s="92"/>
      <c r="BCD7" s="92"/>
      <c r="BCE7" s="92"/>
      <c r="BCF7" s="91"/>
      <c r="BCG7" s="91"/>
      <c r="BCH7" s="91"/>
      <c r="BCI7" s="91"/>
      <c r="BCJ7" s="91"/>
      <c r="BCK7" s="91"/>
      <c r="BCL7" s="91"/>
      <c r="BCM7" s="92"/>
      <c r="BCN7" s="92"/>
      <c r="BCO7" s="92"/>
      <c r="BCP7" s="92"/>
      <c r="BCQ7" s="92"/>
      <c r="BCR7" s="92"/>
      <c r="BCS7" s="92"/>
      <c r="BCT7" s="91"/>
      <c r="BCU7" s="91"/>
      <c r="BCV7" s="91"/>
      <c r="BCW7" s="91"/>
      <c r="BCX7" s="91"/>
      <c r="BCY7" s="91"/>
      <c r="BCZ7" s="91"/>
      <c r="BDA7" s="92"/>
      <c r="BDB7" s="92"/>
      <c r="BDC7" s="92"/>
      <c r="BDD7" s="92"/>
      <c r="BDE7" s="92"/>
      <c r="BDF7" s="92"/>
      <c r="BDG7" s="92"/>
      <c r="BDH7" s="91"/>
      <c r="BDI7" s="91"/>
      <c r="BDJ7" s="91"/>
      <c r="BDK7" s="91"/>
      <c r="BDL7" s="91"/>
      <c r="BDM7" s="91"/>
      <c r="BDN7" s="91"/>
      <c r="BDO7" s="92"/>
      <c r="BDP7" s="92"/>
      <c r="BDQ7" s="92"/>
      <c r="BDR7" s="92"/>
      <c r="BDS7" s="92"/>
      <c r="BDT7" s="92"/>
      <c r="BDU7" s="92"/>
      <c r="BDV7" s="91"/>
      <c r="BDW7" s="91"/>
      <c r="BDX7" s="91"/>
      <c r="BDY7" s="91"/>
      <c r="BDZ7" s="91"/>
      <c r="BEA7" s="91"/>
      <c r="BEB7" s="91"/>
      <c r="BEC7" s="92"/>
      <c r="BED7" s="92"/>
      <c r="BEE7" s="92"/>
      <c r="BEF7" s="92"/>
      <c r="BEG7" s="92"/>
      <c r="BEH7" s="92"/>
      <c r="BEI7" s="92"/>
      <c r="BEJ7" s="91"/>
      <c r="BEK7" s="91"/>
      <c r="BEL7" s="91"/>
      <c r="BEM7" s="91"/>
      <c r="BEN7" s="91"/>
      <c r="BEO7" s="91"/>
      <c r="BEP7" s="91"/>
      <c r="BEQ7" s="92"/>
      <c r="BER7" s="92"/>
      <c r="BES7" s="92"/>
      <c r="BET7" s="92"/>
      <c r="BEU7" s="92"/>
      <c r="BEV7" s="92"/>
      <c r="BEW7" s="92"/>
      <c r="BEX7" s="91"/>
      <c r="BEY7" s="91"/>
      <c r="BEZ7" s="91"/>
      <c r="BFA7" s="91"/>
      <c r="BFB7" s="91"/>
      <c r="BFC7" s="91"/>
      <c r="BFD7" s="91"/>
      <c r="BFE7" s="92"/>
      <c r="BFF7" s="92"/>
      <c r="BFG7" s="92"/>
      <c r="BFH7" s="92"/>
      <c r="BFI7" s="92"/>
      <c r="BFJ7" s="92"/>
      <c r="BFK7" s="92"/>
      <c r="BFL7" s="91"/>
      <c r="BFM7" s="91"/>
      <c r="BFN7" s="91"/>
      <c r="BFO7" s="91"/>
      <c r="BFP7" s="91"/>
      <c r="BFQ7" s="91"/>
      <c r="BFR7" s="91"/>
      <c r="BFS7" s="92"/>
      <c r="BFT7" s="92"/>
      <c r="BFU7" s="92"/>
      <c r="BFV7" s="92"/>
      <c r="BFW7" s="92"/>
      <c r="BFX7" s="92"/>
      <c r="BFY7" s="92"/>
      <c r="BFZ7" s="91"/>
      <c r="BGA7" s="91"/>
      <c r="BGB7" s="91"/>
      <c r="BGC7" s="91"/>
      <c r="BGD7" s="91"/>
      <c r="BGE7" s="91"/>
      <c r="BGF7" s="91"/>
      <c r="BGG7" s="92"/>
      <c r="BGH7" s="92"/>
      <c r="BGI7" s="92"/>
      <c r="BGJ7" s="92"/>
      <c r="BGK7" s="92"/>
      <c r="BGL7" s="92"/>
      <c r="BGM7" s="92"/>
      <c r="BGN7" s="91"/>
      <c r="BGO7" s="91"/>
      <c r="BGP7" s="91"/>
      <c r="BGQ7" s="91"/>
      <c r="BGR7" s="91"/>
      <c r="BGS7" s="91"/>
      <c r="BGT7" s="91"/>
      <c r="BGU7" s="92"/>
      <c r="BGV7" s="92"/>
      <c r="BGW7" s="92"/>
      <c r="BGX7" s="92"/>
      <c r="BGY7" s="92"/>
      <c r="BGZ7" s="92"/>
      <c r="BHA7" s="92"/>
      <c r="BHB7" s="91"/>
      <c r="BHC7" s="91"/>
      <c r="BHD7" s="91"/>
      <c r="BHE7" s="91"/>
      <c r="BHF7" s="91"/>
      <c r="BHG7" s="91"/>
      <c r="BHH7" s="91"/>
      <c r="BHI7" s="92"/>
      <c r="BHJ7" s="92"/>
      <c r="BHK7" s="92"/>
      <c r="BHL7" s="92"/>
      <c r="BHM7" s="92"/>
      <c r="BHN7" s="92"/>
      <c r="BHO7" s="92"/>
      <c r="BHP7" s="91"/>
      <c r="BHQ7" s="91"/>
      <c r="BHR7" s="91"/>
      <c r="BHS7" s="91"/>
      <c r="BHT7" s="91"/>
      <c r="BHU7" s="91"/>
      <c r="BHV7" s="91"/>
      <c r="BHW7" s="92"/>
      <c r="BHX7" s="92"/>
      <c r="BHY7" s="92"/>
      <c r="BHZ7" s="92"/>
      <c r="BIA7" s="92"/>
      <c r="BIB7" s="92"/>
      <c r="BIC7" s="92"/>
      <c r="BID7" s="91"/>
      <c r="BIE7" s="91"/>
      <c r="BIF7" s="91"/>
      <c r="BIG7" s="91"/>
      <c r="BIH7" s="91"/>
      <c r="BII7" s="91"/>
      <c r="BIJ7" s="91"/>
      <c r="BIK7" s="92"/>
      <c r="BIL7" s="92"/>
      <c r="BIM7" s="92"/>
      <c r="BIN7" s="92"/>
      <c r="BIO7" s="92"/>
      <c r="BIP7" s="92"/>
      <c r="BIQ7" s="92"/>
      <c r="BIR7" s="91"/>
      <c r="BIS7" s="91"/>
      <c r="BIT7" s="91"/>
      <c r="BIU7" s="91"/>
      <c r="BIV7" s="91"/>
      <c r="BIW7" s="91"/>
      <c r="BIX7" s="91"/>
      <c r="BIY7" s="92"/>
      <c r="BIZ7" s="92"/>
      <c r="BJA7" s="92"/>
      <c r="BJB7" s="92"/>
      <c r="BJC7" s="92"/>
      <c r="BJD7" s="92"/>
      <c r="BJE7" s="92"/>
      <c r="BJF7" s="91"/>
      <c r="BJG7" s="91"/>
      <c r="BJH7" s="91"/>
      <c r="BJI7" s="91"/>
      <c r="BJJ7" s="91"/>
      <c r="BJK7" s="91"/>
      <c r="BJL7" s="91"/>
      <c r="BJM7" s="92"/>
      <c r="BJN7" s="92"/>
      <c r="BJO7" s="92"/>
      <c r="BJP7" s="92"/>
      <c r="BJQ7" s="92"/>
      <c r="BJR7" s="92"/>
      <c r="BJS7" s="92"/>
      <c r="BJT7" s="91"/>
      <c r="BJU7" s="91"/>
      <c r="BJV7" s="91"/>
      <c r="BJW7" s="91"/>
      <c r="BJX7" s="91"/>
      <c r="BJY7" s="91"/>
      <c r="BJZ7" s="91"/>
      <c r="BKA7" s="92"/>
      <c r="BKB7" s="92"/>
      <c r="BKC7" s="92"/>
      <c r="BKD7" s="92"/>
      <c r="BKE7" s="92"/>
      <c r="BKF7" s="92"/>
      <c r="BKG7" s="92"/>
      <c r="BKH7" s="91"/>
      <c r="BKI7" s="91"/>
      <c r="BKJ7" s="91"/>
      <c r="BKK7" s="91"/>
      <c r="BKL7" s="91"/>
      <c r="BKM7" s="91"/>
      <c r="BKN7" s="91"/>
      <c r="BKO7" s="92"/>
      <c r="BKP7" s="92"/>
      <c r="BKQ7" s="92"/>
      <c r="BKR7" s="92"/>
      <c r="BKS7" s="92"/>
      <c r="BKT7" s="92"/>
      <c r="BKU7" s="92"/>
      <c r="BKV7" s="91"/>
      <c r="BKW7" s="91"/>
      <c r="BKX7" s="91"/>
      <c r="BKY7" s="91"/>
      <c r="BKZ7" s="91"/>
      <c r="BLA7" s="91"/>
      <c r="BLB7" s="91"/>
      <c r="BLC7" s="92"/>
      <c r="BLD7" s="92"/>
      <c r="BLE7" s="92"/>
      <c r="BLF7" s="92"/>
      <c r="BLG7" s="92"/>
      <c r="BLH7" s="92"/>
      <c r="BLI7" s="92"/>
      <c r="BLJ7" s="91"/>
      <c r="BLK7" s="91"/>
      <c r="BLL7" s="91"/>
      <c r="BLM7" s="91"/>
      <c r="BLN7" s="91"/>
      <c r="BLO7" s="91"/>
      <c r="BLP7" s="91"/>
      <c r="BLQ7" s="92"/>
      <c r="BLR7" s="92"/>
      <c r="BLS7" s="92"/>
      <c r="BLT7" s="92"/>
      <c r="BLU7" s="92"/>
      <c r="BLV7" s="92"/>
      <c r="BLW7" s="92"/>
      <c r="BLX7" s="91"/>
      <c r="BLY7" s="91"/>
      <c r="BLZ7" s="91"/>
      <c r="BMA7" s="91"/>
      <c r="BMB7" s="91"/>
      <c r="BMC7" s="91"/>
      <c r="BMD7" s="91"/>
      <c r="BME7" s="92"/>
      <c r="BMF7" s="92"/>
      <c r="BMG7" s="92"/>
      <c r="BMH7" s="92"/>
      <c r="BMI7" s="92"/>
      <c r="BMJ7" s="92"/>
      <c r="BMK7" s="92"/>
      <c r="BML7" s="91"/>
      <c r="BMM7" s="91"/>
      <c r="BMN7" s="91"/>
      <c r="BMO7" s="91"/>
      <c r="BMP7" s="91"/>
      <c r="BMQ7" s="91"/>
      <c r="BMR7" s="91"/>
      <c r="BMS7" s="92"/>
      <c r="BMT7" s="92"/>
      <c r="BMU7" s="92"/>
      <c r="BMV7" s="92"/>
      <c r="BMW7" s="92"/>
      <c r="BMX7" s="92"/>
      <c r="BMY7" s="92"/>
      <c r="BMZ7" s="91"/>
      <c r="BNA7" s="91"/>
      <c r="BNB7" s="91"/>
      <c r="BNC7" s="91"/>
      <c r="BND7" s="91"/>
      <c r="BNE7" s="91"/>
      <c r="BNF7" s="91"/>
      <c r="BNG7" s="92"/>
      <c r="BNH7" s="92"/>
      <c r="BNI7" s="92"/>
      <c r="BNJ7" s="92"/>
      <c r="BNK7" s="92"/>
      <c r="BNL7" s="92"/>
      <c r="BNM7" s="92"/>
      <c r="BNN7" s="91"/>
      <c r="BNO7" s="91"/>
      <c r="BNP7" s="91"/>
      <c r="BNQ7" s="91"/>
      <c r="BNR7" s="91"/>
      <c r="BNS7" s="91"/>
      <c r="BNT7" s="91"/>
      <c r="BNU7" s="92"/>
      <c r="BNV7" s="92"/>
      <c r="BNW7" s="92"/>
      <c r="BNX7" s="92"/>
      <c r="BNY7" s="92"/>
      <c r="BNZ7" s="92"/>
      <c r="BOA7" s="92"/>
      <c r="BOB7" s="91"/>
      <c r="BOC7" s="91"/>
      <c r="BOD7" s="91"/>
      <c r="BOE7" s="91"/>
      <c r="BOF7" s="91"/>
      <c r="BOG7" s="91"/>
      <c r="BOH7" s="91"/>
      <c r="BOI7" s="92"/>
      <c r="BOJ7" s="92"/>
      <c r="BOK7" s="92"/>
      <c r="BOL7" s="92"/>
      <c r="BOM7" s="92"/>
      <c r="BON7" s="92"/>
      <c r="BOO7" s="92"/>
      <c r="BOP7" s="91"/>
      <c r="BOQ7" s="91"/>
      <c r="BOR7" s="91"/>
      <c r="BOS7" s="91"/>
      <c r="BOT7" s="91"/>
      <c r="BOU7" s="91"/>
      <c r="BOV7" s="91"/>
      <c r="BOW7" s="92"/>
      <c r="BOX7" s="92"/>
      <c r="BOY7" s="92"/>
      <c r="BOZ7" s="92"/>
      <c r="BPA7" s="92"/>
      <c r="BPB7" s="92"/>
      <c r="BPC7" s="92"/>
      <c r="BPD7" s="91"/>
      <c r="BPE7" s="91"/>
      <c r="BPF7" s="91"/>
      <c r="BPG7" s="91"/>
      <c r="BPH7" s="91"/>
      <c r="BPI7" s="91"/>
      <c r="BPJ7" s="91"/>
      <c r="BPK7" s="92"/>
      <c r="BPL7" s="92"/>
      <c r="BPM7" s="92"/>
      <c r="BPN7" s="92"/>
      <c r="BPO7" s="92"/>
      <c r="BPP7" s="92"/>
      <c r="BPQ7" s="92"/>
      <c r="BPR7" s="91"/>
      <c r="BPS7" s="91"/>
      <c r="BPT7" s="91"/>
      <c r="BPU7" s="91"/>
      <c r="BPV7" s="91"/>
      <c r="BPW7" s="91"/>
      <c r="BPX7" s="91"/>
      <c r="BPY7" s="92"/>
      <c r="BPZ7" s="92"/>
      <c r="BQA7" s="92"/>
      <c r="BQB7" s="92"/>
      <c r="BQC7" s="92"/>
      <c r="BQD7" s="92"/>
      <c r="BQE7" s="92"/>
      <c r="BQF7" s="91"/>
      <c r="BQG7" s="91"/>
      <c r="BQH7" s="91"/>
      <c r="BQI7" s="91"/>
      <c r="BQJ7" s="91"/>
      <c r="BQK7" s="91"/>
      <c r="BQL7" s="91"/>
      <c r="BQM7" s="92"/>
      <c r="BQN7" s="92"/>
      <c r="BQO7" s="92"/>
      <c r="BQP7" s="92"/>
      <c r="BQQ7" s="92"/>
      <c r="BQR7" s="92"/>
      <c r="BQS7" s="92"/>
      <c r="BQT7" s="91"/>
      <c r="BQU7" s="91"/>
      <c r="BQV7" s="91"/>
      <c r="BQW7" s="91"/>
      <c r="BQX7" s="91"/>
      <c r="BQY7" s="91"/>
      <c r="BQZ7" s="91"/>
      <c r="BRA7" s="92"/>
      <c r="BRB7" s="92"/>
      <c r="BRC7" s="92"/>
      <c r="BRD7" s="92"/>
      <c r="BRE7" s="92"/>
      <c r="BRF7" s="92"/>
      <c r="BRG7" s="92"/>
      <c r="BRH7" s="91"/>
      <c r="BRI7" s="91"/>
      <c r="BRJ7" s="91"/>
      <c r="BRK7" s="91"/>
      <c r="BRL7" s="91"/>
      <c r="BRM7" s="91"/>
      <c r="BRN7" s="91"/>
      <c r="BRO7" s="92"/>
      <c r="BRP7" s="92"/>
      <c r="BRQ7" s="92"/>
      <c r="BRR7" s="92"/>
      <c r="BRS7" s="92"/>
      <c r="BRT7" s="92"/>
      <c r="BRU7" s="92"/>
      <c r="BRV7" s="91"/>
      <c r="BRW7" s="91"/>
      <c r="BRX7" s="91"/>
      <c r="BRY7" s="91"/>
      <c r="BRZ7" s="91"/>
      <c r="BSA7" s="91"/>
      <c r="BSB7" s="91"/>
      <c r="BSC7" s="92"/>
      <c r="BSD7" s="92"/>
      <c r="BSE7" s="92"/>
      <c r="BSF7" s="92"/>
      <c r="BSG7" s="92"/>
      <c r="BSH7" s="92"/>
      <c r="BSI7" s="92"/>
      <c r="BSJ7" s="91"/>
      <c r="BSK7" s="91"/>
      <c r="BSL7" s="91"/>
      <c r="BSM7" s="91"/>
      <c r="BSN7" s="91"/>
      <c r="BSO7" s="91"/>
      <c r="BSP7" s="91"/>
      <c r="BSQ7" s="92"/>
      <c r="BSR7" s="92"/>
      <c r="BSS7" s="92"/>
      <c r="BST7" s="92"/>
      <c r="BSU7" s="92"/>
      <c r="BSV7" s="92"/>
      <c r="BSW7" s="92"/>
      <c r="BSX7" s="91"/>
      <c r="BSY7" s="91"/>
      <c r="BSZ7" s="91"/>
      <c r="BTA7" s="91"/>
      <c r="BTB7" s="91"/>
      <c r="BTC7" s="91"/>
      <c r="BTD7" s="91"/>
      <c r="BTE7" s="92"/>
      <c r="BTF7" s="92"/>
      <c r="BTG7" s="92"/>
      <c r="BTH7" s="92"/>
      <c r="BTI7" s="92"/>
      <c r="BTJ7" s="92"/>
      <c r="BTK7" s="92"/>
      <c r="BTL7" s="91"/>
      <c r="BTM7" s="91"/>
      <c r="BTN7" s="91"/>
      <c r="BTO7" s="91"/>
      <c r="BTP7" s="91"/>
      <c r="BTQ7" s="91"/>
      <c r="BTR7" s="91"/>
      <c r="BTS7" s="92"/>
      <c r="BTT7" s="92"/>
      <c r="BTU7" s="92"/>
      <c r="BTV7" s="92"/>
      <c r="BTW7" s="92"/>
      <c r="BTX7" s="92"/>
      <c r="BTY7" s="92"/>
      <c r="BTZ7" s="91"/>
      <c r="BUA7" s="91"/>
      <c r="BUB7" s="91"/>
      <c r="BUC7" s="91"/>
      <c r="BUD7" s="91"/>
      <c r="BUE7" s="91"/>
      <c r="BUF7" s="91"/>
      <c r="BUG7" s="92"/>
      <c r="BUH7" s="92"/>
      <c r="BUI7" s="92"/>
      <c r="BUJ7" s="92"/>
      <c r="BUK7" s="92"/>
      <c r="BUL7" s="92"/>
      <c r="BUM7" s="92"/>
      <c r="BUN7" s="91"/>
      <c r="BUO7" s="91"/>
      <c r="BUP7" s="91"/>
      <c r="BUQ7" s="91"/>
      <c r="BUR7" s="91"/>
      <c r="BUS7" s="91"/>
      <c r="BUT7" s="91"/>
      <c r="BUU7" s="92"/>
      <c r="BUV7" s="92"/>
      <c r="BUW7" s="92"/>
      <c r="BUX7" s="92"/>
      <c r="BUY7" s="92"/>
      <c r="BUZ7" s="92"/>
      <c r="BVA7" s="92"/>
      <c r="BVB7" s="91"/>
      <c r="BVC7" s="91"/>
      <c r="BVD7" s="91"/>
      <c r="BVE7" s="91"/>
      <c r="BVF7" s="91"/>
      <c r="BVG7" s="91"/>
      <c r="BVH7" s="91"/>
      <c r="BVI7" s="92"/>
      <c r="BVJ7" s="92"/>
      <c r="BVK7" s="92"/>
      <c r="BVL7" s="92"/>
      <c r="BVM7" s="92"/>
      <c r="BVN7" s="92"/>
      <c r="BVO7" s="92"/>
      <c r="BVP7" s="91"/>
      <c r="BVQ7" s="91"/>
      <c r="BVR7" s="91"/>
      <c r="BVS7" s="91"/>
      <c r="BVT7" s="91"/>
      <c r="BVU7" s="91"/>
      <c r="BVV7" s="91"/>
      <c r="BVW7" s="92"/>
      <c r="BVX7" s="92"/>
      <c r="BVY7" s="92"/>
      <c r="BVZ7" s="92"/>
      <c r="BWA7" s="92"/>
      <c r="BWB7" s="92"/>
      <c r="BWC7" s="92"/>
      <c r="BWD7" s="91"/>
      <c r="BWE7" s="91"/>
      <c r="BWF7" s="91"/>
      <c r="BWG7" s="91"/>
      <c r="BWH7" s="91"/>
      <c r="BWI7" s="91"/>
      <c r="BWJ7" s="91"/>
      <c r="BWK7" s="92"/>
      <c r="BWL7" s="92"/>
      <c r="BWM7" s="92"/>
      <c r="BWN7" s="92"/>
      <c r="BWO7" s="92"/>
      <c r="BWP7" s="92"/>
      <c r="BWQ7" s="92"/>
      <c r="BWR7" s="91"/>
      <c r="BWS7" s="91"/>
      <c r="BWT7" s="91"/>
      <c r="BWU7" s="91"/>
      <c r="BWV7" s="91"/>
      <c r="BWW7" s="91"/>
      <c r="BWX7" s="91"/>
      <c r="BWY7" s="92"/>
      <c r="BWZ7" s="92"/>
      <c r="BXA7" s="92"/>
      <c r="BXB7" s="92"/>
      <c r="BXC7" s="92"/>
      <c r="BXD7" s="92"/>
      <c r="BXE7" s="92"/>
      <c r="BXF7" s="91"/>
      <c r="BXG7" s="91"/>
      <c r="BXH7" s="91"/>
      <c r="BXI7" s="91"/>
      <c r="BXJ7" s="91"/>
      <c r="BXK7" s="91"/>
      <c r="BXL7" s="91"/>
      <c r="BXM7" s="92"/>
      <c r="BXN7" s="92"/>
      <c r="BXO7" s="92"/>
      <c r="BXP7" s="92"/>
      <c r="BXQ7" s="92"/>
      <c r="BXR7" s="92"/>
      <c r="BXS7" s="92"/>
      <c r="BXT7" s="91"/>
      <c r="BXU7" s="91"/>
      <c r="BXV7" s="91"/>
      <c r="BXW7" s="91"/>
      <c r="BXX7" s="91"/>
      <c r="BXY7" s="91"/>
      <c r="BXZ7" s="91"/>
      <c r="BYA7" s="92"/>
      <c r="BYB7" s="92"/>
      <c r="BYC7" s="92"/>
      <c r="BYD7" s="92"/>
      <c r="BYE7" s="92"/>
      <c r="BYF7" s="92"/>
      <c r="BYG7" s="92"/>
      <c r="BYH7" s="91"/>
      <c r="BYI7" s="91"/>
      <c r="BYJ7" s="91"/>
      <c r="BYK7" s="91"/>
      <c r="BYL7" s="91"/>
      <c r="BYM7" s="91"/>
      <c r="BYN7" s="91"/>
      <c r="BYO7" s="92"/>
      <c r="BYP7" s="92"/>
      <c r="BYQ7" s="92"/>
      <c r="BYR7" s="92"/>
      <c r="BYS7" s="92"/>
      <c r="BYT7" s="92"/>
      <c r="BYU7" s="92"/>
      <c r="BYV7" s="91"/>
      <c r="BYW7" s="91"/>
      <c r="BYX7" s="91"/>
      <c r="BYY7" s="91"/>
      <c r="BYZ7" s="91"/>
      <c r="BZA7" s="91"/>
      <c r="BZB7" s="91"/>
      <c r="BZC7" s="92"/>
      <c r="BZD7" s="92"/>
      <c r="BZE7" s="92"/>
      <c r="BZF7" s="92"/>
      <c r="BZG7" s="92"/>
      <c r="BZH7" s="92"/>
      <c r="BZI7" s="92"/>
      <c r="BZJ7" s="91"/>
      <c r="BZK7" s="91"/>
      <c r="BZL7" s="91"/>
      <c r="BZM7" s="91"/>
      <c r="BZN7" s="91"/>
      <c r="BZO7" s="91"/>
      <c r="BZP7" s="91"/>
      <c r="BZQ7" s="92"/>
      <c r="BZR7" s="92"/>
      <c r="BZS7" s="92"/>
      <c r="BZT7" s="92"/>
      <c r="BZU7" s="92"/>
      <c r="BZV7" s="92"/>
      <c r="BZW7" s="92"/>
      <c r="BZX7" s="91"/>
      <c r="BZY7" s="91"/>
      <c r="BZZ7" s="91"/>
      <c r="CAA7" s="91"/>
      <c r="CAB7" s="91"/>
      <c r="CAC7" s="91"/>
      <c r="CAD7" s="91"/>
      <c r="CAE7" s="92"/>
      <c r="CAF7" s="92"/>
      <c r="CAG7" s="92"/>
      <c r="CAH7" s="92"/>
      <c r="CAI7" s="92"/>
      <c r="CAJ7" s="92"/>
      <c r="CAK7" s="92"/>
      <c r="CAL7" s="91"/>
      <c r="CAM7" s="91"/>
      <c r="CAN7" s="91"/>
      <c r="CAO7" s="91"/>
      <c r="CAP7" s="91"/>
      <c r="CAQ7" s="91"/>
      <c r="CAR7" s="91"/>
      <c r="CAS7" s="92"/>
      <c r="CAT7" s="92"/>
      <c r="CAU7" s="92"/>
      <c r="CAV7" s="92"/>
      <c r="CAW7" s="92"/>
      <c r="CAX7" s="92"/>
      <c r="CAY7" s="92"/>
      <c r="CAZ7" s="91"/>
      <c r="CBA7" s="91"/>
      <c r="CBB7" s="91"/>
      <c r="CBC7" s="91"/>
      <c r="CBD7" s="91"/>
      <c r="CBE7" s="91"/>
      <c r="CBF7" s="91"/>
      <c r="CBG7" s="92"/>
      <c r="CBH7" s="92"/>
      <c r="CBI7" s="92"/>
      <c r="CBJ7" s="92"/>
      <c r="CBK7" s="92"/>
      <c r="CBL7" s="92"/>
      <c r="CBM7" s="92"/>
      <c r="CBN7" s="91"/>
      <c r="CBO7" s="91"/>
      <c r="CBP7" s="91"/>
      <c r="CBQ7" s="91"/>
      <c r="CBR7" s="91"/>
      <c r="CBS7" s="91"/>
      <c r="CBT7" s="91"/>
      <c r="CBU7" s="92"/>
      <c r="CBV7" s="92"/>
      <c r="CBW7" s="92"/>
      <c r="CBX7" s="92"/>
      <c r="CBY7" s="92"/>
      <c r="CBZ7" s="92"/>
      <c r="CCA7" s="92"/>
      <c r="CCB7" s="91"/>
      <c r="CCC7" s="91"/>
      <c r="CCD7" s="91"/>
      <c r="CCE7" s="91"/>
      <c r="CCF7" s="91"/>
      <c r="CCG7" s="91"/>
      <c r="CCH7" s="91"/>
      <c r="CCI7" s="92"/>
      <c r="CCJ7" s="92"/>
      <c r="CCK7" s="92"/>
      <c r="CCL7" s="92"/>
      <c r="CCM7" s="92"/>
      <c r="CCN7" s="92"/>
      <c r="CCO7" s="92"/>
      <c r="CCP7" s="91"/>
      <c r="CCQ7" s="91"/>
      <c r="CCR7" s="91"/>
      <c r="CCS7" s="91"/>
      <c r="CCT7" s="91"/>
      <c r="CCU7" s="91"/>
      <c r="CCV7" s="91"/>
    </row>
    <row r="8" spans="1:2129 15008:15070 15386:15394" ht="14.1" customHeight="1" x14ac:dyDescent="0.2">
      <c r="G8" s="206" t="s">
        <v>202</v>
      </c>
      <c r="H8" s="89"/>
      <c r="I8" s="89"/>
      <c r="J8" s="88"/>
      <c r="K8" s="89"/>
      <c r="L8" s="89"/>
      <c r="M8" s="88"/>
      <c r="N8" s="168"/>
      <c r="O8" s="168"/>
      <c r="P8" s="182"/>
      <c r="Q8" s="175"/>
      <c r="R8" s="89"/>
      <c r="S8" s="89"/>
      <c r="T8" s="88"/>
      <c r="U8" s="193"/>
      <c r="V8" s="193"/>
      <c r="W8" s="193"/>
      <c r="X8" s="87"/>
      <c r="Y8" s="87"/>
      <c r="Z8" s="87"/>
      <c r="AA8" s="87"/>
      <c r="AB8" s="87"/>
      <c r="AC8" s="184">
        <v>18</v>
      </c>
      <c r="AD8" s="184">
        <v>19</v>
      </c>
      <c r="AE8" s="184">
        <v>20</v>
      </c>
      <c r="AF8" s="184">
        <v>21</v>
      </c>
      <c r="AG8" s="184">
        <v>22</v>
      </c>
      <c r="AH8" s="184">
        <v>23</v>
      </c>
      <c r="AI8" s="184">
        <v>24</v>
      </c>
      <c r="AJ8" s="184">
        <v>25</v>
      </c>
      <c r="AK8" s="184">
        <v>26</v>
      </c>
      <c r="AL8" s="184">
        <v>27</v>
      </c>
      <c r="AM8" s="184">
        <v>28</v>
      </c>
      <c r="AN8" s="184">
        <v>29</v>
      </c>
      <c r="AO8" s="184">
        <v>30</v>
      </c>
      <c r="AP8" s="184">
        <v>1</v>
      </c>
      <c r="AQ8" s="184">
        <v>2</v>
      </c>
      <c r="AR8" s="184">
        <v>3</v>
      </c>
      <c r="AS8" s="184">
        <v>4</v>
      </c>
      <c r="AT8" s="184">
        <v>5</v>
      </c>
      <c r="AU8" s="184">
        <v>6</v>
      </c>
      <c r="AV8" s="184">
        <v>7</v>
      </c>
      <c r="AW8" s="184">
        <v>8</v>
      </c>
      <c r="AX8" s="184">
        <v>9</v>
      </c>
      <c r="AY8" s="184">
        <v>10</v>
      </c>
      <c r="AZ8" s="184">
        <v>11</v>
      </c>
      <c r="BA8" s="184">
        <v>12</v>
      </c>
      <c r="BB8" s="184">
        <v>13</v>
      </c>
      <c r="BC8" s="184">
        <v>14</v>
      </c>
      <c r="BD8" s="184">
        <v>15</v>
      </c>
      <c r="BE8" s="184">
        <v>16</v>
      </c>
      <c r="BF8" s="184">
        <v>17</v>
      </c>
      <c r="BG8" s="184">
        <v>18</v>
      </c>
      <c r="BH8" s="184">
        <v>19</v>
      </c>
      <c r="BI8" s="184">
        <v>20</v>
      </c>
      <c r="BJ8" s="184">
        <v>21</v>
      </c>
      <c r="BK8" s="184">
        <v>22</v>
      </c>
      <c r="BL8" s="184">
        <v>23</v>
      </c>
      <c r="BM8" s="184">
        <v>24</v>
      </c>
      <c r="BN8" s="184">
        <v>25</v>
      </c>
      <c r="BO8" s="184">
        <v>26</v>
      </c>
      <c r="BP8" s="184">
        <v>27</v>
      </c>
      <c r="BQ8" s="184">
        <v>28</v>
      </c>
      <c r="BR8" s="184">
        <v>29</v>
      </c>
      <c r="BS8" s="184">
        <v>30</v>
      </c>
      <c r="BT8" s="184">
        <v>31</v>
      </c>
      <c r="BU8" s="184">
        <v>1</v>
      </c>
      <c r="BV8" s="184">
        <v>2</v>
      </c>
      <c r="BW8" s="184">
        <v>3</v>
      </c>
      <c r="BX8" s="184">
        <v>4</v>
      </c>
      <c r="BY8" s="184">
        <v>5</v>
      </c>
      <c r="BZ8" s="184">
        <v>6</v>
      </c>
      <c r="CA8" s="184">
        <v>7</v>
      </c>
      <c r="CB8" s="184">
        <v>8</v>
      </c>
      <c r="CC8" s="184">
        <v>9</v>
      </c>
      <c r="CD8" s="184">
        <v>10</v>
      </c>
      <c r="CE8" s="184">
        <v>11</v>
      </c>
      <c r="CF8" s="184">
        <v>12</v>
      </c>
      <c r="CG8" s="184"/>
      <c r="CH8" s="184"/>
      <c r="CI8" s="184"/>
      <c r="CJ8" s="184"/>
      <c r="CK8" s="184"/>
      <c r="CL8" s="184"/>
      <c r="CM8" s="184"/>
      <c r="CN8" s="184"/>
      <c r="CO8" s="184"/>
      <c r="CP8" s="184"/>
      <c r="CQ8" s="184"/>
      <c r="CR8" s="184"/>
      <c r="CS8" s="184"/>
      <c r="CT8" s="184"/>
      <c r="CU8" s="184"/>
      <c r="CV8" s="184"/>
      <c r="CW8" s="184"/>
      <c r="CX8" s="184"/>
      <c r="CY8" s="184"/>
      <c r="CZ8" s="184"/>
      <c r="DA8" s="184"/>
      <c r="DB8" s="184"/>
      <c r="DC8" s="184"/>
      <c r="DD8" s="184"/>
      <c r="DE8" s="184"/>
      <c r="DF8" s="184"/>
      <c r="DG8" s="184"/>
      <c r="DH8" s="184"/>
      <c r="DI8" s="184"/>
      <c r="DJ8" s="184"/>
      <c r="DK8" s="184"/>
      <c r="DL8" s="184"/>
      <c r="DM8" s="184"/>
      <c r="DN8" s="184"/>
      <c r="DO8" s="184"/>
      <c r="DP8" s="184"/>
      <c r="DQ8" s="184"/>
      <c r="DR8" s="184"/>
      <c r="DS8" s="184"/>
      <c r="DT8" s="184"/>
      <c r="DU8" s="184"/>
      <c r="DV8" s="184"/>
      <c r="DW8" s="184"/>
      <c r="DX8" s="184"/>
      <c r="DY8" s="184"/>
      <c r="DZ8" s="184"/>
      <c r="EA8" s="184"/>
      <c r="EB8" s="184"/>
      <c r="EC8" s="184"/>
      <c r="ED8" s="184"/>
      <c r="EE8" s="184"/>
      <c r="EF8" s="184"/>
      <c r="EG8" s="184"/>
      <c r="EH8" s="184"/>
      <c r="EI8" s="184"/>
      <c r="EJ8" s="184"/>
      <c r="EK8" s="184"/>
      <c r="EL8" s="184"/>
      <c r="EM8" s="184"/>
      <c r="EN8" s="184"/>
      <c r="EO8" s="184"/>
      <c r="EP8" s="184"/>
      <c r="EQ8" s="184"/>
      <c r="ER8" s="184"/>
      <c r="ES8" s="184"/>
      <c r="ET8" s="184"/>
      <c r="EU8" s="184"/>
      <c r="EV8" s="184"/>
      <c r="EW8" s="184"/>
      <c r="EX8" s="184"/>
      <c r="EY8" s="184"/>
      <c r="EZ8" s="184"/>
      <c r="FA8" s="184"/>
      <c r="FB8" s="184"/>
      <c r="FC8" s="184"/>
      <c r="FD8" s="184"/>
      <c r="FE8" s="184"/>
      <c r="FF8" s="184"/>
      <c r="FG8" s="184"/>
      <c r="FH8" s="184"/>
      <c r="FI8" s="184"/>
      <c r="FJ8" s="184"/>
      <c r="FK8" s="184"/>
      <c r="FL8" s="184"/>
      <c r="FM8" s="184"/>
      <c r="FN8" s="184"/>
      <c r="FO8" s="184"/>
      <c r="FP8" s="184"/>
      <c r="FQ8" s="184"/>
      <c r="FR8" s="184"/>
      <c r="FS8" s="184"/>
      <c r="FT8" s="184"/>
      <c r="FU8" s="184"/>
      <c r="FV8" s="184"/>
      <c r="FW8" s="184"/>
      <c r="FX8" s="184"/>
      <c r="FY8" s="184"/>
      <c r="FZ8" s="184"/>
      <c r="GA8" s="184"/>
      <c r="GB8" s="184"/>
      <c r="GC8" s="184"/>
      <c r="GD8" s="184"/>
      <c r="GE8" s="184"/>
      <c r="GF8" s="184"/>
      <c r="GG8" s="184"/>
      <c r="GH8" s="184"/>
      <c r="GI8" s="184"/>
      <c r="GJ8" s="184"/>
      <c r="GK8" s="184"/>
      <c r="GL8" s="184"/>
      <c r="GM8" s="184"/>
      <c r="GN8" s="184"/>
      <c r="GO8" s="184"/>
      <c r="GP8" s="184"/>
      <c r="GQ8" s="184"/>
      <c r="GR8" s="184"/>
      <c r="GS8" s="184"/>
      <c r="GT8" s="184"/>
      <c r="GU8" s="184"/>
      <c r="GV8" s="184"/>
      <c r="GW8" s="184"/>
      <c r="GX8" s="184"/>
      <c r="GY8" s="184"/>
      <c r="GZ8" s="184"/>
      <c r="HA8" s="184"/>
      <c r="HB8" s="184"/>
      <c r="HC8" s="184"/>
      <c r="HD8" s="184"/>
      <c r="HE8" s="184"/>
      <c r="HF8" s="184"/>
      <c r="HG8" s="184"/>
      <c r="HH8" s="184"/>
      <c r="HI8" s="184"/>
      <c r="HJ8" s="184"/>
      <c r="HK8" s="184"/>
      <c r="HL8" s="184"/>
      <c r="HM8" s="184"/>
      <c r="HN8" s="184"/>
      <c r="HO8" s="184"/>
      <c r="HP8" s="184"/>
      <c r="HQ8" s="184"/>
      <c r="HR8" s="184"/>
      <c r="HS8" s="184"/>
      <c r="HT8" s="184"/>
      <c r="HU8" s="184"/>
      <c r="HV8" s="184"/>
      <c r="HW8" s="184"/>
      <c r="HX8" s="184"/>
      <c r="HY8" s="184"/>
      <c r="HZ8" s="184"/>
      <c r="IA8" s="184"/>
      <c r="IB8" s="184"/>
      <c r="IC8" s="184"/>
      <c r="ID8" s="184"/>
      <c r="IE8" s="184"/>
      <c r="IF8" s="184"/>
      <c r="IG8" s="184"/>
      <c r="IH8" s="184"/>
      <c r="II8" s="184"/>
      <c r="IJ8" s="184"/>
      <c r="IK8" s="184"/>
      <c r="IL8" s="184"/>
      <c r="IM8" s="184"/>
      <c r="IN8" s="184"/>
      <c r="IO8" s="184"/>
      <c r="IP8" s="184"/>
      <c r="IQ8" s="184"/>
      <c r="IR8" s="184"/>
      <c r="IS8" s="184"/>
      <c r="IT8" s="184"/>
      <c r="IU8" s="184"/>
      <c r="IV8" s="184"/>
      <c r="IW8" s="184"/>
      <c r="IX8" s="184"/>
      <c r="IY8" s="184"/>
      <c r="IZ8" s="184"/>
      <c r="JA8" s="184"/>
      <c r="JB8" s="184"/>
      <c r="JC8" s="184"/>
      <c r="JD8" s="184"/>
      <c r="JE8" s="184"/>
      <c r="JF8" s="184"/>
      <c r="JG8" s="184"/>
      <c r="JH8" s="184"/>
      <c r="JI8" s="184"/>
      <c r="JJ8" s="184"/>
      <c r="JK8" s="184"/>
      <c r="JL8" s="184"/>
      <c r="JM8" s="184"/>
      <c r="JN8" s="184"/>
      <c r="JO8" s="184"/>
      <c r="JP8" s="184"/>
      <c r="JQ8" s="184"/>
      <c r="JR8" s="184"/>
      <c r="JS8" s="184"/>
      <c r="JT8" s="184"/>
      <c r="JU8" s="184"/>
      <c r="JV8" s="184"/>
      <c r="JW8" s="184"/>
      <c r="JX8" s="184"/>
      <c r="JY8" s="184"/>
      <c r="JZ8" s="184"/>
      <c r="KA8" s="184"/>
      <c r="KB8" s="184"/>
      <c r="KC8" s="184"/>
      <c r="KD8" s="184"/>
      <c r="KE8" s="184"/>
      <c r="KF8" s="184"/>
      <c r="KG8" s="184"/>
      <c r="KH8" s="184"/>
      <c r="KI8" s="184"/>
      <c r="KJ8" s="184"/>
      <c r="KK8" s="184"/>
      <c r="KL8" s="184"/>
      <c r="KM8" s="184"/>
      <c r="KN8" s="184"/>
      <c r="KO8" s="184"/>
      <c r="KP8" s="184"/>
      <c r="KQ8" s="184"/>
      <c r="KR8" s="184"/>
      <c r="KS8" s="184"/>
      <c r="KT8" s="184"/>
      <c r="KU8" s="184"/>
      <c r="KV8" s="184"/>
      <c r="KW8" s="184"/>
      <c r="KX8" s="184"/>
      <c r="KY8" s="184"/>
      <c r="KZ8" s="184"/>
      <c r="LA8" s="184"/>
      <c r="LB8" s="184"/>
      <c r="LC8" s="184"/>
      <c r="LD8" s="184"/>
      <c r="LE8" s="184"/>
      <c r="LF8" s="184"/>
      <c r="LG8" s="184"/>
      <c r="LH8" s="184"/>
      <c r="LI8" s="184"/>
      <c r="LJ8" s="184"/>
      <c r="LK8" s="184"/>
      <c r="LL8" s="184"/>
      <c r="LM8" s="184"/>
      <c r="LN8" s="184"/>
      <c r="LO8" s="184"/>
      <c r="LP8" s="184"/>
      <c r="LQ8" s="184"/>
      <c r="LR8" s="184"/>
      <c r="LS8" s="184"/>
      <c r="LT8" s="184"/>
      <c r="LU8" s="184"/>
      <c r="LV8" s="184"/>
      <c r="LW8" s="184"/>
      <c r="LX8" s="184"/>
      <c r="LY8" s="184"/>
      <c r="LZ8" s="184"/>
      <c r="MA8" s="184"/>
      <c r="MB8" s="184"/>
      <c r="MC8" s="184"/>
      <c r="MD8" s="184"/>
      <c r="ME8" s="184"/>
      <c r="MF8" s="184"/>
      <c r="MG8" s="184"/>
      <c r="MH8" s="184"/>
      <c r="MI8" s="184"/>
      <c r="MJ8" s="184"/>
      <c r="MK8" s="184"/>
      <c r="ML8" s="184"/>
      <c r="MM8" s="184"/>
      <c r="MN8" s="184"/>
      <c r="MO8" s="184"/>
      <c r="MP8" s="184"/>
      <c r="MQ8" s="184"/>
      <c r="MR8" s="184"/>
      <c r="MS8" s="184"/>
      <c r="MT8" s="184"/>
      <c r="MU8" s="184"/>
      <c r="MV8" s="184"/>
      <c r="MW8" s="184"/>
      <c r="MX8" s="184"/>
      <c r="MY8" s="184"/>
      <c r="MZ8" s="184"/>
      <c r="NA8" s="184"/>
      <c r="NB8" s="184"/>
      <c r="NC8" s="184"/>
      <c r="ND8" s="184"/>
      <c r="NE8" s="184"/>
      <c r="NF8" s="184"/>
      <c r="NG8" s="184"/>
      <c r="NH8" s="184"/>
      <c r="NI8" s="184"/>
      <c r="NJ8" s="184"/>
      <c r="NK8" s="184"/>
      <c r="NL8" s="184"/>
      <c r="NM8" s="184"/>
      <c r="NN8" s="184"/>
      <c r="NO8" s="184"/>
      <c r="NP8" s="184"/>
      <c r="NQ8" s="184"/>
      <c r="NR8" s="184"/>
      <c r="NS8" s="184"/>
      <c r="NT8" s="184"/>
      <c r="NU8" s="184"/>
      <c r="NV8" s="184"/>
      <c r="NW8" s="184"/>
      <c r="NX8" s="184"/>
      <c r="NY8" s="184"/>
      <c r="NZ8" s="184"/>
      <c r="OA8" s="184"/>
      <c r="OB8" s="184"/>
      <c r="OC8" s="184"/>
      <c r="OD8" s="184"/>
      <c r="OE8" s="184"/>
      <c r="OF8" s="184"/>
      <c r="OG8" s="184"/>
      <c r="OH8" s="184"/>
      <c r="OI8" s="184"/>
      <c r="OJ8" s="184"/>
      <c r="OK8" s="184"/>
      <c r="OL8" s="184"/>
      <c r="OM8" s="184"/>
      <c r="ON8" s="184"/>
      <c r="OO8" s="184"/>
      <c r="OP8" s="184"/>
      <c r="OQ8" s="184"/>
      <c r="OR8" s="184"/>
      <c r="OS8" s="184"/>
      <c r="OT8" s="184"/>
      <c r="OU8" s="184"/>
      <c r="OV8" s="184"/>
      <c r="OW8" s="184"/>
      <c r="OX8" s="184"/>
      <c r="OY8" s="184"/>
      <c r="OZ8" s="184"/>
      <c r="PA8" s="184"/>
      <c r="PB8" s="184"/>
      <c r="PC8" s="184"/>
      <c r="PD8" s="184"/>
      <c r="PE8" s="184"/>
      <c r="PF8" s="184"/>
      <c r="PG8" s="184"/>
      <c r="PH8" s="184"/>
      <c r="PI8" s="184"/>
      <c r="PJ8" s="184"/>
      <c r="PK8" s="184"/>
      <c r="PL8" s="184"/>
      <c r="PM8" s="184"/>
      <c r="PN8" s="184"/>
      <c r="PO8" s="184"/>
      <c r="PP8" s="184"/>
      <c r="PQ8" s="184"/>
      <c r="PR8" s="184"/>
      <c r="PS8" s="184"/>
      <c r="PT8" s="184"/>
      <c r="PU8" s="184"/>
      <c r="PV8" s="184"/>
      <c r="PW8" s="184"/>
      <c r="PX8" s="184"/>
      <c r="PY8" s="184"/>
      <c r="PZ8" s="184"/>
      <c r="QA8" s="184"/>
      <c r="QB8" s="184"/>
      <c r="QC8" s="184"/>
      <c r="QD8" s="184"/>
      <c r="QE8" s="184"/>
      <c r="QF8" s="184"/>
      <c r="QG8" s="184"/>
      <c r="QH8" s="184"/>
      <c r="QI8" s="184"/>
      <c r="QJ8" s="184"/>
      <c r="QK8" s="184"/>
      <c r="QL8" s="184"/>
      <c r="QM8" s="184"/>
      <c r="QN8" s="184"/>
      <c r="QO8" s="184"/>
      <c r="QP8" s="184"/>
      <c r="QQ8" s="184"/>
      <c r="QR8" s="184"/>
      <c r="QS8" s="184"/>
      <c r="QT8" s="184"/>
      <c r="QU8" s="184"/>
      <c r="QV8" s="184"/>
      <c r="QW8" s="184"/>
      <c r="QX8" s="184"/>
      <c r="QY8" s="184"/>
      <c r="QZ8" s="184"/>
      <c r="RA8" s="184"/>
      <c r="RB8" s="184"/>
      <c r="RC8" s="184"/>
      <c r="RD8" s="184"/>
      <c r="RE8" s="184"/>
      <c r="RF8" s="184"/>
      <c r="RG8" s="184"/>
      <c r="RH8" s="184"/>
      <c r="RI8" s="184"/>
      <c r="RJ8" s="184"/>
      <c r="RK8" s="184"/>
      <c r="RL8" s="184"/>
      <c r="RM8" s="184"/>
      <c r="RN8" s="184"/>
      <c r="RO8" s="184"/>
      <c r="RP8" s="184"/>
      <c r="RQ8" s="184"/>
      <c r="RR8" s="184"/>
      <c r="RS8" s="184"/>
      <c r="RT8" s="184"/>
      <c r="RU8" s="184"/>
      <c r="RV8" s="184"/>
      <c r="RW8" s="184"/>
      <c r="RX8" s="184"/>
      <c r="RY8" s="184"/>
      <c r="RZ8" s="184"/>
      <c r="SA8" s="184"/>
      <c r="SB8" s="184"/>
      <c r="SC8" s="184"/>
      <c r="SD8" s="184"/>
      <c r="SE8" s="184"/>
      <c r="SF8" s="184"/>
      <c r="SG8" s="184"/>
      <c r="SH8" s="184"/>
      <c r="SI8" s="184"/>
      <c r="SJ8" s="184"/>
      <c r="SK8" s="184"/>
      <c r="SL8" s="184"/>
      <c r="SM8" s="184"/>
      <c r="SN8" s="184"/>
      <c r="SO8" s="184"/>
      <c r="SP8" s="184"/>
      <c r="SQ8" s="184"/>
      <c r="SR8" s="184"/>
      <c r="SS8" s="184"/>
      <c r="ST8" s="184"/>
      <c r="SU8" s="184"/>
      <c r="SV8" s="184"/>
      <c r="SW8" s="184"/>
      <c r="SX8" s="184"/>
      <c r="SY8" s="184"/>
      <c r="SZ8" s="184"/>
      <c r="TA8" s="184"/>
      <c r="TB8" s="184"/>
      <c r="TC8" s="184"/>
      <c r="TD8" s="184"/>
      <c r="TE8" s="184"/>
      <c r="TF8" s="184"/>
      <c r="TG8" s="184"/>
      <c r="TH8" s="184"/>
      <c r="TI8" s="184"/>
      <c r="TJ8" s="184"/>
      <c r="TK8" s="184"/>
      <c r="TL8" s="184"/>
      <c r="TM8" s="184"/>
      <c r="TN8" s="184"/>
      <c r="TO8" s="184"/>
      <c r="TP8" s="184"/>
      <c r="TQ8" s="184"/>
      <c r="TR8" s="184"/>
      <c r="TS8" s="184"/>
      <c r="TT8" s="184"/>
      <c r="TU8" s="184"/>
      <c r="TV8" s="184"/>
      <c r="TW8" s="184"/>
      <c r="TX8" s="184"/>
      <c r="TY8" s="184"/>
      <c r="TZ8" s="184"/>
      <c r="UA8" s="184"/>
      <c r="UB8" s="184"/>
      <c r="UC8" s="184"/>
      <c r="UD8" s="184"/>
      <c r="UE8" s="184"/>
      <c r="UF8" s="184"/>
      <c r="UG8" s="184"/>
      <c r="UH8" s="184"/>
      <c r="UI8" s="184"/>
      <c r="UJ8" s="184"/>
      <c r="UK8" s="184"/>
      <c r="UL8" s="184"/>
      <c r="UM8" s="184"/>
      <c r="UN8" s="184"/>
      <c r="UO8" s="184"/>
      <c r="UP8" s="184"/>
      <c r="UQ8" s="184"/>
      <c r="UR8" s="184"/>
      <c r="US8" s="184"/>
      <c r="UT8" s="184"/>
      <c r="UU8" s="184"/>
      <c r="UV8" s="184"/>
      <c r="UW8" s="184"/>
      <c r="UX8" s="184"/>
      <c r="UY8" s="184"/>
      <c r="UZ8" s="184"/>
      <c r="VA8" s="184"/>
      <c r="VB8" s="184"/>
      <c r="VC8" s="184"/>
      <c r="VD8" s="184"/>
      <c r="VE8" s="184"/>
      <c r="VF8" s="184"/>
      <c r="VG8" s="184"/>
      <c r="VH8" s="184"/>
      <c r="VI8" s="184"/>
      <c r="VJ8" s="184"/>
      <c r="VK8" s="184"/>
      <c r="VL8" s="184"/>
      <c r="VM8" s="184"/>
      <c r="VN8" s="184"/>
      <c r="VO8" s="184"/>
      <c r="VP8" s="184"/>
      <c r="VQ8" s="184"/>
      <c r="VR8" s="184"/>
      <c r="VS8" s="184"/>
      <c r="VT8" s="184"/>
      <c r="VU8" s="184"/>
      <c r="VV8" s="184"/>
      <c r="VW8" s="184"/>
      <c r="VX8" s="184"/>
      <c r="VY8" s="184"/>
      <c r="VZ8" s="184"/>
      <c r="WA8" s="184"/>
      <c r="WB8" s="184"/>
      <c r="WC8" s="184"/>
      <c r="WD8" s="184"/>
      <c r="WE8" s="184"/>
      <c r="WF8" s="184"/>
      <c r="WG8" s="184"/>
      <c r="WH8" s="184"/>
      <c r="WI8" s="184"/>
      <c r="WJ8" s="184"/>
      <c r="WK8" s="184"/>
      <c r="WL8" s="184"/>
      <c r="WM8" s="184"/>
      <c r="WN8" s="184"/>
      <c r="WO8" s="184"/>
      <c r="WP8" s="184"/>
      <c r="WQ8" s="184"/>
      <c r="WR8" s="184"/>
      <c r="WS8" s="184"/>
      <c r="WT8" s="184"/>
      <c r="WU8" s="184"/>
      <c r="WV8" s="184"/>
      <c r="WW8" s="184"/>
      <c r="WX8" s="184"/>
      <c r="WY8" s="184"/>
      <c r="WZ8" s="184"/>
      <c r="XA8" s="184"/>
      <c r="XB8" s="184"/>
      <c r="XC8" s="184"/>
      <c r="XD8" s="184"/>
      <c r="XE8" s="184"/>
      <c r="XF8" s="184"/>
      <c r="XG8" s="184"/>
      <c r="XH8" s="184"/>
      <c r="XI8" s="184"/>
      <c r="XJ8" s="184"/>
      <c r="XK8" s="184"/>
      <c r="XL8" s="184"/>
      <c r="XM8" s="184"/>
      <c r="XN8" s="184"/>
      <c r="XO8" s="184"/>
      <c r="XP8" s="184"/>
      <c r="XQ8" s="184"/>
      <c r="XR8" s="184"/>
      <c r="XS8" s="184"/>
      <c r="XT8" s="184"/>
      <c r="XU8" s="184"/>
      <c r="XV8" s="184"/>
      <c r="XW8" s="184"/>
      <c r="XX8" s="184"/>
      <c r="XY8" s="184"/>
      <c r="XZ8" s="184"/>
      <c r="YA8" s="184"/>
      <c r="YB8" s="184"/>
      <c r="YC8" s="184"/>
      <c r="YD8" s="184"/>
      <c r="YE8" s="184"/>
      <c r="YF8" s="184"/>
      <c r="YG8" s="184"/>
      <c r="YH8" s="184"/>
      <c r="YI8" s="184"/>
      <c r="YJ8" s="184"/>
      <c r="YK8" s="184"/>
      <c r="YL8" s="184"/>
      <c r="YM8" s="184"/>
      <c r="YN8" s="184"/>
      <c r="YO8" s="184"/>
      <c r="YP8" s="184"/>
      <c r="YQ8" s="184"/>
      <c r="YR8" s="184"/>
      <c r="YS8" s="184"/>
      <c r="YT8" s="184"/>
      <c r="YU8" s="184"/>
      <c r="YV8" s="184"/>
      <c r="YW8" s="184"/>
      <c r="YX8" s="184"/>
      <c r="YY8" s="184"/>
      <c r="YZ8" s="184"/>
      <c r="ZA8" s="184"/>
      <c r="ZB8" s="184"/>
      <c r="ZC8" s="184"/>
      <c r="ZD8" s="184"/>
      <c r="ZE8" s="184"/>
      <c r="ZF8" s="184"/>
      <c r="ZG8" s="184"/>
      <c r="ZH8" s="184"/>
      <c r="ZI8" s="184"/>
      <c r="ZJ8" s="184"/>
      <c r="ZK8" s="184"/>
      <c r="ZL8" s="184"/>
      <c r="ZM8" s="184"/>
      <c r="ZN8" s="184"/>
      <c r="ZO8" s="184"/>
      <c r="ZP8" s="184"/>
      <c r="ZQ8" s="184"/>
      <c r="ZR8" s="184"/>
      <c r="ZS8" s="184"/>
      <c r="ZT8" s="184"/>
      <c r="ZU8" s="184"/>
      <c r="ZV8" s="184"/>
      <c r="ZW8" s="184"/>
      <c r="ZX8" s="184"/>
      <c r="ZY8" s="184"/>
      <c r="ZZ8" s="184"/>
      <c r="AAA8" s="184"/>
      <c r="AAB8" s="184"/>
      <c r="AAC8" s="184"/>
      <c r="AAD8" s="184"/>
      <c r="AAE8" s="184"/>
      <c r="AAF8" s="184"/>
      <c r="AAG8" s="184"/>
      <c r="AAH8" s="184"/>
      <c r="AAI8" s="184"/>
      <c r="AAJ8" s="184"/>
      <c r="AAK8" s="184"/>
      <c r="AAL8" s="184"/>
      <c r="AAM8" s="184"/>
      <c r="AAN8" s="184"/>
      <c r="AAO8" s="184"/>
      <c r="AAP8" s="184"/>
      <c r="AAQ8" s="184"/>
      <c r="AAR8" s="184"/>
      <c r="AAS8" s="184"/>
      <c r="AAT8" s="184"/>
      <c r="AAU8" s="184"/>
      <c r="AAV8" s="184"/>
      <c r="AAW8" s="184"/>
      <c r="AAX8" s="184"/>
      <c r="AAY8" s="184"/>
      <c r="AAZ8" s="184"/>
      <c r="ABA8" s="184"/>
      <c r="ABB8" s="184"/>
      <c r="ABC8" s="184"/>
      <c r="ABD8" s="184"/>
      <c r="ABE8" s="184"/>
      <c r="ABF8" s="184"/>
      <c r="ABG8" s="184"/>
      <c r="ABH8" s="184"/>
      <c r="ABI8" s="184"/>
      <c r="ABJ8" s="184"/>
      <c r="ABK8" s="184"/>
      <c r="ABL8" s="184"/>
      <c r="ABM8" s="184"/>
      <c r="ABN8" s="184"/>
      <c r="ABO8" s="184"/>
      <c r="ABP8" s="184"/>
      <c r="ABQ8" s="184"/>
      <c r="ABR8" s="184"/>
      <c r="ABS8" s="184"/>
      <c r="ABT8" s="184"/>
      <c r="ABU8" s="184"/>
      <c r="ABV8" s="184"/>
      <c r="ABW8" s="184"/>
      <c r="ABX8" s="184"/>
      <c r="ABY8" s="184"/>
      <c r="ABZ8" s="184"/>
      <c r="ACA8" s="184"/>
      <c r="ACB8" s="184"/>
      <c r="ACC8" s="184"/>
      <c r="ACD8" s="184"/>
      <c r="ACE8" s="184"/>
      <c r="ACF8" s="184"/>
      <c r="ACG8" s="184"/>
      <c r="ACH8" s="184"/>
      <c r="ACI8" s="184"/>
      <c r="ACJ8" s="184"/>
      <c r="ACK8" s="184"/>
      <c r="ACL8" s="184"/>
      <c r="ACM8" s="184"/>
      <c r="ACN8" s="184"/>
      <c r="ACO8" s="184"/>
      <c r="ACP8" s="184"/>
      <c r="ACQ8" s="184"/>
      <c r="ACR8" s="184"/>
      <c r="ACS8" s="184"/>
      <c r="ACT8" s="184"/>
      <c r="ACU8" s="184"/>
      <c r="ACV8" s="184"/>
      <c r="ACW8" s="184"/>
      <c r="ACX8" s="184"/>
      <c r="ACY8" s="184"/>
      <c r="ACZ8" s="184"/>
      <c r="ADA8" s="184"/>
      <c r="ADB8" s="184"/>
      <c r="ADC8" s="184"/>
      <c r="ADD8" s="184"/>
      <c r="ADE8" s="184"/>
      <c r="ADF8" s="184"/>
      <c r="ADG8" s="184"/>
      <c r="ADH8" s="184"/>
      <c r="ADI8" s="184"/>
      <c r="ADJ8" s="184"/>
      <c r="ADK8" s="184"/>
      <c r="ADL8" s="184"/>
      <c r="ADM8" s="184"/>
      <c r="ADN8" s="184"/>
      <c r="ADO8" s="184"/>
      <c r="ADP8" s="184"/>
      <c r="ADQ8" s="184"/>
      <c r="ADR8" s="184"/>
      <c r="ADS8" s="184"/>
      <c r="ADT8" s="184"/>
      <c r="ADU8" s="184"/>
      <c r="ADV8" s="184"/>
      <c r="ADW8" s="184"/>
      <c r="ADX8" s="184"/>
      <c r="ADY8" s="184"/>
      <c r="ADZ8" s="184"/>
      <c r="AEA8" s="184"/>
      <c r="AEB8" s="184"/>
      <c r="AEC8" s="184"/>
      <c r="AED8" s="184"/>
      <c r="AEE8" s="184"/>
      <c r="AEF8" s="184"/>
      <c r="AEG8" s="184"/>
      <c r="AEH8" s="184"/>
      <c r="AEI8" s="184"/>
      <c r="AEJ8" s="184"/>
      <c r="AEK8" s="184"/>
      <c r="AEL8" s="184"/>
      <c r="AEM8" s="184"/>
      <c r="AEN8" s="184"/>
      <c r="AEO8" s="184"/>
      <c r="AEP8" s="184"/>
      <c r="AEQ8" s="184"/>
      <c r="AER8" s="184"/>
      <c r="AES8" s="184"/>
      <c r="AET8" s="184"/>
      <c r="AEU8" s="184"/>
      <c r="AEV8" s="184"/>
      <c r="AEW8" s="184"/>
      <c r="AEX8" s="184"/>
      <c r="AEY8" s="184"/>
      <c r="AEZ8" s="184"/>
      <c r="AFA8" s="184"/>
      <c r="AFB8" s="184"/>
      <c r="AFC8" s="184"/>
      <c r="AFD8" s="184"/>
      <c r="AFE8" s="184"/>
      <c r="AFF8" s="184"/>
      <c r="AFG8" s="184"/>
      <c r="AFH8" s="184"/>
      <c r="AFI8" s="184"/>
      <c r="AFJ8" s="184"/>
      <c r="AFK8" s="184"/>
      <c r="AFL8" s="184"/>
      <c r="AFM8" s="184"/>
      <c r="AFN8" s="184"/>
      <c r="AFO8" s="184"/>
      <c r="AFP8" s="184"/>
      <c r="AFQ8" s="184"/>
      <c r="AFR8" s="184"/>
      <c r="AFS8" s="184"/>
      <c r="AFT8" s="184"/>
      <c r="AFU8" s="184"/>
      <c r="AFV8" s="184"/>
      <c r="AFW8" s="184"/>
      <c r="AFX8" s="184"/>
      <c r="AFY8" s="184"/>
      <c r="AFZ8" s="184"/>
      <c r="AGA8" s="184"/>
      <c r="AGB8" s="184"/>
      <c r="AGC8" s="184"/>
      <c r="AGD8" s="184"/>
      <c r="AGE8" s="184"/>
      <c r="AGF8" s="184"/>
      <c r="AGG8" s="184"/>
      <c r="AGH8" s="184"/>
      <c r="AGI8" s="184"/>
      <c r="AGJ8" s="184"/>
      <c r="AGK8" s="184"/>
      <c r="AGL8" s="184"/>
      <c r="AGM8" s="184"/>
      <c r="AGN8" s="184"/>
      <c r="AGO8" s="184"/>
      <c r="AGP8" s="184"/>
      <c r="AGQ8" s="184"/>
      <c r="AGR8" s="184"/>
      <c r="AGS8" s="184"/>
      <c r="AGT8" s="184"/>
      <c r="AGU8" s="184"/>
      <c r="AGV8" s="184"/>
      <c r="AGW8" s="184"/>
      <c r="AGX8" s="184"/>
      <c r="AGY8" s="184"/>
      <c r="AGZ8" s="184"/>
      <c r="AHA8" s="184"/>
      <c r="AHB8" s="184"/>
      <c r="AHC8" s="184"/>
      <c r="AHD8" s="184"/>
      <c r="AHE8" s="184"/>
      <c r="AHF8" s="184"/>
      <c r="AHG8" s="184"/>
      <c r="AHH8" s="184"/>
      <c r="AHI8" s="184"/>
      <c r="AHJ8" s="184"/>
      <c r="AHK8" s="184"/>
      <c r="AHL8" s="184"/>
      <c r="AHM8" s="184"/>
      <c r="AHN8" s="184"/>
      <c r="AHO8" s="184"/>
      <c r="AHP8" s="184"/>
      <c r="AHQ8" s="184"/>
      <c r="AHR8" s="184"/>
      <c r="AHS8" s="184"/>
      <c r="AHT8" s="184"/>
      <c r="AHU8" s="184"/>
      <c r="AHV8" s="184"/>
      <c r="AHW8" s="184"/>
      <c r="AHX8" s="184"/>
      <c r="AHY8" s="184"/>
      <c r="AHZ8" s="184"/>
      <c r="AIA8" s="184"/>
      <c r="AIB8" s="184"/>
      <c r="AIC8" s="184"/>
      <c r="AID8" s="184"/>
      <c r="AIE8" s="184"/>
      <c r="AIF8" s="184"/>
      <c r="AIG8" s="184"/>
      <c r="AIH8" s="184"/>
      <c r="AII8" s="184"/>
      <c r="AIJ8" s="184"/>
      <c r="AIK8" s="184"/>
      <c r="AIL8" s="184"/>
      <c r="AIM8" s="184"/>
      <c r="AIN8" s="184"/>
      <c r="AIO8" s="184"/>
      <c r="AIP8" s="184"/>
      <c r="AIQ8" s="184"/>
      <c r="AIR8" s="184"/>
      <c r="AIS8" s="184"/>
      <c r="AIT8" s="184"/>
      <c r="AIU8" s="184"/>
      <c r="AIV8" s="184"/>
      <c r="AIW8" s="184"/>
      <c r="AIX8" s="184"/>
      <c r="AIY8" s="184"/>
      <c r="AIZ8" s="184"/>
      <c r="AJA8" s="184"/>
      <c r="AJB8" s="184"/>
      <c r="AJC8" s="184"/>
      <c r="AJD8" s="184"/>
      <c r="AJE8" s="184"/>
      <c r="AJF8" s="184"/>
      <c r="AJG8" s="184"/>
      <c r="AJH8" s="184"/>
      <c r="AJI8" s="184"/>
      <c r="AJJ8" s="184"/>
      <c r="AJK8" s="184"/>
      <c r="AJL8" s="184"/>
      <c r="AJM8" s="184"/>
      <c r="AJN8" s="184"/>
      <c r="AJO8" s="184"/>
      <c r="AJP8" s="184"/>
      <c r="AJQ8" s="184"/>
      <c r="AJR8" s="184"/>
      <c r="AJS8" s="184"/>
      <c r="AJT8" s="184"/>
      <c r="AJU8" s="184"/>
      <c r="AJV8" s="184"/>
      <c r="AJW8" s="184"/>
      <c r="AJX8" s="184"/>
      <c r="AJY8" s="184"/>
      <c r="AJZ8" s="184"/>
      <c r="AKA8" s="184"/>
      <c r="AKB8" s="184"/>
      <c r="AKC8" s="184"/>
      <c r="AKD8" s="184"/>
      <c r="AKE8" s="184"/>
      <c r="AKF8" s="184"/>
      <c r="AKG8" s="184"/>
      <c r="AKH8" s="184"/>
      <c r="AKI8" s="184"/>
      <c r="AKJ8" s="184"/>
      <c r="AKK8" s="184"/>
      <c r="AKL8" s="184"/>
      <c r="AKM8" s="184"/>
      <c r="AKN8" s="184"/>
      <c r="AKO8" s="184"/>
      <c r="AKP8" s="184"/>
      <c r="AKQ8" s="184"/>
      <c r="AKR8" s="184"/>
      <c r="AKS8" s="184"/>
      <c r="AKT8" s="184"/>
      <c r="AKU8" s="184"/>
      <c r="AKV8" s="184"/>
      <c r="AKW8" s="184"/>
      <c r="AKX8" s="184"/>
      <c r="AKY8" s="184"/>
      <c r="AKZ8" s="184"/>
      <c r="ALA8" s="184"/>
      <c r="ALB8" s="184"/>
      <c r="ALC8" s="184"/>
      <c r="ALD8" s="184"/>
      <c r="ALE8" s="184"/>
      <c r="ALF8" s="184"/>
      <c r="ALG8" s="184"/>
      <c r="ALH8" s="184"/>
      <c r="ALI8" s="184"/>
      <c r="ALJ8" s="184"/>
      <c r="ALK8" s="184"/>
      <c r="ALL8" s="184"/>
      <c r="ALM8" s="184"/>
      <c r="ALN8" s="184"/>
      <c r="ALO8" s="184"/>
      <c r="ALP8" s="184"/>
      <c r="ALQ8" s="184"/>
      <c r="ALR8" s="184"/>
      <c r="ALS8" s="184"/>
      <c r="ALT8" s="184"/>
      <c r="ALU8" s="184"/>
      <c r="ALV8" s="184"/>
      <c r="ALW8" s="184"/>
      <c r="ALX8" s="184"/>
      <c r="ALY8" s="184"/>
      <c r="ALZ8" s="184"/>
      <c r="AMA8" s="184"/>
      <c r="AMB8" s="184"/>
      <c r="AMC8" s="184"/>
      <c r="AMD8" s="184"/>
      <c r="AME8" s="184"/>
      <c r="AMF8" s="184"/>
      <c r="AMG8" s="184"/>
      <c r="AMH8" s="184"/>
      <c r="AMI8" s="184"/>
      <c r="AMJ8" s="184"/>
      <c r="AMK8" s="184"/>
      <c r="AML8" s="184"/>
      <c r="AMM8" s="184"/>
      <c r="AMN8" s="184"/>
      <c r="AMO8" s="184"/>
      <c r="AMP8" s="184"/>
      <c r="AMQ8" s="184"/>
      <c r="AMR8" s="184"/>
      <c r="AMS8" s="184"/>
      <c r="AMT8" s="184"/>
      <c r="AMU8" s="184"/>
      <c r="AMV8" s="184"/>
      <c r="AMW8" s="184"/>
      <c r="AMX8" s="184"/>
      <c r="AMY8" s="184"/>
      <c r="AMZ8" s="184"/>
      <c r="ANA8" s="184"/>
      <c r="ANB8" s="184"/>
      <c r="ANC8" s="184"/>
      <c r="AND8" s="184"/>
      <c r="ANE8" s="184"/>
      <c r="ANF8" s="184"/>
      <c r="ANG8" s="184"/>
      <c r="ANH8" s="184"/>
      <c r="ANI8" s="184"/>
      <c r="ANJ8" s="184"/>
      <c r="ANK8" s="184"/>
      <c r="ANL8" s="184"/>
      <c r="ANM8" s="184"/>
      <c r="ANN8" s="184"/>
      <c r="ANO8" s="184"/>
      <c r="ANP8" s="184"/>
      <c r="ANQ8" s="184"/>
      <c r="ANR8" s="184"/>
      <c r="ANS8" s="184"/>
      <c r="ANT8" s="184"/>
      <c r="ANU8" s="184"/>
      <c r="ANV8" s="184"/>
      <c r="ANW8" s="184"/>
      <c r="ANX8" s="184"/>
      <c r="ANY8" s="184"/>
      <c r="ANZ8" s="184"/>
      <c r="AOA8" s="184"/>
      <c r="AOB8" s="184"/>
      <c r="AOC8" s="184"/>
      <c r="AOD8" s="184"/>
      <c r="AOE8" s="184"/>
      <c r="AOF8" s="184"/>
      <c r="AOG8" s="184"/>
      <c r="AOH8" s="184"/>
      <c r="AOI8" s="184"/>
      <c r="AOJ8" s="184"/>
      <c r="AOK8" s="184"/>
      <c r="AOL8" s="184"/>
      <c r="AOM8" s="184"/>
      <c r="AON8" s="184"/>
      <c r="AOO8" s="184"/>
      <c r="AOP8" s="184"/>
      <c r="AOQ8" s="184"/>
      <c r="AOR8" s="184"/>
      <c r="AOS8" s="184"/>
      <c r="AOT8" s="184"/>
      <c r="AOU8" s="184"/>
      <c r="AOV8" s="184"/>
      <c r="AOW8" s="184"/>
      <c r="AOX8" s="184"/>
      <c r="AOY8" s="184"/>
      <c r="AOZ8" s="184"/>
      <c r="APA8" s="184"/>
      <c r="APB8" s="184"/>
      <c r="APC8" s="184"/>
      <c r="APD8" s="184"/>
      <c r="APE8" s="184"/>
      <c r="APF8" s="184"/>
      <c r="APG8" s="184"/>
      <c r="APH8" s="184"/>
      <c r="API8" s="184"/>
      <c r="APJ8" s="184"/>
      <c r="APK8" s="184"/>
      <c r="APL8" s="184"/>
      <c r="APM8" s="184"/>
      <c r="APN8" s="184"/>
      <c r="APO8" s="184"/>
      <c r="APP8" s="184"/>
      <c r="APQ8" s="184"/>
      <c r="APR8" s="184"/>
      <c r="APS8" s="184"/>
      <c r="APT8" s="184"/>
      <c r="APU8" s="184"/>
      <c r="APV8" s="184"/>
      <c r="APW8" s="184"/>
      <c r="APX8" s="184"/>
      <c r="APY8" s="184"/>
      <c r="APZ8" s="184"/>
      <c r="AQA8" s="184"/>
      <c r="AQB8" s="184"/>
      <c r="AQC8" s="184"/>
      <c r="AQD8" s="184"/>
      <c r="AQE8" s="184"/>
      <c r="AQF8" s="184"/>
      <c r="AQG8" s="184"/>
      <c r="AQH8" s="184"/>
      <c r="AQI8" s="184"/>
      <c r="AQJ8" s="184"/>
      <c r="AQK8" s="184"/>
      <c r="AQL8" s="184"/>
      <c r="AQM8" s="184"/>
      <c r="AQN8" s="184"/>
      <c r="AQO8" s="184"/>
      <c r="AQP8" s="184"/>
      <c r="AQQ8" s="184"/>
      <c r="AQR8" s="184"/>
      <c r="AQS8" s="184"/>
      <c r="AQT8" s="184"/>
      <c r="AQU8" s="184"/>
      <c r="AQV8" s="184"/>
      <c r="AQW8" s="184"/>
      <c r="AQX8" s="184"/>
      <c r="AQY8" s="184"/>
      <c r="AQZ8" s="184"/>
      <c r="ARA8" s="184"/>
      <c r="ARB8" s="184"/>
      <c r="ARC8" s="184"/>
      <c r="ARD8" s="184"/>
      <c r="ARE8" s="184"/>
      <c r="ARF8" s="184"/>
      <c r="ARG8" s="184"/>
      <c r="ARH8" s="184"/>
      <c r="ARI8" s="184"/>
      <c r="ARJ8" s="184"/>
      <c r="ARK8" s="184"/>
      <c r="ARL8" s="184"/>
      <c r="ARM8" s="184"/>
      <c r="ARN8" s="184"/>
      <c r="ARO8" s="184"/>
      <c r="ARP8" s="184"/>
      <c r="ARQ8" s="184"/>
      <c r="ARR8" s="184"/>
      <c r="ARS8" s="184"/>
      <c r="ART8" s="184"/>
      <c r="ARU8" s="184"/>
      <c r="ARV8" s="184"/>
      <c r="ARW8" s="184"/>
      <c r="ARX8" s="184"/>
      <c r="ARY8" s="184"/>
      <c r="ARZ8" s="184"/>
      <c r="ASA8" s="184"/>
      <c r="ASB8" s="184"/>
      <c r="ASC8" s="184"/>
      <c r="ASD8" s="184"/>
      <c r="ASE8" s="184"/>
      <c r="ASF8" s="184"/>
      <c r="ASG8" s="184"/>
      <c r="ASH8" s="184"/>
      <c r="ASI8" s="184"/>
      <c r="ASJ8" s="184"/>
      <c r="ASK8" s="184"/>
      <c r="ASL8" s="184"/>
      <c r="ASM8" s="184"/>
      <c r="ASN8" s="184"/>
      <c r="ASO8" s="184"/>
      <c r="ASP8" s="184"/>
      <c r="ASQ8" s="184"/>
      <c r="ASR8" s="184"/>
      <c r="ASS8" s="184"/>
      <c r="AST8" s="184"/>
      <c r="ASU8" s="184"/>
      <c r="ASV8" s="184"/>
      <c r="ASW8" s="184"/>
      <c r="ASX8" s="184"/>
      <c r="ASY8" s="184"/>
      <c r="ASZ8" s="184"/>
      <c r="ATA8" s="184"/>
      <c r="ATB8" s="184"/>
      <c r="ATC8" s="184"/>
      <c r="ATD8" s="184"/>
      <c r="ATE8" s="184"/>
      <c r="ATF8" s="184"/>
      <c r="ATG8" s="184"/>
      <c r="ATH8" s="184"/>
      <c r="ATI8" s="184"/>
      <c r="ATJ8" s="184"/>
      <c r="ATK8" s="184"/>
      <c r="ATL8" s="184"/>
      <c r="ATM8" s="184"/>
      <c r="ATN8" s="184"/>
      <c r="ATO8" s="184"/>
      <c r="ATP8" s="184"/>
      <c r="ATQ8" s="184"/>
      <c r="ATR8" s="184"/>
      <c r="ATS8" s="184"/>
      <c r="ATT8" s="184"/>
      <c r="ATU8" s="184"/>
      <c r="ATV8" s="184"/>
      <c r="ATW8" s="184"/>
      <c r="ATX8" s="184"/>
      <c r="ATY8" s="184"/>
      <c r="ATZ8" s="184"/>
      <c r="AUA8" s="184"/>
      <c r="AUB8" s="184"/>
      <c r="AUC8" s="184"/>
      <c r="AUD8" s="184"/>
      <c r="AUE8" s="184"/>
      <c r="AUF8" s="184"/>
      <c r="AUG8" s="184"/>
      <c r="AUH8" s="184"/>
      <c r="AUI8" s="184"/>
      <c r="AUJ8" s="184"/>
      <c r="AUK8" s="184"/>
      <c r="AUL8" s="184"/>
      <c r="AUM8" s="184"/>
      <c r="AUN8" s="184"/>
      <c r="AUO8" s="184"/>
      <c r="AUP8" s="184"/>
      <c r="AUQ8" s="184"/>
      <c r="AUR8" s="184"/>
      <c r="AUS8" s="184"/>
      <c r="AUT8" s="184"/>
      <c r="AUU8" s="184"/>
      <c r="AUV8" s="184"/>
      <c r="AUW8" s="184"/>
      <c r="AUX8" s="184"/>
      <c r="AUY8" s="184"/>
      <c r="AUZ8" s="184"/>
      <c r="AVA8" s="184"/>
      <c r="AVB8" s="184"/>
      <c r="AVC8" s="184"/>
      <c r="AVD8" s="184"/>
      <c r="AVE8" s="184"/>
      <c r="AVF8" s="184"/>
      <c r="AVG8" s="184"/>
      <c r="AVH8" s="184"/>
      <c r="AVI8" s="184"/>
      <c r="AVJ8" s="184"/>
      <c r="AVK8" s="184"/>
      <c r="AVL8" s="184"/>
      <c r="AVM8" s="184"/>
      <c r="AVN8" s="184"/>
      <c r="AVO8" s="184"/>
      <c r="AVP8" s="184"/>
      <c r="AVQ8" s="184"/>
      <c r="AVR8" s="184"/>
      <c r="AVS8" s="184"/>
      <c r="AVT8" s="184"/>
      <c r="AVU8" s="184"/>
      <c r="AVV8" s="184"/>
      <c r="AVW8" s="184"/>
      <c r="AVX8" s="184"/>
      <c r="AVY8" s="184"/>
      <c r="AVZ8" s="184"/>
      <c r="AWA8" s="184"/>
      <c r="AWB8" s="184"/>
      <c r="AWC8" s="184"/>
      <c r="AWD8" s="184"/>
      <c r="AWE8" s="184"/>
      <c r="AWF8" s="184"/>
      <c r="AWG8" s="184"/>
      <c r="AWH8" s="184"/>
      <c r="AWI8" s="184"/>
      <c r="AWJ8" s="184"/>
      <c r="AWK8" s="184"/>
      <c r="AWL8" s="184"/>
      <c r="AWM8" s="184"/>
      <c r="AWN8" s="184"/>
      <c r="AWO8" s="184"/>
      <c r="AWP8" s="184"/>
      <c r="AWQ8" s="184"/>
      <c r="AWR8" s="184"/>
      <c r="AWS8" s="184"/>
      <c r="AWT8" s="184"/>
      <c r="AWU8" s="184"/>
      <c r="AWV8" s="184"/>
      <c r="AWW8" s="184"/>
      <c r="AWX8" s="184"/>
      <c r="AWY8" s="184"/>
      <c r="AWZ8" s="184"/>
      <c r="AXA8" s="184"/>
      <c r="AXB8" s="184"/>
      <c r="AXC8" s="184"/>
      <c r="AXD8" s="184"/>
      <c r="AXE8" s="184"/>
      <c r="AXF8" s="184"/>
      <c r="AXG8" s="184"/>
      <c r="AXH8" s="184"/>
      <c r="AXI8" s="184"/>
      <c r="AXJ8" s="184"/>
      <c r="AXK8" s="184"/>
      <c r="AXL8" s="184"/>
      <c r="AXM8" s="184"/>
      <c r="AXN8" s="184"/>
      <c r="AXO8" s="184"/>
      <c r="AXP8" s="184"/>
      <c r="AXQ8" s="184"/>
      <c r="AXR8" s="184"/>
      <c r="AXS8" s="184"/>
      <c r="AXT8" s="184"/>
      <c r="AXU8" s="184"/>
      <c r="AXV8" s="184"/>
      <c r="AXW8" s="184"/>
      <c r="AXX8" s="184"/>
      <c r="AXY8" s="184"/>
      <c r="AXZ8" s="184"/>
      <c r="AYA8" s="184"/>
      <c r="AYB8" s="184"/>
      <c r="AYC8" s="184"/>
      <c r="AYD8" s="184"/>
      <c r="AYE8" s="184"/>
      <c r="AYF8" s="184"/>
      <c r="AYG8" s="184"/>
      <c r="AYH8" s="184"/>
      <c r="AYI8" s="184"/>
      <c r="AYJ8" s="184"/>
      <c r="AYK8" s="184"/>
      <c r="AYL8" s="184"/>
      <c r="AYM8" s="184"/>
      <c r="AYN8" s="184"/>
      <c r="AYO8" s="184"/>
      <c r="AYP8" s="184"/>
      <c r="AYQ8" s="184"/>
      <c r="AYR8" s="184"/>
      <c r="AYS8" s="184"/>
      <c r="AYT8" s="184"/>
      <c r="AYU8" s="184"/>
      <c r="AYV8" s="184"/>
      <c r="AYW8" s="184"/>
      <c r="AYX8" s="184"/>
      <c r="AYY8" s="184"/>
      <c r="AYZ8" s="184"/>
      <c r="AZA8" s="184"/>
      <c r="AZB8" s="184"/>
      <c r="AZC8" s="184"/>
      <c r="AZD8" s="184"/>
      <c r="AZE8" s="184"/>
      <c r="AZF8" s="184"/>
      <c r="AZG8" s="184"/>
      <c r="AZH8" s="184"/>
      <c r="AZI8" s="184"/>
      <c r="AZJ8" s="184"/>
      <c r="AZK8" s="184"/>
      <c r="AZL8" s="184"/>
      <c r="AZM8" s="184"/>
      <c r="AZN8" s="184"/>
      <c r="AZO8" s="184"/>
      <c r="AZP8" s="184"/>
      <c r="AZQ8" s="184"/>
      <c r="AZR8" s="184"/>
      <c r="AZS8" s="184"/>
      <c r="AZT8" s="184"/>
      <c r="AZU8" s="184"/>
      <c r="AZV8" s="184"/>
      <c r="AZW8" s="184"/>
      <c r="AZX8" s="184"/>
      <c r="AZY8" s="184"/>
      <c r="AZZ8" s="184"/>
      <c r="BAA8" s="184"/>
      <c r="BAB8" s="184"/>
      <c r="BAC8" s="184"/>
      <c r="BAD8" s="184"/>
      <c r="BAE8" s="184"/>
      <c r="BAF8" s="184"/>
      <c r="BAG8" s="184"/>
      <c r="BAH8" s="184"/>
      <c r="BAI8" s="184"/>
      <c r="BAJ8" s="184"/>
      <c r="BAK8" s="184"/>
      <c r="BAL8" s="184"/>
      <c r="BAM8" s="184"/>
      <c r="BAN8" s="184"/>
      <c r="BAO8" s="184"/>
      <c r="BAP8" s="184"/>
      <c r="BAQ8" s="184"/>
      <c r="BAR8" s="184"/>
      <c r="BAS8" s="184"/>
      <c r="BAT8" s="184"/>
      <c r="BAU8" s="184"/>
      <c r="BAV8" s="184"/>
      <c r="BAW8" s="184"/>
      <c r="BAX8" s="184"/>
      <c r="BAY8" s="184"/>
      <c r="BAZ8" s="184"/>
      <c r="BBA8" s="184"/>
      <c r="BBB8" s="184"/>
      <c r="BBC8" s="184"/>
      <c r="BBD8" s="184"/>
      <c r="BBE8" s="184"/>
      <c r="BBF8" s="184"/>
      <c r="BBG8" s="184"/>
      <c r="BBH8" s="184"/>
      <c r="BBI8" s="184"/>
      <c r="BBJ8" s="184"/>
      <c r="BBK8" s="184"/>
      <c r="BBL8" s="184"/>
      <c r="BBM8" s="184"/>
      <c r="BBN8" s="184"/>
      <c r="BBO8" s="184"/>
      <c r="BBP8" s="184"/>
      <c r="BBQ8" s="184"/>
      <c r="BBR8" s="184"/>
      <c r="BBS8" s="184"/>
      <c r="BBT8" s="184"/>
      <c r="BBU8" s="184"/>
      <c r="BBV8" s="184"/>
      <c r="BBW8" s="184"/>
      <c r="BBX8" s="184"/>
      <c r="BBY8" s="184"/>
      <c r="BBZ8" s="184"/>
      <c r="BCA8" s="184"/>
      <c r="BCB8" s="184"/>
      <c r="BCC8" s="184"/>
      <c r="BCD8" s="184"/>
      <c r="BCE8" s="184"/>
      <c r="BCF8" s="184"/>
      <c r="BCG8" s="184"/>
      <c r="BCH8" s="184"/>
      <c r="BCI8" s="184"/>
      <c r="BCJ8" s="184"/>
      <c r="BCK8" s="184"/>
      <c r="BCL8" s="184"/>
      <c r="BCM8" s="184"/>
      <c r="BCN8" s="184"/>
      <c r="BCO8" s="184"/>
      <c r="BCP8" s="184"/>
      <c r="BCQ8" s="184"/>
      <c r="BCR8" s="184"/>
      <c r="BCS8" s="184"/>
      <c r="BCT8" s="184"/>
      <c r="BCU8" s="184"/>
      <c r="BCV8" s="184"/>
      <c r="BCW8" s="184"/>
      <c r="BCX8" s="184"/>
      <c r="BCY8" s="184"/>
      <c r="BCZ8" s="184"/>
      <c r="BDA8" s="184"/>
      <c r="BDB8" s="184"/>
      <c r="BDC8" s="184"/>
      <c r="BDD8" s="184"/>
      <c r="BDE8" s="184"/>
      <c r="BDF8" s="184"/>
      <c r="BDG8" s="184"/>
      <c r="BDH8" s="184"/>
      <c r="BDI8" s="184"/>
      <c r="BDJ8" s="184"/>
      <c r="BDK8" s="184"/>
      <c r="BDL8" s="184"/>
      <c r="BDM8" s="184"/>
      <c r="BDN8" s="184"/>
      <c r="BDO8" s="184"/>
      <c r="BDP8" s="184"/>
      <c r="BDQ8" s="184"/>
      <c r="BDR8" s="184"/>
      <c r="BDS8" s="184"/>
      <c r="BDT8" s="184"/>
      <c r="BDU8" s="184"/>
      <c r="BDV8" s="184"/>
      <c r="BDW8" s="184"/>
      <c r="BDX8" s="184"/>
      <c r="BDY8" s="184"/>
      <c r="BDZ8" s="184"/>
      <c r="BEA8" s="184"/>
      <c r="BEB8" s="184"/>
      <c r="BEC8" s="184"/>
      <c r="BED8" s="184"/>
      <c r="BEE8" s="184"/>
      <c r="BEF8" s="184"/>
      <c r="BEG8" s="184"/>
      <c r="BEH8" s="184"/>
      <c r="BEI8" s="184"/>
      <c r="BEJ8" s="184"/>
      <c r="BEK8" s="184"/>
      <c r="BEL8" s="184"/>
      <c r="BEM8" s="184"/>
      <c r="BEN8" s="184"/>
      <c r="BEO8" s="184"/>
      <c r="BEP8" s="184"/>
      <c r="BEQ8" s="184"/>
      <c r="BER8" s="184"/>
      <c r="BES8" s="184"/>
      <c r="BET8" s="184"/>
      <c r="BEU8" s="184"/>
      <c r="BEV8" s="184"/>
      <c r="BEW8" s="184"/>
      <c r="BEX8" s="184"/>
      <c r="BEY8" s="184"/>
      <c r="BEZ8" s="184"/>
      <c r="BFA8" s="184"/>
      <c r="BFB8" s="184"/>
      <c r="BFC8" s="184"/>
      <c r="BFD8" s="184"/>
      <c r="BFE8" s="184"/>
      <c r="BFF8" s="184"/>
      <c r="BFG8" s="184"/>
      <c r="BFH8" s="184"/>
      <c r="BFI8" s="184"/>
      <c r="BFJ8" s="184"/>
      <c r="BFK8" s="184"/>
      <c r="BFL8" s="184"/>
      <c r="BFM8" s="184"/>
      <c r="BFN8" s="184"/>
      <c r="BFO8" s="184"/>
      <c r="BFP8" s="184"/>
      <c r="BFQ8" s="184"/>
      <c r="BFR8" s="184"/>
      <c r="BFS8" s="184"/>
      <c r="BFT8" s="184"/>
      <c r="BFU8" s="184"/>
      <c r="BFV8" s="184"/>
      <c r="BFW8" s="184"/>
      <c r="BFX8" s="184"/>
      <c r="BFY8" s="184"/>
      <c r="BFZ8" s="184"/>
      <c r="BGA8" s="184"/>
      <c r="BGB8" s="184"/>
      <c r="BGC8" s="184"/>
      <c r="BGD8" s="184"/>
      <c r="BGE8" s="184"/>
      <c r="BGF8" s="184"/>
      <c r="BGG8" s="184"/>
      <c r="BGH8" s="184"/>
      <c r="BGI8" s="184"/>
      <c r="BGJ8" s="184"/>
      <c r="BGK8" s="184"/>
      <c r="BGL8" s="184"/>
      <c r="BGM8" s="184"/>
      <c r="BGN8" s="184"/>
      <c r="BGO8" s="184"/>
      <c r="BGP8" s="184"/>
      <c r="BGQ8" s="184"/>
      <c r="BGR8" s="184"/>
      <c r="BGS8" s="184"/>
      <c r="BGT8" s="184"/>
      <c r="BGU8" s="184"/>
      <c r="BGV8" s="184"/>
      <c r="BGW8" s="184"/>
      <c r="BGX8" s="184"/>
      <c r="BGY8" s="184"/>
      <c r="BGZ8" s="184"/>
      <c r="BHA8" s="184"/>
      <c r="BHB8" s="184"/>
      <c r="BHC8" s="184"/>
      <c r="BHD8" s="184"/>
      <c r="BHE8" s="184"/>
      <c r="BHF8" s="184"/>
      <c r="BHG8" s="184"/>
      <c r="BHH8" s="184"/>
      <c r="BHI8" s="184"/>
      <c r="BHJ8" s="184"/>
      <c r="BHK8" s="184"/>
      <c r="BHL8" s="184"/>
      <c r="BHM8" s="184"/>
      <c r="BHN8" s="184"/>
      <c r="BHO8" s="184"/>
      <c r="BHP8" s="184"/>
      <c r="BHQ8" s="184"/>
      <c r="BHR8" s="184"/>
      <c r="BHS8" s="184"/>
      <c r="BHT8" s="184"/>
      <c r="BHU8" s="184"/>
      <c r="BHV8" s="184"/>
      <c r="BHW8" s="184"/>
      <c r="BHX8" s="184"/>
      <c r="BHY8" s="184"/>
      <c r="BHZ8" s="184"/>
      <c r="BIA8" s="184"/>
      <c r="BIB8" s="184"/>
      <c r="BIC8" s="184"/>
      <c r="BID8" s="184"/>
      <c r="BIE8" s="184"/>
      <c r="BIF8" s="184"/>
      <c r="BIG8" s="184"/>
      <c r="BIH8" s="184"/>
      <c r="BII8" s="184"/>
      <c r="BIJ8" s="184"/>
      <c r="BIK8" s="184"/>
      <c r="BIL8" s="184"/>
      <c r="BIM8" s="184"/>
      <c r="BIN8" s="184"/>
      <c r="BIO8" s="184"/>
      <c r="BIP8" s="184"/>
      <c r="BIQ8" s="184"/>
      <c r="BIR8" s="184"/>
      <c r="BIS8" s="184"/>
      <c r="BIT8" s="184"/>
      <c r="BIU8" s="184"/>
      <c r="BIV8" s="184"/>
      <c r="BIW8" s="184"/>
      <c r="BIX8" s="184"/>
      <c r="BIY8" s="184"/>
      <c r="BIZ8" s="184"/>
      <c r="BJA8" s="184"/>
      <c r="BJB8" s="184"/>
      <c r="BJC8" s="184"/>
      <c r="BJD8" s="184"/>
      <c r="BJE8" s="184"/>
      <c r="BJF8" s="184"/>
      <c r="BJG8" s="184"/>
      <c r="BJH8" s="184"/>
      <c r="BJI8" s="184"/>
      <c r="BJJ8" s="184"/>
      <c r="BJK8" s="184"/>
      <c r="BJL8" s="184"/>
      <c r="BJM8" s="184"/>
      <c r="BJN8" s="184"/>
      <c r="BJO8" s="184"/>
      <c r="BJP8" s="184"/>
      <c r="BJQ8" s="184"/>
      <c r="BJR8" s="184"/>
      <c r="BJS8" s="184"/>
      <c r="BJT8" s="184"/>
      <c r="BJU8" s="184"/>
      <c r="BJV8" s="184"/>
      <c r="BJW8" s="184"/>
      <c r="BJX8" s="184"/>
      <c r="BJY8" s="184"/>
      <c r="BJZ8" s="184"/>
      <c r="BKA8" s="184"/>
      <c r="BKB8" s="184"/>
      <c r="BKC8" s="184"/>
      <c r="BKD8" s="184"/>
      <c r="BKE8" s="184"/>
      <c r="BKF8" s="184"/>
      <c r="BKG8" s="184"/>
      <c r="BKH8" s="184"/>
      <c r="BKI8" s="184"/>
      <c r="BKJ8" s="184"/>
      <c r="BKK8" s="184"/>
      <c r="BKL8" s="184"/>
      <c r="BKM8" s="184"/>
      <c r="BKN8" s="184"/>
      <c r="BKO8" s="184"/>
      <c r="BKP8" s="184"/>
      <c r="BKQ8" s="184"/>
      <c r="BKR8" s="184"/>
      <c r="BKS8" s="184"/>
      <c r="BKT8" s="184"/>
      <c r="BKU8" s="184"/>
      <c r="BKV8" s="184"/>
      <c r="BKW8" s="184"/>
      <c r="BKX8" s="184"/>
      <c r="BKY8" s="184"/>
      <c r="BKZ8" s="184"/>
      <c r="BLA8" s="184"/>
      <c r="BLB8" s="184"/>
      <c r="BLC8" s="184"/>
      <c r="BLD8" s="184"/>
      <c r="BLE8" s="184"/>
      <c r="BLF8" s="184"/>
      <c r="BLG8" s="184"/>
      <c r="BLH8" s="184"/>
      <c r="BLI8" s="184"/>
      <c r="BLJ8" s="184"/>
      <c r="BLK8" s="184"/>
      <c r="BLL8" s="184"/>
      <c r="BLM8" s="184"/>
      <c r="BLN8" s="184"/>
      <c r="BLO8" s="184"/>
      <c r="BLP8" s="184"/>
      <c r="BLQ8" s="184"/>
      <c r="BLR8" s="184"/>
      <c r="BLS8" s="184"/>
      <c r="BLT8" s="184"/>
      <c r="BLU8" s="184"/>
      <c r="BLV8" s="184"/>
      <c r="BLW8" s="184"/>
      <c r="BLX8" s="184"/>
      <c r="BLY8" s="184"/>
      <c r="BLZ8" s="184"/>
      <c r="BMA8" s="184"/>
      <c r="BMB8" s="184"/>
      <c r="BMC8" s="184"/>
      <c r="BMD8" s="184"/>
      <c r="BME8" s="184"/>
      <c r="BMF8" s="184"/>
      <c r="BMG8" s="184"/>
      <c r="BMH8" s="184"/>
      <c r="BMI8" s="184"/>
      <c r="BMJ8" s="184"/>
      <c r="BMK8" s="184"/>
      <c r="BML8" s="184"/>
      <c r="BMM8" s="184"/>
      <c r="BMN8" s="184"/>
      <c r="BMO8" s="184"/>
      <c r="BMP8" s="184"/>
      <c r="BMQ8" s="184"/>
      <c r="BMR8" s="184"/>
      <c r="BMS8" s="184"/>
      <c r="BMT8" s="184"/>
      <c r="BMU8" s="184"/>
      <c r="BMV8" s="184"/>
      <c r="BMW8" s="184"/>
      <c r="BMX8" s="184"/>
      <c r="BMY8" s="184"/>
      <c r="BMZ8" s="184"/>
      <c r="BNA8" s="184"/>
      <c r="BNB8" s="184"/>
      <c r="BNC8" s="184"/>
      <c r="BND8" s="184"/>
      <c r="BNE8" s="184"/>
      <c r="BNF8" s="184"/>
      <c r="BNG8" s="184"/>
      <c r="BNH8" s="184"/>
      <c r="BNI8" s="184"/>
      <c r="BNJ8" s="184"/>
      <c r="BNK8" s="184"/>
      <c r="BNL8" s="184"/>
      <c r="BNM8" s="184"/>
      <c r="BNN8" s="184"/>
      <c r="BNO8" s="184"/>
      <c r="BNP8" s="184"/>
      <c r="BNQ8" s="184"/>
      <c r="BNR8" s="184"/>
      <c r="BNS8" s="184"/>
      <c r="BNT8" s="184"/>
      <c r="BNU8" s="184"/>
      <c r="BNV8" s="184"/>
      <c r="BNW8" s="184"/>
      <c r="BNX8" s="184"/>
      <c r="BNY8" s="184"/>
      <c r="BNZ8" s="184"/>
      <c r="BOA8" s="184"/>
      <c r="BOB8" s="184"/>
      <c r="BOC8" s="184"/>
      <c r="BOD8" s="184"/>
      <c r="BOE8" s="184"/>
      <c r="BOF8" s="184"/>
      <c r="BOG8" s="184"/>
      <c r="BOH8" s="184"/>
      <c r="BOI8" s="184"/>
      <c r="BOJ8" s="184"/>
      <c r="BOK8" s="184"/>
      <c r="BOL8" s="184"/>
      <c r="BOM8" s="184"/>
      <c r="BON8" s="184"/>
      <c r="BOO8" s="184"/>
      <c r="BOP8" s="184"/>
      <c r="BOQ8" s="184"/>
      <c r="BOR8" s="184"/>
      <c r="BOS8" s="184"/>
      <c r="BOT8" s="184"/>
      <c r="BOU8" s="184"/>
      <c r="BOV8" s="184"/>
      <c r="BOW8" s="184"/>
      <c r="BOX8" s="184"/>
      <c r="BOY8" s="184"/>
      <c r="BOZ8" s="184"/>
      <c r="BPA8" s="184"/>
      <c r="BPB8" s="184"/>
      <c r="BPC8" s="184"/>
      <c r="BPD8" s="184"/>
      <c r="BPE8" s="184"/>
      <c r="BPF8" s="184"/>
      <c r="BPG8" s="184"/>
      <c r="BPH8" s="184"/>
      <c r="BPI8" s="184"/>
      <c r="BPJ8" s="184"/>
      <c r="BPK8" s="184"/>
      <c r="BPL8" s="184"/>
      <c r="BPM8" s="184"/>
      <c r="BPN8" s="184"/>
      <c r="BPO8" s="184"/>
      <c r="BPP8" s="184"/>
      <c r="BPQ8" s="184"/>
      <c r="BPR8" s="184"/>
      <c r="BPS8" s="184"/>
      <c r="BPT8" s="184"/>
      <c r="BPU8" s="184"/>
      <c r="BPV8" s="184"/>
      <c r="BPW8" s="184"/>
      <c r="BPX8" s="184"/>
      <c r="BPY8" s="184"/>
      <c r="BPZ8" s="184"/>
      <c r="BQA8" s="184"/>
      <c r="BQB8" s="184"/>
      <c r="BQC8" s="184"/>
      <c r="BQD8" s="184"/>
      <c r="BQE8" s="184"/>
      <c r="BQF8" s="184"/>
      <c r="BQG8" s="184"/>
      <c r="BQH8" s="184"/>
      <c r="BQI8" s="184"/>
      <c r="BQJ8" s="184"/>
      <c r="BQK8" s="184"/>
      <c r="BQL8" s="184"/>
      <c r="BQM8" s="184"/>
      <c r="BQN8" s="184"/>
      <c r="BQO8" s="184"/>
      <c r="BQP8" s="184"/>
      <c r="BQQ8" s="184"/>
      <c r="BQR8" s="184"/>
      <c r="BQS8" s="184"/>
      <c r="BQT8" s="184"/>
      <c r="BQU8" s="184"/>
      <c r="BQV8" s="184"/>
      <c r="BQW8" s="184"/>
      <c r="BQX8" s="184"/>
      <c r="BQY8" s="184"/>
      <c r="BQZ8" s="184"/>
      <c r="BRA8" s="184"/>
      <c r="BRB8" s="184"/>
      <c r="BRC8" s="184"/>
      <c r="BRD8" s="184"/>
      <c r="BRE8" s="184"/>
      <c r="BRF8" s="184"/>
      <c r="BRG8" s="184"/>
      <c r="BRH8" s="184"/>
      <c r="BRI8" s="184"/>
      <c r="BRJ8" s="184"/>
      <c r="BRK8" s="184"/>
      <c r="BRL8" s="184"/>
      <c r="BRM8" s="184"/>
      <c r="BRN8" s="184"/>
      <c r="BRO8" s="184"/>
      <c r="BRP8" s="184"/>
      <c r="BRQ8" s="184"/>
      <c r="BRR8" s="184"/>
      <c r="BRS8" s="184"/>
      <c r="BRT8" s="184"/>
      <c r="BRU8" s="184"/>
      <c r="BRV8" s="184"/>
      <c r="BRW8" s="184"/>
      <c r="BRX8" s="184"/>
      <c r="BRY8" s="184"/>
      <c r="BRZ8" s="184"/>
      <c r="BSA8" s="184"/>
      <c r="BSB8" s="184"/>
      <c r="BSC8" s="184"/>
      <c r="BSD8" s="184"/>
      <c r="BSE8" s="184"/>
      <c r="BSF8" s="184"/>
      <c r="BSG8" s="184"/>
      <c r="BSH8" s="184"/>
      <c r="BSI8" s="184"/>
      <c r="BSJ8" s="184"/>
      <c r="BSK8" s="184"/>
      <c r="BSL8" s="184"/>
      <c r="BSM8" s="184"/>
      <c r="BSN8" s="184"/>
      <c r="BSO8" s="184"/>
      <c r="BSP8" s="184"/>
      <c r="BSQ8" s="184"/>
      <c r="BSR8" s="184"/>
      <c r="BSS8" s="184"/>
      <c r="BST8" s="184"/>
      <c r="BSU8" s="184"/>
      <c r="BSV8" s="184"/>
      <c r="BSW8" s="184"/>
      <c r="BSX8" s="184"/>
      <c r="BSY8" s="184"/>
      <c r="BSZ8" s="184"/>
      <c r="BTA8" s="184"/>
      <c r="BTB8" s="184"/>
      <c r="BTC8" s="184"/>
      <c r="BTD8" s="184"/>
      <c r="BTE8" s="184"/>
      <c r="BTF8" s="184"/>
      <c r="BTG8" s="184"/>
      <c r="BTH8" s="184"/>
      <c r="BTI8" s="184"/>
      <c r="BTJ8" s="184"/>
      <c r="BTK8" s="184"/>
      <c r="BTL8" s="184"/>
      <c r="BTM8" s="184"/>
      <c r="BTN8" s="184"/>
      <c r="BTO8" s="184"/>
      <c r="BTP8" s="184"/>
      <c r="BTQ8" s="184"/>
      <c r="BTR8" s="184"/>
      <c r="BTS8" s="184"/>
      <c r="BTT8" s="184"/>
      <c r="BTU8" s="184"/>
      <c r="BTV8" s="184"/>
      <c r="BTW8" s="184"/>
      <c r="BTX8" s="184"/>
      <c r="BTY8" s="184"/>
      <c r="BTZ8" s="184"/>
      <c r="BUA8" s="184"/>
      <c r="BUB8" s="184"/>
      <c r="BUC8" s="184"/>
      <c r="BUD8" s="184"/>
      <c r="BUE8" s="184"/>
      <c r="BUF8" s="184"/>
      <c r="BUG8" s="184"/>
      <c r="BUH8" s="184"/>
      <c r="BUI8" s="184"/>
      <c r="BUJ8" s="184"/>
      <c r="BUK8" s="184"/>
      <c r="BUL8" s="184"/>
      <c r="BUM8" s="184"/>
      <c r="BUN8" s="184"/>
      <c r="BUO8" s="184"/>
      <c r="BUP8" s="184"/>
      <c r="BUQ8" s="184"/>
      <c r="BUR8" s="184"/>
      <c r="BUS8" s="184"/>
      <c r="BUT8" s="184"/>
      <c r="BUU8" s="184"/>
      <c r="BUV8" s="184"/>
      <c r="BUW8" s="184"/>
      <c r="BUX8" s="184"/>
      <c r="BUY8" s="184"/>
      <c r="BUZ8" s="184"/>
      <c r="BVA8" s="184"/>
      <c r="BVB8" s="184"/>
      <c r="BVC8" s="184"/>
      <c r="BVD8" s="184"/>
      <c r="BVE8" s="184"/>
      <c r="BVF8" s="184"/>
      <c r="BVG8" s="184"/>
      <c r="BVH8" s="184"/>
      <c r="BVI8" s="184"/>
      <c r="BVJ8" s="184"/>
      <c r="BVK8" s="184"/>
      <c r="BVL8" s="184"/>
      <c r="BVM8" s="184"/>
      <c r="BVN8" s="184"/>
      <c r="BVO8" s="184"/>
      <c r="BVP8" s="184"/>
      <c r="BVQ8" s="184"/>
      <c r="BVR8" s="184"/>
      <c r="BVS8" s="184"/>
      <c r="BVT8" s="184"/>
      <c r="BVU8" s="184"/>
      <c r="BVV8" s="184"/>
      <c r="BVW8" s="184"/>
      <c r="BVX8" s="184"/>
      <c r="BVY8" s="184"/>
      <c r="BVZ8" s="184"/>
      <c r="BWA8" s="184"/>
      <c r="BWB8" s="184"/>
      <c r="BWC8" s="184"/>
      <c r="BWD8" s="184"/>
      <c r="BWE8" s="184"/>
      <c r="BWF8" s="184"/>
      <c r="BWG8" s="184"/>
      <c r="BWH8" s="184"/>
      <c r="BWI8" s="184"/>
      <c r="BWJ8" s="184"/>
      <c r="BWK8" s="184"/>
      <c r="BWL8" s="184"/>
      <c r="BWM8" s="184"/>
      <c r="BWN8" s="184"/>
      <c r="BWO8" s="184"/>
      <c r="BWP8" s="184"/>
      <c r="BWQ8" s="184"/>
      <c r="BWR8" s="184"/>
      <c r="BWS8" s="184"/>
      <c r="BWT8" s="184"/>
      <c r="BWU8" s="184"/>
      <c r="BWV8" s="184"/>
      <c r="BWW8" s="184"/>
      <c r="BWX8" s="184"/>
      <c r="BWY8" s="184"/>
      <c r="BWZ8" s="184"/>
      <c r="BXA8" s="184"/>
      <c r="BXB8" s="184"/>
      <c r="BXC8" s="184"/>
      <c r="BXD8" s="184"/>
      <c r="BXE8" s="184"/>
      <c r="BXF8" s="184"/>
      <c r="BXG8" s="184"/>
      <c r="BXH8" s="184"/>
      <c r="BXI8" s="184"/>
      <c r="BXJ8" s="184"/>
      <c r="BXK8" s="184"/>
      <c r="BXL8" s="184"/>
      <c r="BXM8" s="184"/>
      <c r="BXN8" s="184"/>
      <c r="BXO8" s="184"/>
      <c r="BXP8" s="184"/>
      <c r="BXQ8" s="184"/>
      <c r="BXR8" s="184"/>
      <c r="BXS8" s="184"/>
      <c r="BXT8" s="184"/>
      <c r="BXU8" s="184"/>
      <c r="BXV8" s="184"/>
      <c r="BXW8" s="184"/>
      <c r="BXX8" s="184"/>
      <c r="BXY8" s="184"/>
      <c r="BXZ8" s="184"/>
      <c r="BYA8" s="184"/>
      <c r="BYB8" s="184"/>
      <c r="BYC8" s="184"/>
      <c r="BYD8" s="184"/>
      <c r="BYE8" s="184"/>
      <c r="BYF8" s="184"/>
      <c r="BYG8" s="184"/>
      <c r="BYH8" s="184"/>
      <c r="BYI8" s="184"/>
      <c r="BYJ8" s="184"/>
      <c r="BYK8" s="184"/>
      <c r="BYL8" s="184"/>
      <c r="BYM8" s="184"/>
      <c r="BYN8" s="184"/>
      <c r="BYO8" s="184"/>
      <c r="BYP8" s="184"/>
      <c r="BYQ8" s="184"/>
      <c r="BYR8" s="184"/>
      <c r="BYS8" s="184"/>
      <c r="BYT8" s="184"/>
      <c r="BYU8" s="184"/>
      <c r="BYV8" s="184"/>
      <c r="BYW8" s="184"/>
      <c r="BYX8" s="184"/>
      <c r="BYY8" s="184"/>
      <c r="BYZ8" s="184"/>
      <c r="BZA8" s="184"/>
      <c r="BZB8" s="184"/>
      <c r="BZC8" s="184"/>
      <c r="BZD8" s="184"/>
      <c r="BZE8" s="184"/>
      <c r="BZF8" s="184"/>
      <c r="BZG8" s="184"/>
      <c r="BZH8" s="184"/>
      <c r="BZI8" s="184"/>
      <c r="BZJ8" s="184"/>
      <c r="BZK8" s="184"/>
      <c r="BZL8" s="184"/>
      <c r="BZM8" s="184"/>
      <c r="BZN8" s="184"/>
      <c r="BZO8" s="184"/>
      <c r="BZP8" s="184"/>
      <c r="BZQ8" s="184"/>
      <c r="BZR8" s="184"/>
      <c r="BZS8" s="184"/>
      <c r="BZT8" s="184"/>
      <c r="BZU8" s="184"/>
      <c r="BZV8" s="184"/>
      <c r="BZW8" s="184"/>
      <c r="BZX8" s="184"/>
      <c r="BZY8" s="184"/>
      <c r="BZZ8" s="184"/>
      <c r="CAA8" s="184"/>
      <c r="CAB8" s="184"/>
      <c r="CAC8" s="184"/>
      <c r="CAD8" s="184"/>
      <c r="CAE8" s="184"/>
      <c r="CAF8" s="184"/>
      <c r="CAG8" s="184"/>
      <c r="CAH8" s="184"/>
      <c r="CAI8" s="184"/>
      <c r="CAJ8" s="184"/>
      <c r="CAK8" s="184"/>
      <c r="CAL8" s="184"/>
      <c r="CAM8" s="184"/>
      <c r="CAN8" s="184"/>
      <c r="CAO8" s="184"/>
      <c r="CAP8" s="184"/>
      <c r="CAQ8" s="184"/>
      <c r="CAR8" s="184"/>
      <c r="CAS8" s="184"/>
      <c r="CAT8" s="184"/>
      <c r="CAU8" s="184"/>
      <c r="CAV8" s="184"/>
      <c r="CAW8" s="184"/>
      <c r="CAX8" s="184"/>
      <c r="CAY8" s="184"/>
      <c r="CAZ8" s="184"/>
      <c r="CBA8" s="184"/>
      <c r="CBB8" s="184"/>
      <c r="CBC8" s="184"/>
      <c r="CBD8" s="184"/>
      <c r="CBE8" s="184"/>
      <c r="CBF8" s="184"/>
      <c r="CBG8" s="184"/>
      <c r="CBH8" s="184"/>
      <c r="CBI8" s="184"/>
      <c r="CBJ8" s="184"/>
      <c r="CBK8" s="184"/>
      <c r="CBL8" s="184"/>
      <c r="CBM8" s="184"/>
      <c r="CBN8" s="184"/>
      <c r="CBO8" s="184"/>
      <c r="CBP8" s="184"/>
      <c r="CBQ8" s="184"/>
      <c r="CBR8" s="184"/>
      <c r="CBS8" s="184"/>
      <c r="CBT8" s="184"/>
      <c r="CBU8" s="184"/>
      <c r="CBV8" s="184"/>
      <c r="CBW8" s="184"/>
      <c r="CBX8" s="184"/>
      <c r="CBY8" s="184"/>
      <c r="CBZ8" s="184"/>
      <c r="CCA8" s="184"/>
      <c r="CCB8" s="184"/>
      <c r="CCC8" s="184"/>
      <c r="CCD8" s="184"/>
      <c r="CCE8" s="184"/>
      <c r="CCF8" s="184"/>
      <c r="CCG8" s="184"/>
      <c r="CCH8" s="184"/>
      <c r="CCI8" s="184"/>
      <c r="CCJ8" s="184"/>
      <c r="CCK8" s="184"/>
      <c r="CCL8" s="184"/>
      <c r="CCM8" s="184"/>
      <c r="CCN8" s="184"/>
      <c r="CCO8" s="184"/>
      <c r="CCP8" s="184"/>
      <c r="CCQ8" s="184"/>
      <c r="CCR8" s="184"/>
      <c r="CCS8" s="184"/>
      <c r="CCT8" s="184"/>
      <c r="CCU8" s="184"/>
      <c r="CCV8" s="184"/>
    </row>
    <row r="9" spans="1:2129 15008:15070 15386:15394" s="77" customFormat="1" ht="23.25" customHeight="1" x14ac:dyDescent="0.2">
      <c r="A9" s="77" t="s">
        <v>27</v>
      </c>
      <c r="B9" s="77" t="s">
        <v>86</v>
      </c>
      <c r="C9" s="77" t="s">
        <v>85</v>
      </c>
      <c r="D9" s="77" t="s">
        <v>84</v>
      </c>
      <c r="E9" s="77" t="s">
        <v>83</v>
      </c>
      <c r="F9" s="77" t="s">
        <v>82</v>
      </c>
      <c r="G9" s="207" t="s">
        <v>54</v>
      </c>
      <c r="H9" s="85" t="s">
        <v>81</v>
      </c>
      <c r="I9" s="84" t="s">
        <v>80</v>
      </c>
      <c r="J9" s="190" t="s">
        <v>79</v>
      </c>
      <c r="K9" s="84" t="s">
        <v>78</v>
      </c>
      <c r="L9" s="82" t="s">
        <v>77</v>
      </c>
      <c r="M9" s="81" t="s">
        <v>76</v>
      </c>
      <c r="N9" s="83" t="s">
        <v>75</v>
      </c>
      <c r="O9" s="82" t="s">
        <v>74</v>
      </c>
      <c r="P9" s="81" t="s">
        <v>215</v>
      </c>
      <c r="Q9" s="80" t="s">
        <v>216</v>
      </c>
      <c r="R9" s="83" t="s">
        <v>72</v>
      </c>
      <c r="S9" s="82" t="s">
        <v>71</v>
      </c>
      <c r="T9" s="81" t="s">
        <v>70</v>
      </c>
      <c r="U9" s="190" t="s">
        <v>69</v>
      </c>
      <c r="V9" s="190" t="s">
        <v>68</v>
      </c>
      <c r="W9" s="190" t="s">
        <v>12</v>
      </c>
      <c r="X9" s="80" t="s">
        <v>37</v>
      </c>
      <c r="Y9" s="80" t="s">
        <v>67</v>
      </c>
      <c r="Z9" s="80" t="s">
        <v>66</v>
      </c>
      <c r="AA9" s="140" t="s">
        <v>178</v>
      </c>
      <c r="AB9" s="140" t="s">
        <v>179</v>
      </c>
      <c r="AC9" s="200" t="s">
        <v>222</v>
      </c>
      <c r="AD9" s="200" t="s">
        <v>223</v>
      </c>
      <c r="AE9" s="200" t="s">
        <v>224</v>
      </c>
      <c r="AF9" s="200" t="s">
        <v>225</v>
      </c>
      <c r="AG9" s="200" t="s">
        <v>226</v>
      </c>
      <c r="AH9" s="200" t="s">
        <v>227</v>
      </c>
      <c r="AI9" s="202" t="s">
        <v>228</v>
      </c>
      <c r="AJ9" s="200" t="s">
        <v>222</v>
      </c>
      <c r="AK9" s="200" t="s">
        <v>223</v>
      </c>
      <c r="AL9" s="201" t="s">
        <v>224</v>
      </c>
      <c r="AM9" s="200" t="s">
        <v>225</v>
      </c>
      <c r="AN9" s="200" t="s">
        <v>226</v>
      </c>
      <c r="AO9" s="200" t="s">
        <v>227</v>
      </c>
      <c r="AP9" s="202" t="s">
        <v>228</v>
      </c>
      <c r="AQ9" s="200" t="s">
        <v>222</v>
      </c>
      <c r="AR9" s="200" t="s">
        <v>223</v>
      </c>
      <c r="AS9" s="200" t="s">
        <v>224</v>
      </c>
      <c r="AT9" s="200" t="s">
        <v>225</v>
      </c>
      <c r="AU9" s="200" t="s">
        <v>226</v>
      </c>
      <c r="AV9" s="200" t="s">
        <v>227</v>
      </c>
      <c r="AW9" s="202" t="s">
        <v>228</v>
      </c>
      <c r="AX9" s="200" t="s">
        <v>222</v>
      </c>
      <c r="AY9" s="200" t="s">
        <v>223</v>
      </c>
      <c r="AZ9" s="200" t="s">
        <v>224</v>
      </c>
      <c r="BA9" s="200" t="s">
        <v>225</v>
      </c>
      <c r="BB9" s="200" t="s">
        <v>226</v>
      </c>
      <c r="BC9" s="200" t="s">
        <v>227</v>
      </c>
      <c r="BD9" s="202" t="s">
        <v>228</v>
      </c>
      <c r="BE9" s="200" t="s">
        <v>222</v>
      </c>
      <c r="BF9" s="200" t="s">
        <v>223</v>
      </c>
      <c r="BG9" s="200" t="s">
        <v>224</v>
      </c>
      <c r="BH9" s="200" t="s">
        <v>225</v>
      </c>
      <c r="BI9" s="200" t="s">
        <v>226</v>
      </c>
      <c r="BJ9" s="200" t="s">
        <v>227</v>
      </c>
      <c r="BK9" s="202" t="s">
        <v>228</v>
      </c>
      <c r="BL9" s="200" t="s">
        <v>222</v>
      </c>
      <c r="BM9" s="200" t="s">
        <v>223</v>
      </c>
      <c r="BN9" s="200" t="s">
        <v>224</v>
      </c>
      <c r="BO9" s="200" t="s">
        <v>225</v>
      </c>
      <c r="BP9" s="200" t="s">
        <v>226</v>
      </c>
      <c r="BQ9" s="200" t="s">
        <v>227</v>
      </c>
      <c r="BR9" s="202" t="s">
        <v>228</v>
      </c>
      <c r="BS9" s="200" t="s">
        <v>222</v>
      </c>
      <c r="BT9" s="200" t="s">
        <v>223</v>
      </c>
      <c r="BU9" s="200" t="s">
        <v>224</v>
      </c>
      <c r="BV9" s="200" t="s">
        <v>225</v>
      </c>
      <c r="BW9" s="200" t="s">
        <v>226</v>
      </c>
      <c r="BX9" s="200" t="s">
        <v>227</v>
      </c>
      <c r="BY9" s="202" t="s">
        <v>228</v>
      </c>
      <c r="BZ9" s="200" t="s">
        <v>222</v>
      </c>
      <c r="CA9" s="200" t="s">
        <v>223</v>
      </c>
      <c r="CB9" s="200" t="s">
        <v>224</v>
      </c>
      <c r="CC9" s="200" t="s">
        <v>225</v>
      </c>
      <c r="CD9" s="200" t="s">
        <v>226</v>
      </c>
      <c r="CE9" s="200" t="s">
        <v>227</v>
      </c>
      <c r="CF9" s="202" t="s">
        <v>228</v>
      </c>
      <c r="CG9" s="200"/>
      <c r="CH9" s="200"/>
      <c r="CI9" s="200"/>
      <c r="CJ9" s="200"/>
      <c r="CK9" s="200"/>
      <c r="CL9" s="202"/>
      <c r="CM9" s="202"/>
      <c r="CN9" s="200"/>
      <c r="CO9" s="200"/>
      <c r="CP9" s="200"/>
      <c r="CQ9" s="200"/>
      <c r="CR9" s="200"/>
      <c r="CS9" s="202"/>
      <c r="CT9" s="202"/>
      <c r="CU9" s="200"/>
      <c r="CV9" s="200"/>
      <c r="CW9" s="200"/>
      <c r="CX9" s="200"/>
      <c r="CY9" s="200"/>
      <c r="CZ9" s="202"/>
      <c r="DA9" s="202"/>
      <c r="DB9" s="200"/>
      <c r="DC9" s="200"/>
      <c r="DD9" s="200"/>
      <c r="DE9" s="200"/>
      <c r="DF9" s="200"/>
      <c r="DG9" s="202"/>
      <c r="DH9" s="202"/>
      <c r="DI9" s="200"/>
      <c r="DJ9" s="200"/>
      <c r="DK9" s="200"/>
      <c r="DL9" s="200"/>
      <c r="DM9" s="200"/>
      <c r="DN9" s="202"/>
      <c r="DO9" s="202"/>
      <c r="DP9" s="200"/>
      <c r="DQ9" s="200"/>
      <c r="DR9" s="200"/>
      <c r="DS9" s="200"/>
      <c r="DT9" s="200"/>
      <c r="DU9" s="202"/>
      <c r="DV9" s="202"/>
      <c r="DW9" s="200"/>
      <c r="DX9" s="200"/>
      <c r="DY9" s="200"/>
      <c r="DZ9" s="200"/>
      <c r="EA9" s="200"/>
      <c r="EB9" s="202"/>
      <c r="EC9" s="202"/>
      <c r="ED9" s="200"/>
      <c r="EE9" s="200"/>
      <c r="EF9" s="200"/>
      <c r="EG9" s="200"/>
      <c r="EH9" s="200"/>
      <c r="EI9" s="202"/>
      <c r="EJ9" s="202"/>
      <c r="EK9" s="200"/>
      <c r="EL9" s="200"/>
      <c r="EM9" s="200"/>
      <c r="EN9" s="200"/>
      <c r="EO9" s="200"/>
      <c r="EP9" s="202"/>
      <c r="EQ9" s="202"/>
      <c r="ER9" s="200"/>
      <c r="ES9" s="200"/>
      <c r="ET9" s="200"/>
      <c r="EU9" s="200"/>
      <c r="EV9" s="200"/>
      <c r="EW9" s="202"/>
      <c r="EX9" s="202"/>
      <c r="EY9" s="200"/>
      <c r="EZ9" s="200"/>
      <c r="FA9" s="200"/>
      <c r="FB9" s="200"/>
      <c r="FC9" s="200"/>
      <c r="FD9" s="202"/>
      <c r="FE9" s="202"/>
      <c r="FF9" s="200"/>
      <c r="FG9" s="200"/>
      <c r="FH9" s="200"/>
      <c r="FI9" s="200"/>
      <c r="FJ9" s="200"/>
      <c r="FK9" s="202"/>
      <c r="FL9" s="202"/>
      <c r="FM9" s="200"/>
      <c r="FN9" s="200"/>
      <c r="FO9" s="200"/>
      <c r="FP9" s="200"/>
      <c r="FQ9" s="200"/>
      <c r="FR9" s="202"/>
      <c r="FS9" s="202"/>
      <c r="FT9" s="200"/>
      <c r="FU9" s="200"/>
      <c r="FV9" s="200"/>
      <c r="FW9" s="200"/>
      <c r="FX9" s="200"/>
      <c r="FY9" s="202"/>
      <c r="FZ9" s="202"/>
      <c r="GA9" s="200"/>
      <c r="GB9" s="200"/>
      <c r="GC9" s="200"/>
      <c r="GD9" s="200"/>
      <c r="GE9" s="200"/>
      <c r="GF9" s="202"/>
      <c r="GG9" s="202"/>
      <c r="GH9" s="200"/>
      <c r="GI9" s="200"/>
      <c r="GJ9" s="200"/>
      <c r="GK9" s="200"/>
      <c r="GL9" s="200"/>
      <c r="GM9" s="202"/>
      <c r="GN9" s="202"/>
      <c r="GO9" s="200"/>
      <c r="GP9" s="200"/>
      <c r="GQ9" s="200"/>
      <c r="GR9" s="200"/>
      <c r="GS9" s="200"/>
      <c r="GT9" s="202"/>
      <c r="GU9" s="202"/>
      <c r="GV9" s="200"/>
      <c r="GW9" s="200"/>
      <c r="GX9" s="200"/>
      <c r="GY9" s="200"/>
      <c r="GZ9" s="200"/>
      <c r="HA9" s="202"/>
      <c r="HB9" s="202"/>
      <c r="HC9" s="200"/>
      <c r="HD9" s="200"/>
      <c r="HE9" s="200"/>
      <c r="HF9" s="200"/>
      <c r="HG9" s="200"/>
      <c r="HH9" s="202"/>
      <c r="HI9" s="202"/>
      <c r="HJ9" s="200"/>
      <c r="HK9" s="200"/>
      <c r="HL9" s="200"/>
      <c r="HM9" s="200"/>
      <c r="HN9" s="200"/>
      <c r="HO9" s="202"/>
      <c r="HP9" s="202"/>
      <c r="HQ9" s="200"/>
      <c r="HR9" s="200"/>
      <c r="HS9" s="200"/>
      <c r="HT9" s="200"/>
      <c r="HU9" s="200"/>
      <c r="HV9" s="202"/>
      <c r="HW9" s="202"/>
      <c r="HX9" s="200"/>
      <c r="HY9" s="200"/>
      <c r="HZ9" s="200"/>
      <c r="IA9" s="200"/>
      <c r="IB9" s="200"/>
      <c r="IC9" s="202"/>
      <c r="ID9" s="202"/>
      <c r="IE9" s="200"/>
      <c r="IF9" s="200"/>
      <c r="IG9" s="200"/>
      <c r="IH9" s="200"/>
      <c r="II9" s="200"/>
      <c r="IJ9" s="202"/>
      <c r="IK9" s="202"/>
      <c r="IL9" s="200"/>
      <c r="IM9" s="200"/>
      <c r="IN9" s="200"/>
      <c r="IO9" s="200"/>
      <c r="IP9" s="200"/>
      <c r="IQ9" s="202"/>
      <c r="IR9" s="202"/>
      <c r="IS9" s="200"/>
      <c r="IT9" s="200"/>
      <c r="IU9" s="200"/>
      <c r="IV9" s="200"/>
      <c r="IW9" s="200"/>
      <c r="IX9" s="202"/>
      <c r="IY9" s="202"/>
      <c r="IZ9" s="200"/>
      <c r="JA9" s="200"/>
      <c r="JB9" s="200"/>
      <c r="JC9" s="200"/>
      <c r="JD9" s="200"/>
      <c r="JE9" s="202"/>
      <c r="JF9" s="202"/>
      <c r="JG9" s="200"/>
      <c r="JH9" s="200"/>
      <c r="JI9" s="200"/>
      <c r="JJ9" s="200"/>
      <c r="JK9" s="200"/>
      <c r="JL9" s="202"/>
      <c r="JM9" s="202"/>
      <c r="JN9" s="200"/>
      <c r="JO9" s="200"/>
      <c r="JP9" s="200"/>
      <c r="JQ9" s="200"/>
      <c r="JR9" s="200"/>
      <c r="JS9" s="202"/>
      <c r="JT9" s="202"/>
      <c r="JU9" s="200"/>
      <c r="JV9" s="200"/>
      <c r="JW9" s="200"/>
      <c r="JX9" s="200"/>
      <c r="JY9" s="200"/>
      <c r="JZ9" s="202"/>
      <c r="KA9" s="202"/>
      <c r="KB9" s="200"/>
      <c r="KC9" s="200"/>
      <c r="KD9" s="200"/>
      <c r="KE9" s="200"/>
      <c r="KF9" s="200"/>
      <c r="KG9" s="202"/>
      <c r="KH9" s="202"/>
      <c r="KI9" s="200"/>
      <c r="KJ9" s="200"/>
      <c r="KK9" s="200"/>
      <c r="KL9" s="200"/>
      <c r="KM9" s="200"/>
      <c r="KN9" s="202"/>
      <c r="KO9" s="202"/>
      <c r="KP9" s="200"/>
      <c r="KQ9" s="200"/>
      <c r="KR9" s="200"/>
      <c r="KS9" s="200"/>
      <c r="KT9" s="200"/>
      <c r="KU9" s="202"/>
      <c r="KV9" s="202"/>
      <c r="KW9" s="200"/>
      <c r="KX9" s="200"/>
      <c r="KY9" s="200"/>
      <c r="KZ9" s="200"/>
      <c r="LA9" s="200"/>
      <c r="LB9" s="202"/>
      <c r="LC9" s="202"/>
      <c r="LD9" s="200"/>
      <c r="LE9" s="200"/>
      <c r="LF9" s="200"/>
      <c r="LG9" s="200"/>
      <c r="LH9" s="200"/>
      <c r="LI9" s="202"/>
      <c r="LJ9" s="202"/>
      <c r="LK9" s="200"/>
      <c r="LL9" s="200"/>
      <c r="LM9" s="200"/>
      <c r="LN9" s="200"/>
      <c r="LO9" s="200"/>
      <c r="LP9" s="202"/>
      <c r="LQ9" s="202"/>
      <c r="LR9" s="200"/>
      <c r="LS9" s="200"/>
      <c r="LT9" s="200"/>
      <c r="LU9" s="200"/>
      <c r="LV9" s="200"/>
      <c r="LW9" s="202"/>
      <c r="LX9" s="202"/>
      <c r="LY9" s="200"/>
      <c r="LZ9" s="200"/>
      <c r="MA9" s="200"/>
      <c r="MB9" s="200"/>
      <c r="MC9" s="200"/>
      <c r="MD9" s="202"/>
      <c r="ME9" s="202"/>
      <c r="MF9" s="200"/>
      <c r="MG9" s="200"/>
      <c r="MH9" s="200"/>
      <c r="MI9" s="200"/>
      <c r="MJ9" s="200"/>
      <c r="MK9" s="202"/>
      <c r="ML9" s="202"/>
      <c r="MM9" s="200"/>
      <c r="MN9" s="200"/>
      <c r="MO9" s="200"/>
      <c r="MP9" s="200"/>
      <c r="MQ9" s="200"/>
      <c r="MR9" s="202"/>
      <c r="MS9" s="202"/>
      <c r="MT9" s="200"/>
      <c r="MU9" s="200"/>
      <c r="MV9" s="200"/>
      <c r="MW9" s="200"/>
      <c r="MX9" s="200"/>
      <c r="MY9" s="202"/>
      <c r="MZ9" s="202"/>
      <c r="NA9" s="200"/>
      <c r="NB9" s="200"/>
      <c r="NC9" s="200"/>
      <c r="ND9" s="200"/>
      <c r="NE9" s="200"/>
      <c r="NF9" s="202"/>
      <c r="NG9" s="202"/>
      <c r="NH9" s="200"/>
      <c r="NI9" s="200"/>
      <c r="NJ9" s="200"/>
      <c r="NK9" s="200"/>
      <c r="NL9" s="200"/>
      <c r="NM9" s="202"/>
      <c r="NN9" s="202"/>
      <c r="NO9" s="200"/>
      <c r="NP9" s="200"/>
      <c r="NQ9" s="200"/>
      <c r="NR9" s="200"/>
      <c r="NS9" s="200"/>
      <c r="NT9" s="202"/>
      <c r="NU9" s="202"/>
      <c r="NV9" s="200"/>
      <c r="NW9" s="200"/>
      <c r="NX9" s="200"/>
      <c r="NY9" s="200"/>
      <c r="NZ9" s="200"/>
      <c r="OA9" s="202"/>
      <c r="OB9" s="202"/>
      <c r="OC9" s="200"/>
      <c r="OD9" s="200"/>
      <c r="OE9" s="200"/>
      <c r="OF9" s="200"/>
      <c r="OG9" s="200"/>
      <c r="OH9" s="202"/>
      <c r="OI9" s="202"/>
      <c r="OJ9" s="200"/>
      <c r="OK9" s="200"/>
      <c r="OL9" s="200"/>
      <c r="OM9" s="200"/>
      <c r="ON9" s="200"/>
      <c r="OO9" s="202"/>
      <c r="OP9" s="202"/>
      <c r="OQ9" s="200"/>
      <c r="OR9" s="200"/>
      <c r="OS9" s="200"/>
      <c r="OT9" s="200"/>
      <c r="OU9" s="200"/>
      <c r="OV9" s="202"/>
      <c r="OW9" s="202"/>
      <c r="OX9" s="200"/>
      <c r="OY9" s="200"/>
      <c r="OZ9" s="200"/>
      <c r="PA9" s="200"/>
      <c r="PB9" s="200"/>
      <c r="PC9" s="202"/>
      <c r="PD9" s="202"/>
      <c r="PE9" s="200"/>
      <c r="PF9" s="200"/>
      <c r="PG9" s="200"/>
      <c r="PH9" s="200"/>
      <c r="PI9" s="200"/>
      <c r="PJ9" s="202"/>
      <c r="PK9" s="202"/>
      <c r="PL9" s="200"/>
      <c r="PM9" s="200"/>
      <c r="PN9" s="200"/>
      <c r="PO9" s="200"/>
      <c r="PP9" s="200"/>
      <c r="PQ9" s="202"/>
      <c r="PR9" s="202"/>
      <c r="PS9" s="200"/>
      <c r="PT9" s="200"/>
      <c r="PU9" s="200"/>
      <c r="PV9" s="200"/>
      <c r="PW9" s="200"/>
      <c r="PX9" s="202"/>
      <c r="PY9" s="202"/>
      <c r="PZ9" s="200"/>
      <c r="QA9" s="200"/>
      <c r="QB9" s="200"/>
      <c r="QC9" s="200"/>
      <c r="QD9" s="200"/>
      <c r="QE9" s="202"/>
      <c r="QF9" s="202"/>
      <c r="QG9" s="200"/>
      <c r="QH9" s="200"/>
      <c r="QI9" s="200"/>
      <c r="QJ9" s="200"/>
      <c r="QK9" s="200"/>
      <c r="QL9" s="202"/>
      <c r="QM9" s="202"/>
      <c r="QN9" s="200"/>
      <c r="QO9" s="200"/>
      <c r="QP9" s="200"/>
      <c r="QQ9" s="200"/>
      <c r="QR9" s="200"/>
      <c r="QS9" s="202"/>
      <c r="QT9" s="202"/>
      <c r="QU9" s="200"/>
      <c r="QV9" s="200"/>
      <c r="QW9" s="200"/>
      <c r="QX9" s="200"/>
      <c r="QY9" s="200"/>
      <c r="QZ9" s="202"/>
      <c r="RA9" s="202"/>
      <c r="RB9" s="200"/>
      <c r="RC9" s="200"/>
      <c r="RD9" s="200"/>
      <c r="RE9" s="200"/>
      <c r="RF9" s="200"/>
      <c r="RG9" s="202"/>
      <c r="RH9" s="202"/>
      <c r="RI9" s="200"/>
      <c r="RJ9" s="200"/>
      <c r="RK9" s="200"/>
      <c r="RL9" s="200"/>
      <c r="RM9" s="200"/>
      <c r="RN9" s="202"/>
      <c r="RO9" s="202"/>
      <c r="RP9" s="200"/>
      <c r="RQ9" s="200"/>
      <c r="RR9" s="200"/>
      <c r="RS9" s="200"/>
      <c r="RT9" s="200"/>
      <c r="RU9" s="202"/>
      <c r="RV9" s="202"/>
      <c r="RW9" s="200"/>
      <c r="RX9" s="200"/>
      <c r="RY9" s="200"/>
      <c r="RZ9" s="200"/>
      <c r="SA9" s="200"/>
      <c r="SB9" s="202"/>
      <c r="SC9" s="202"/>
      <c r="SD9" s="200"/>
      <c r="SE9" s="200"/>
      <c r="SF9" s="200"/>
      <c r="SG9" s="200"/>
      <c r="SH9" s="200"/>
      <c r="SI9" s="202"/>
      <c r="SJ9" s="202"/>
      <c r="SK9" s="200"/>
      <c r="SL9" s="200"/>
      <c r="SM9" s="200"/>
      <c r="SN9" s="200"/>
      <c r="SO9" s="200"/>
      <c r="SP9" s="202"/>
      <c r="SQ9" s="202"/>
      <c r="SR9" s="200"/>
      <c r="SS9" s="200"/>
      <c r="ST9" s="200"/>
      <c r="SU9" s="200"/>
      <c r="SV9" s="200"/>
      <c r="SW9" s="202"/>
      <c r="SX9" s="202"/>
      <c r="SY9" s="200"/>
      <c r="SZ9" s="200"/>
      <c r="TA9" s="200"/>
      <c r="TB9" s="200"/>
      <c r="TC9" s="200"/>
      <c r="TD9" s="202"/>
      <c r="TE9" s="202"/>
      <c r="TF9" s="200"/>
      <c r="TG9" s="200"/>
      <c r="TH9" s="200"/>
      <c r="TI9" s="200"/>
      <c r="TJ9" s="200"/>
      <c r="TK9" s="202"/>
      <c r="TL9" s="202"/>
      <c r="TM9" s="200"/>
      <c r="TN9" s="200"/>
      <c r="TO9" s="200"/>
      <c r="TP9" s="200"/>
      <c r="TQ9" s="200"/>
      <c r="TR9" s="202"/>
      <c r="TS9" s="202"/>
      <c r="TT9" s="200"/>
      <c r="TU9" s="200"/>
      <c r="TV9" s="200"/>
      <c r="TW9" s="200"/>
      <c r="TX9" s="200"/>
      <c r="TY9" s="202"/>
      <c r="TZ9" s="202"/>
      <c r="UA9" s="200"/>
      <c r="UB9" s="200"/>
      <c r="UC9" s="200"/>
      <c r="UD9" s="200"/>
      <c r="UE9" s="200"/>
      <c r="UF9" s="202"/>
      <c r="UG9" s="202"/>
      <c r="UH9" s="200"/>
      <c r="UI9" s="200"/>
      <c r="UJ9" s="200"/>
      <c r="UK9" s="200"/>
      <c r="UL9" s="200"/>
      <c r="UM9" s="202"/>
      <c r="UN9" s="202"/>
      <c r="UO9" s="200"/>
      <c r="UP9" s="200"/>
      <c r="UQ9" s="200"/>
      <c r="UR9" s="200"/>
      <c r="US9" s="200"/>
      <c r="UT9" s="202"/>
      <c r="UU9" s="202"/>
      <c r="UV9" s="200"/>
      <c r="UW9" s="200"/>
      <c r="UX9" s="200"/>
      <c r="UY9" s="200"/>
      <c r="UZ9" s="200"/>
      <c r="VA9" s="202"/>
      <c r="VB9" s="202"/>
      <c r="VC9" s="200"/>
      <c r="VD9" s="200"/>
      <c r="VE9" s="200"/>
      <c r="VF9" s="200"/>
      <c r="VG9" s="200"/>
      <c r="VH9" s="202"/>
      <c r="VI9" s="202"/>
      <c r="VJ9" s="200"/>
      <c r="VK9" s="200"/>
      <c r="VL9" s="200"/>
      <c r="VM9" s="200"/>
      <c r="VN9" s="200"/>
      <c r="VO9" s="202"/>
      <c r="VP9" s="202"/>
      <c r="VQ9" s="200"/>
      <c r="VR9" s="200"/>
      <c r="VS9" s="200"/>
      <c r="VT9" s="200"/>
      <c r="VU9" s="200"/>
      <c r="VV9" s="202"/>
      <c r="VW9" s="202"/>
      <c r="VX9" s="200"/>
      <c r="VY9" s="200"/>
      <c r="VZ9" s="200"/>
      <c r="WA9" s="200"/>
      <c r="WB9" s="200"/>
      <c r="WC9" s="202"/>
      <c r="WD9" s="202"/>
      <c r="WE9" s="200"/>
      <c r="WF9" s="200"/>
      <c r="WG9" s="200"/>
      <c r="WH9" s="200"/>
      <c r="WI9" s="200"/>
      <c r="WJ9" s="202"/>
      <c r="WK9" s="202"/>
      <c r="WL9" s="200"/>
      <c r="WM9" s="200"/>
      <c r="WN9" s="200"/>
      <c r="WO9" s="200"/>
      <c r="WP9" s="200"/>
      <c r="WQ9" s="202"/>
      <c r="WR9" s="202"/>
      <c r="WS9" s="200"/>
      <c r="WT9" s="200"/>
      <c r="WU9" s="200"/>
      <c r="WV9" s="200"/>
      <c r="WW9" s="200"/>
      <c r="WX9" s="202"/>
      <c r="WY9" s="202"/>
      <c r="WZ9" s="200"/>
      <c r="XA9" s="200"/>
      <c r="XB9" s="200"/>
      <c r="XC9" s="200"/>
      <c r="XD9" s="200"/>
      <c r="XE9" s="202"/>
      <c r="XF9" s="202"/>
      <c r="XG9" s="200"/>
      <c r="XH9" s="200"/>
      <c r="XI9" s="200"/>
      <c r="XJ9" s="200"/>
      <c r="XK9" s="200"/>
      <c r="XL9" s="202"/>
      <c r="XM9" s="202"/>
      <c r="XN9" s="200"/>
      <c r="XO9" s="200"/>
      <c r="XP9" s="200"/>
      <c r="XQ9" s="200"/>
      <c r="XR9" s="200"/>
      <c r="XS9" s="202"/>
      <c r="XT9" s="202"/>
      <c r="XU9" s="200"/>
      <c r="XV9" s="200"/>
      <c r="XW9" s="200"/>
      <c r="XX9" s="200"/>
      <c r="XY9" s="200"/>
      <c r="XZ9" s="202"/>
      <c r="YA9" s="202"/>
      <c r="YB9" s="200"/>
      <c r="YC9" s="200"/>
      <c r="YD9" s="200"/>
      <c r="YE9" s="200"/>
      <c r="YF9" s="200"/>
      <c r="YG9" s="202"/>
      <c r="YH9" s="202"/>
      <c r="YI9" s="200"/>
      <c r="YJ9" s="200"/>
      <c r="YK9" s="200"/>
      <c r="YL9" s="200"/>
      <c r="YM9" s="200"/>
      <c r="YN9" s="202"/>
      <c r="YO9" s="202"/>
      <c r="YP9" s="200"/>
      <c r="YQ9" s="200"/>
      <c r="YR9" s="200"/>
      <c r="YS9" s="200"/>
      <c r="YT9" s="200"/>
      <c r="YU9" s="202"/>
      <c r="YV9" s="202"/>
      <c r="YW9" s="200"/>
      <c r="YX9" s="200"/>
      <c r="YY9" s="200"/>
      <c r="YZ9" s="200"/>
      <c r="ZA9" s="200"/>
      <c r="ZB9" s="202"/>
      <c r="ZC9" s="202"/>
      <c r="ZD9" s="200"/>
      <c r="ZE9" s="200"/>
      <c r="ZF9" s="200"/>
      <c r="ZG9" s="200"/>
      <c r="ZH9" s="200"/>
      <c r="ZI9" s="202"/>
      <c r="ZJ9" s="202"/>
      <c r="ZK9" s="200"/>
      <c r="ZL9" s="200"/>
      <c r="ZM9" s="200"/>
      <c r="ZN9" s="200"/>
      <c r="ZO9" s="200"/>
      <c r="ZP9" s="202"/>
      <c r="ZQ9" s="202"/>
      <c r="ZR9" s="200"/>
      <c r="ZS9" s="200"/>
      <c r="ZT9" s="200"/>
      <c r="ZU9" s="200"/>
      <c r="ZV9" s="200"/>
      <c r="ZW9" s="202"/>
      <c r="ZX9" s="202"/>
      <c r="ZY9" s="200"/>
      <c r="ZZ9" s="200"/>
      <c r="AAA9" s="200"/>
      <c r="AAB9" s="200"/>
      <c r="AAC9" s="200"/>
      <c r="AAD9" s="202"/>
      <c r="AAE9" s="202"/>
      <c r="AAF9" s="200"/>
      <c r="AAG9" s="200"/>
      <c r="AAH9" s="200"/>
      <c r="AAI9" s="200"/>
      <c r="AAJ9" s="200"/>
      <c r="AAK9" s="202"/>
      <c r="AAL9" s="202"/>
      <c r="AAM9" s="200"/>
      <c r="AAN9" s="200"/>
      <c r="AAO9" s="200"/>
      <c r="AAP9" s="200"/>
      <c r="AAQ9" s="200"/>
      <c r="AAR9" s="202"/>
      <c r="AAS9" s="202"/>
      <c r="AAT9" s="200"/>
      <c r="AAU9" s="200"/>
      <c r="AAV9" s="200"/>
      <c r="AAW9" s="200"/>
      <c r="AAX9" s="200"/>
      <c r="AAY9" s="202"/>
      <c r="AAZ9" s="202"/>
      <c r="ABA9" s="200"/>
      <c r="ABB9" s="200"/>
      <c r="ABC9" s="200"/>
      <c r="ABD9" s="200"/>
      <c r="ABE9" s="200"/>
      <c r="ABF9" s="202"/>
      <c r="ABG9" s="202"/>
      <c r="ABH9" s="200"/>
      <c r="ABI9" s="200"/>
      <c r="ABJ9" s="200"/>
      <c r="ABK9" s="200"/>
      <c r="ABL9" s="200"/>
      <c r="ABM9" s="202"/>
      <c r="ABN9" s="202"/>
      <c r="ABO9" s="200"/>
      <c r="ABP9" s="200"/>
      <c r="ABQ9" s="200"/>
      <c r="ABR9" s="200"/>
      <c r="ABS9" s="200"/>
      <c r="ABT9" s="202"/>
      <c r="ABU9" s="202"/>
      <c r="ABV9" s="200"/>
      <c r="ABW9" s="200"/>
      <c r="ABX9" s="200"/>
      <c r="ABY9" s="200"/>
      <c r="ABZ9" s="200"/>
      <c r="ACA9" s="202"/>
      <c r="ACB9" s="202"/>
      <c r="ACC9" s="200"/>
      <c r="ACD9" s="200"/>
      <c r="ACE9" s="200"/>
      <c r="ACF9" s="200"/>
      <c r="ACG9" s="200"/>
      <c r="ACH9" s="202"/>
      <c r="ACI9" s="202"/>
      <c r="ACJ9" s="200"/>
      <c r="ACK9" s="200"/>
      <c r="ACL9" s="200"/>
      <c r="ACM9" s="200"/>
      <c r="ACN9" s="200"/>
      <c r="ACO9" s="202"/>
      <c r="ACP9" s="202"/>
      <c r="ACQ9" s="200"/>
      <c r="ACR9" s="200"/>
      <c r="ACS9" s="200"/>
      <c r="ACT9" s="200"/>
      <c r="ACU9" s="200"/>
      <c r="ACV9" s="202"/>
      <c r="ACW9" s="202"/>
      <c r="ACX9" s="200"/>
      <c r="ACY9" s="200"/>
      <c r="ACZ9" s="200"/>
      <c r="ADA9" s="200"/>
      <c r="ADB9" s="200"/>
      <c r="ADC9" s="202"/>
      <c r="ADD9" s="202"/>
      <c r="ADE9" s="200"/>
      <c r="ADF9" s="200"/>
      <c r="ADG9" s="200"/>
      <c r="ADH9" s="200"/>
      <c r="ADI9" s="200"/>
      <c r="ADJ9" s="202"/>
      <c r="ADK9" s="202"/>
      <c r="ADL9" s="200"/>
      <c r="ADM9" s="200"/>
      <c r="ADN9" s="200"/>
      <c r="ADO9" s="200"/>
      <c r="ADP9" s="200"/>
      <c r="ADQ9" s="202"/>
      <c r="ADR9" s="202"/>
      <c r="ADS9" s="200"/>
      <c r="ADT9" s="200"/>
      <c r="ADU9" s="200"/>
      <c r="ADV9" s="200"/>
      <c r="ADW9" s="200"/>
      <c r="ADX9" s="202"/>
      <c r="ADY9" s="202"/>
      <c r="ADZ9" s="200"/>
      <c r="AEA9" s="200"/>
      <c r="AEB9" s="200"/>
      <c r="AEC9" s="200"/>
      <c r="AED9" s="200"/>
      <c r="AEE9" s="202"/>
      <c r="AEF9" s="202"/>
      <c r="AEG9" s="200"/>
      <c r="AEH9" s="200"/>
      <c r="AEI9" s="200"/>
      <c r="AEJ9" s="200"/>
      <c r="AEK9" s="200"/>
      <c r="AEL9" s="202"/>
      <c r="AEM9" s="202"/>
      <c r="AEN9" s="200"/>
      <c r="AEO9" s="200"/>
      <c r="AEP9" s="200"/>
      <c r="AEQ9" s="200"/>
      <c r="AER9" s="200"/>
      <c r="AES9" s="202"/>
      <c r="AET9" s="202"/>
      <c r="AEU9" s="200"/>
      <c r="AEV9" s="200"/>
      <c r="AEW9" s="200"/>
      <c r="AEX9" s="200"/>
      <c r="AEY9" s="200"/>
      <c r="AEZ9" s="202"/>
      <c r="AFA9" s="202"/>
      <c r="AFB9" s="200"/>
      <c r="AFC9" s="200"/>
      <c r="AFD9" s="200"/>
      <c r="AFE9" s="200"/>
      <c r="AFF9" s="200"/>
      <c r="AFG9" s="202"/>
      <c r="AFH9" s="202"/>
      <c r="AFI9" s="200"/>
      <c r="AFJ9" s="200"/>
      <c r="AFK9" s="200"/>
      <c r="AFL9" s="200"/>
      <c r="AFM9" s="200"/>
      <c r="AFN9" s="202"/>
      <c r="AFO9" s="202"/>
      <c r="AFP9" s="200"/>
      <c r="AFQ9" s="200"/>
      <c r="AFR9" s="200"/>
      <c r="AFS9" s="200"/>
      <c r="AFT9" s="200"/>
      <c r="AFU9" s="202"/>
      <c r="AFV9" s="202"/>
      <c r="AFW9" s="200"/>
      <c r="AFX9" s="200"/>
      <c r="AFY9" s="200"/>
      <c r="AFZ9" s="200"/>
      <c r="AGA9" s="200"/>
      <c r="AGB9" s="202"/>
      <c r="AGC9" s="202"/>
      <c r="AGD9" s="200"/>
      <c r="AGE9" s="200"/>
      <c r="AGF9" s="200"/>
      <c r="AGG9" s="200"/>
      <c r="AGH9" s="200"/>
      <c r="AGI9" s="202"/>
      <c r="AGJ9" s="202"/>
      <c r="AGK9" s="200"/>
      <c r="AGL9" s="200"/>
      <c r="AGM9" s="200"/>
      <c r="AGN9" s="200"/>
      <c r="AGO9" s="200"/>
      <c r="AGP9" s="202"/>
      <c r="AGQ9" s="202"/>
      <c r="AGR9" s="200"/>
      <c r="AGS9" s="200"/>
      <c r="AGT9" s="200"/>
      <c r="AGU9" s="200"/>
      <c r="AGV9" s="200"/>
      <c r="AGW9" s="202"/>
      <c r="AGX9" s="202"/>
      <c r="AGY9" s="200"/>
      <c r="AGZ9" s="200"/>
      <c r="AHA9" s="200"/>
      <c r="AHB9" s="200"/>
      <c r="AHC9" s="200"/>
      <c r="AHD9" s="202"/>
      <c r="AHE9" s="202"/>
      <c r="AHF9" s="200"/>
      <c r="AHG9" s="200"/>
      <c r="AHH9" s="200"/>
      <c r="AHI9" s="200"/>
      <c r="AHJ9" s="200"/>
      <c r="AHK9" s="202"/>
      <c r="AHL9" s="202"/>
      <c r="AHM9" s="200"/>
      <c r="AHN9" s="200"/>
      <c r="AHO9" s="200"/>
      <c r="AHP9" s="200"/>
      <c r="AHQ9" s="200"/>
      <c r="AHR9" s="202"/>
      <c r="AHS9" s="202"/>
      <c r="AHT9" s="200"/>
      <c r="AHU9" s="200"/>
      <c r="AHV9" s="200"/>
      <c r="AHW9" s="200"/>
      <c r="AHX9" s="200"/>
      <c r="AHY9" s="202"/>
      <c r="AHZ9" s="202"/>
      <c r="AIA9" s="200"/>
      <c r="AIB9" s="200"/>
      <c r="AIC9" s="200"/>
      <c r="AID9" s="200"/>
      <c r="AIE9" s="200"/>
      <c r="AIF9" s="202"/>
      <c r="AIG9" s="202"/>
      <c r="AIH9" s="200"/>
      <c r="AII9" s="200"/>
      <c r="AIJ9" s="200"/>
      <c r="AIK9" s="200"/>
      <c r="AIL9" s="200"/>
      <c r="AIM9" s="202"/>
      <c r="AIN9" s="202"/>
      <c r="AIO9" s="200"/>
      <c r="AIP9" s="200"/>
      <c r="AIQ9" s="200"/>
      <c r="AIR9" s="200"/>
      <c r="AIS9" s="200"/>
      <c r="AIT9" s="202"/>
      <c r="AIU9" s="202"/>
      <c r="AIV9" s="200"/>
      <c r="AIW9" s="200"/>
      <c r="AIX9" s="200"/>
      <c r="AIY9" s="200"/>
      <c r="AIZ9" s="200"/>
      <c r="AJA9" s="202"/>
      <c r="AJB9" s="202"/>
      <c r="AJC9" s="200"/>
      <c r="AJD9" s="200"/>
      <c r="AJE9" s="200"/>
      <c r="AJF9" s="200"/>
      <c r="AJG9" s="200"/>
      <c r="AJH9" s="202"/>
      <c r="AJI9" s="202"/>
      <c r="AJJ9" s="200"/>
      <c r="AJK9" s="200"/>
      <c r="AJL9" s="200"/>
      <c r="AJM9" s="200"/>
      <c r="AJN9" s="200"/>
      <c r="AJO9" s="202"/>
      <c r="AJP9" s="202"/>
      <c r="AJQ9" s="200"/>
      <c r="AJR9" s="200"/>
      <c r="AJS9" s="200"/>
      <c r="AJT9" s="200"/>
      <c r="AJU9" s="200"/>
      <c r="AJV9" s="202"/>
      <c r="AJW9" s="202"/>
      <c r="AJX9" s="200"/>
      <c r="AJY9" s="200"/>
      <c r="AJZ9" s="200"/>
      <c r="AKA9" s="200"/>
      <c r="AKB9" s="200"/>
      <c r="AKC9" s="202"/>
      <c r="AKD9" s="202"/>
      <c r="AKE9" s="200"/>
      <c r="AKF9" s="200"/>
      <c r="AKG9" s="200"/>
      <c r="AKH9" s="200"/>
      <c r="AKI9" s="200"/>
      <c r="AKJ9" s="202"/>
      <c r="AKK9" s="202"/>
      <c r="AKL9" s="200"/>
      <c r="AKM9" s="200"/>
      <c r="AKN9" s="200"/>
      <c r="AKO9" s="200"/>
      <c r="AKP9" s="200"/>
      <c r="AKQ9" s="202"/>
      <c r="AKR9" s="202"/>
      <c r="AKS9" s="200"/>
      <c r="AKT9" s="200"/>
      <c r="AKU9" s="200"/>
      <c r="AKV9" s="200"/>
      <c r="AKW9" s="200"/>
      <c r="AKX9" s="202"/>
      <c r="AKY9" s="202"/>
      <c r="AKZ9" s="200"/>
      <c r="ALA9" s="200"/>
      <c r="ALB9" s="200"/>
      <c r="ALC9" s="200"/>
      <c r="ALD9" s="200"/>
      <c r="ALE9" s="202"/>
      <c r="ALF9" s="202"/>
      <c r="ALG9" s="200"/>
      <c r="ALH9" s="200"/>
      <c r="ALI9" s="200"/>
      <c r="ALJ9" s="200"/>
      <c r="ALK9" s="200"/>
      <c r="ALL9" s="202"/>
      <c r="ALM9" s="202"/>
      <c r="ALN9" s="200"/>
      <c r="ALO9" s="200"/>
      <c r="ALP9" s="200"/>
      <c r="ALQ9" s="200"/>
      <c r="ALR9" s="200"/>
      <c r="ALS9" s="202"/>
      <c r="ALT9" s="202"/>
      <c r="ALU9" s="200"/>
      <c r="ALV9" s="200"/>
      <c r="ALW9" s="200"/>
      <c r="ALX9" s="200"/>
      <c r="ALY9" s="200"/>
      <c r="ALZ9" s="202"/>
      <c r="AMA9" s="202"/>
      <c r="AMB9" s="200"/>
      <c r="AMC9" s="200"/>
      <c r="AMD9" s="200"/>
      <c r="AME9" s="200"/>
      <c r="AMF9" s="200"/>
      <c r="AMG9" s="202"/>
      <c r="AMH9" s="202"/>
      <c r="AMI9" s="200"/>
      <c r="AMJ9" s="200"/>
      <c r="AMK9" s="200"/>
      <c r="AML9" s="200"/>
      <c r="AMM9" s="200"/>
      <c r="AMN9" s="202"/>
      <c r="AMO9" s="202"/>
      <c r="AMP9" s="200"/>
      <c r="AMQ9" s="200"/>
      <c r="AMR9" s="200"/>
      <c r="AMS9" s="200"/>
      <c r="AMT9" s="200"/>
      <c r="AMU9" s="202"/>
      <c r="AMV9" s="202"/>
      <c r="AMW9" s="200"/>
      <c r="AMX9" s="200"/>
      <c r="AMY9" s="200"/>
      <c r="AMZ9" s="200"/>
      <c r="ANA9" s="200"/>
      <c r="ANB9" s="202"/>
      <c r="ANC9" s="202"/>
      <c r="AND9" s="200"/>
      <c r="ANE9" s="200"/>
      <c r="ANF9" s="200"/>
      <c r="ANG9" s="200"/>
      <c r="ANH9" s="200"/>
      <c r="ANI9" s="202"/>
      <c r="ANJ9" s="202"/>
      <c r="ANK9" s="200"/>
      <c r="ANL9" s="200"/>
      <c r="ANM9" s="200"/>
      <c r="ANN9" s="200"/>
      <c r="ANO9" s="200"/>
      <c r="ANP9" s="202"/>
      <c r="ANQ9" s="202"/>
      <c r="ANR9" s="200"/>
      <c r="ANS9" s="200"/>
      <c r="ANT9" s="200"/>
      <c r="ANU9" s="200"/>
      <c r="ANV9" s="200"/>
      <c r="ANW9" s="202"/>
      <c r="ANX9" s="202"/>
      <c r="ANY9" s="200"/>
      <c r="ANZ9" s="200"/>
      <c r="AOA9" s="200"/>
      <c r="AOB9" s="200"/>
      <c r="AOC9" s="200"/>
      <c r="AOD9" s="202"/>
      <c r="AOE9" s="202"/>
      <c r="AOF9" s="200"/>
      <c r="AOG9" s="200"/>
      <c r="AOH9" s="200"/>
      <c r="AOI9" s="200"/>
      <c r="AOJ9" s="200"/>
      <c r="AOK9" s="202"/>
      <c r="AOL9" s="202"/>
      <c r="AOM9" s="200"/>
      <c r="AON9" s="200"/>
      <c r="AOO9" s="200"/>
      <c r="AOP9" s="200"/>
      <c r="AOQ9" s="200"/>
      <c r="AOR9" s="202"/>
      <c r="AOS9" s="202"/>
      <c r="AOT9" s="200"/>
      <c r="AOU9" s="200"/>
      <c r="AOV9" s="200"/>
      <c r="AOW9" s="200"/>
      <c r="AOX9" s="200"/>
      <c r="AOY9" s="202"/>
      <c r="AOZ9" s="202"/>
      <c r="APA9" s="200"/>
      <c r="APB9" s="200"/>
      <c r="APC9" s="200"/>
      <c r="APD9" s="200"/>
      <c r="APE9" s="200"/>
      <c r="APF9" s="202"/>
      <c r="APG9" s="202"/>
      <c r="APH9" s="200"/>
      <c r="API9" s="200"/>
      <c r="APJ9" s="200"/>
      <c r="APK9" s="200"/>
      <c r="APL9" s="200"/>
      <c r="APM9" s="202"/>
      <c r="APN9" s="202"/>
      <c r="APO9" s="200"/>
      <c r="APP9" s="200"/>
      <c r="APQ9" s="200"/>
      <c r="APR9" s="200"/>
      <c r="APS9" s="200"/>
      <c r="APT9" s="202"/>
      <c r="APU9" s="202"/>
      <c r="APV9" s="200"/>
      <c r="APW9" s="200"/>
      <c r="APX9" s="200"/>
      <c r="APY9" s="200"/>
      <c r="APZ9" s="200"/>
      <c r="AQA9" s="202"/>
      <c r="AQB9" s="202"/>
      <c r="AQC9" s="200"/>
      <c r="AQD9" s="200"/>
      <c r="AQE9" s="200"/>
      <c r="AQF9" s="200"/>
      <c r="AQG9" s="200"/>
      <c r="AQH9" s="202"/>
      <c r="AQI9" s="202"/>
      <c r="AQJ9" s="200"/>
      <c r="AQK9" s="200"/>
      <c r="AQL9" s="200"/>
      <c r="AQM9" s="200"/>
      <c r="AQN9" s="200"/>
      <c r="AQO9" s="202"/>
      <c r="AQP9" s="202"/>
      <c r="AQQ9" s="200"/>
      <c r="AQR9" s="200"/>
      <c r="AQS9" s="200"/>
      <c r="AQT9" s="200"/>
      <c r="AQU9" s="200"/>
      <c r="AQV9" s="202"/>
      <c r="AQW9" s="202"/>
      <c r="AQX9" s="200"/>
      <c r="AQY9" s="200"/>
      <c r="AQZ9" s="200"/>
      <c r="ARA9" s="200"/>
      <c r="ARB9" s="200"/>
      <c r="ARC9" s="202"/>
      <c r="ARD9" s="202"/>
      <c r="ARE9" s="200"/>
      <c r="ARF9" s="200"/>
      <c r="ARG9" s="200"/>
      <c r="ARH9" s="200"/>
      <c r="ARI9" s="200"/>
      <c r="ARJ9" s="202"/>
      <c r="ARK9" s="202"/>
      <c r="ARL9" s="200"/>
      <c r="ARM9" s="200"/>
      <c r="ARN9" s="200"/>
      <c r="ARO9" s="200"/>
      <c r="ARP9" s="200"/>
      <c r="ARQ9" s="202"/>
      <c r="ARR9" s="202"/>
      <c r="ARS9" s="200"/>
      <c r="ART9" s="200"/>
      <c r="ARU9" s="200"/>
      <c r="ARV9" s="200"/>
      <c r="ARW9" s="200"/>
      <c r="ARX9" s="202"/>
      <c r="ARY9" s="202"/>
      <c r="ARZ9" s="200"/>
      <c r="ASA9" s="200"/>
      <c r="ASB9" s="200"/>
      <c r="ASC9" s="200"/>
      <c r="ASD9" s="200"/>
      <c r="ASE9" s="202"/>
      <c r="ASF9" s="202"/>
      <c r="ASG9" s="200"/>
      <c r="ASH9" s="200"/>
      <c r="ASI9" s="200"/>
      <c r="ASJ9" s="200"/>
      <c r="ASK9" s="200"/>
      <c r="ASL9" s="202"/>
      <c r="ASM9" s="202"/>
      <c r="ASN9" s="200"/>
      <c r="ASO9" s="200"/>
      <c r="ASP9" s="200"/>
      <c r="ASQ9" s="200"/>
      <c r="ASR9" s="200"/>
      <c r="ASS9" s="202"/>
      <c r="AST9" s="202"/>
      <c r="ASU9" s="200"/>
      <c r="ASV9" s="200"/>
      <c r="ASW9" s="200"/>
      <c r="ASX9" s="200"/>
      <c r="ASY9" s="200"/>
      <c r="ASZ9" s="202"/>
      <c r="ATA9" s="202"/>
      <c r="ATB9" s="200"/>
      <c r="ATC9" s="200"/>
      <c r="ATD9" s="200"/>
      <c r="ATE9" s="200"/>
      <c r="ATF9" s="200"/>
      <c r="ATG9" s="202"/>
      <c r="ATH9" s="202"/>
      <c r="ATI9" s="200"/>
      <c r="ATJ9" s="200"/>
      <c r="ATK9" s="200"/>
      <c r="ATL9" s="200"/>
      <c r="ATM9" s="200"/>
      <c r="ATN9" s="202"/>
      <c r="ATO9" s="202"/>
      <c r="ATP9" s="200"/>
      <c r="ATQ9" s="200"/>
      <c r="ATR9" s="200"/>
      <c r="ATS9" s="200"/>
      <c r="ATT9" s="200"/>
      <c r="ATU9" s="202"/>
      <c r="ATV9" s="202"/>
      <c r="ATW9" s="200"/>
      <c r="ATX9" s="200"/>
      <c r="ATY9" s="200"/>
      <c r="ATZ9" s="200"/>
      <c r="AUA9" s="200"/>
      <c r="AUB9" s="202"/>
      <c r="AUC9" s="202"/>
      <c r="AUD9" s="200"/>
      <c r="AUE9" s="200"/>
      <c r="AUF9" s="200"/>
      <c r="AUG9" s="200"/>
      <c r="AUH9" s="200"/>
      <c r="AUI9" s="202"/>
      <c r="AUJ9" s="202"/>
      <c r="AUK9" s="200"/>
      <c r="AUL9" s="200"/>
      <c r="AUM9" s="200"/>
      <c r="AUN9" s="200"/>
      <c r="AUO9" s="200"/>
      <c r="AUP9" s="202"/>
      <c r="AUQ9" s="202"/>
      <c r="AUR9" s="200"/>
      <c r="AUS9" s="200"/>
      <c r="AUT9" s="200"/>
      <c r="AUU9" s="200"/>
      <c r="AUV9" s="200"/>
      <c r="AUW9" s="202"/>
      <c r="AUX9" s="202"/>
      <c r="AUY9" s="200"/>
      <c r="AUZ9" s="200"/>
      <c r="AVA9" s="200"/>
      <c r="AVB9" s="200"/>
      <c r="AVC9" s="200"/>
      <c r="AVD9" s="202"/>
      <c r="AVE9" s="202"/>
      <c r="AVF9" s="200"/>
      <c r="AVG9" s="200"/>
      <c r="AVH9" s="200"/>
      <c r="AVI9" s="200"/>
      <c r="AVJ9" s="200"/>
      <c r="AVK9" s="202"/>
      <c r="AVL9" s="202"/>
      <c r="AVM9" s="200"/>
      <c r="AVN9" s="200"/>
      <c r="AVO9" s="200"/>
      <c r="AVP9" s="200"/>
      <c r="AVQ9" s="200"/>
      <c r="AVR9" s="202"/>
      <c r="AVS9" s="202"/>
      <c r="AVT9" s="200"/>
      <c r="AVU9" s="200"/>
      <c r="AVV9" s="200"/>
      <c r="AVW9" s="200"/>
      <c r="AVX9" s="200"/>
      <c r="AVY9" s="202"/>
      <c r="AVZ9" s="202"/>
      <c r="AWA9" s="200"/>
      <c r="AWB9" s="200"/>
      <c r="AWC9" s="200"/>
      <c r="AWD9" s="200"/>
      <c r="AWE9" s="200"/>
      <c r="AWF9" s="202"/>
      <c r="AWG9" s="202"/>
      <c r="AWH9" s="200"/>
      <c r="AWI9" s="200"/>
      <c r="AWJ9" s="200"/>
      <c r="AWK9" s="200"/>
      <c r="AWL9" s="200"/>
      <c r="AWM9" s="202"/>
      <c r="AWN9" s="202"/>
      <c r="AWO9" s="200"/>
      <c r="AWP9" s="200"/>
      <c r="AWQ9" s="200"/>
      <c r="AWR9" s="200"/>
      <c r="AWS9" s="200"/>
      <c r="AWT9" s="202"/>
      <c r="AWU9" s="202"/>
      <c r="AWV9" s="200"/>
      <c r="AWW9" s="200"/>
      <c r="AWX9" s="200"/>
      <c r="AWY9" s="200"/>
      <c r="AWZ9" s="200"/>
      <c r="AXA9" s="202"/>
      <c r="AXB9" s="202"/>
      <c r="AXC9" s="200"/>
      <c r="AXD9" s="200"/>
      <c r="AXE9" s="200"/>
      <c r="AXF9" s="200"/>
      <c r="AXG9" s="200"/>
      <c r="AXH9" s="202"/>
      <c r="AXI9" s="202"/>
      <c r="AXJ9" s="200"/>
      <c r="AXK9" s="200"/>
      <c r="AXL9" s="200"/>
      <c r="AXM9" s="200"/>
      <c r="AXN9" s="200"/>
      <c r="AXO9" s="202"/>
      <c r="AXP9" s="202"/>
      <c r="AXQ9" s="200"/>
      <c r="AXR9" s="200"/>
      <c r="AXS9" s="200"/>
      <c r="AXT9" s="200"/>
      <c r="AXU9" s="200"/>
      <c r="AXV9" s="202"/>
      <c r="AXW9" s="202"/>
      <c r="AXX9" s="200"/>
      <c r="AXY9" s="200"/>
      <c r="AXZ9" s="200"/>
      <c r="AYA9" s="200"/>
      <c r="AYB9" s="200"/>
      <c r="AYC9" s="202"/>
      <c r="AYD9" s="202"/>
      <c r="AYE9" s="200"/>
      <c r="AYF9" s="200"/>
      <c r="AYG9" s="200"/>
      <c r="AYH9" s="200"/>
      <c r="AYI9" s="200"/>
      <c r="AYJ9" s="202"/>
      <c r="AYK9" s="202"/>
      <c r="AYL9" s="200"/>
      <c r="AYM9" s="200"/>
      <c r="AYN9" s="200"/>
      <c r="AYO9" s="200"/>
      <c r="AYP9" s="200"/>
      <c r="AYQ9" s="202"/>
      <c r="AYR9" s="202"/>
      <c r="AYS9" s="200"/>
      <c r="AYT9" s="200"/>
      <c r="AYU9" s="200"/>
      <c r="AYV9" s="200"/>
      <c r="AYW9" s="200"/>
      <c r="AYX9" s="202"/>
      <c r="AYY9" s="202"/>
      <c r="AYZ9" s="200"/>
      <c r="AZA9" s="200"/>
      <c r="AZB9" s="200"/>
      <c r="AZC9" s="200"/>
      <c r="AZD9" s="200"/>
      <c r="AZE9" s="202"/>
      <c r="AZF9" s="202"/>
      <c r="AZG9" s="200"/>
      <c r="AZH9" s="200"/>
      <c r="AZI9" s="200"/>
      <c r="AZJ9" s="200"/>
      <c r="AZK9" s="200"/>
      <c r="AZL9" s="202"/>
      <c r="AZM9" s="202"/>
      <c r="AZN9" s="200"/>
      <c r="AZO9" s="200"/>
      <c r="AZP9" s="200"/>
      <c r="AZQ9" s="200"/>
      <c r="AZR9" s="200"/>
      <c r="AZS9" s="202"/>
      <c r="AZT9" s="202"/>
      <c r="AZU9" s="200"/>
      <c r="AZV9" s="200"/>
      <c r="AZW9" s="200"/>
      <c r="AZX9" s="200"/>
      <c r="AZY9" s="200"/>
      <c r="AZZ9" s="202"/>
      <c r="BAA9" s="202"/>
      <c r="BAB9" s="200"/>
      <c r="BAC9" s="200"/>
      <c r="BAD9" s="200"/>
      <c r="BAE9" s="200"/>
      <c r="BAF9" s="200"/>
      <c r="BAG9" s="202"/>
      <c r="BAH9" s="202"/>
      <c r="BAI9" s="200"/>
      <c r="BAJ9" s="200"/>
      <c r="BAK9" s="200"/>
      <c r="BAL9" s="200"/>
      <c r="BAM9" s="200"/>
      <c r="BAN9" s="202"/>
      <c r="BAO9" s="202"/>
      <c r="BAP9" s="200"/>
      <c r="BAQ9" s="200"/>
      <c r="BAR9" s="200"/>
      <c r="BAS9" s="200"/>
      <c r="BAT9" s="200"/>
      <c r="BAU9" s="202"/>
      <c r="BAV9" s="202"/>
      <c r="BAW9" s="200"/>
      <c r="BAX9" s="200"/>
      <c r="BAY9" s="200"/>
      <c r="BAZ9" s="200"/>
      <c r="BBA9" s="200"/>
      <c r="BBB9" s="202"/>
      <c r="BBC9" s="202"/>
      <c r="BBD9" s="200"/>
      <c r="BBE9" s="200"/>
      <c r="BBF9" s="200"/>
      <c r="BBG9" s="200"/>
      <c r="BBH9" s="200"/>
      <c r="BBI9" s="202"/>
      <c r="BBJ9" s="202"/>
      <c r="BBK9" s="200"/>
      <c r="BBL9" s="200"/>
      <c r="BBM9" s="200"/>
      <c r="BBN9" s="200"/>
      <c r="BBO9" s="200"/>
      <c r="BBP9" s="202"/>
      <c r="BBQ9" s="202"/>
      <c r="BBR9" s="200"/>
      <c r="BBS9" s="200"/>
      <c r="BBT9" s="200"/>
      <c r="BBU9" s="200"/>
      <c r="BBV9" s="200"/>
      <c r="BBW9" s="202"/>
      <c r="BBX9" s="202"/>
      <c r="BBY9" s="200"/>
      <c r="BBZ9" s="200"/>
      <c r="BCA9" s="200"/>
      <c r="BCB9" s="200"/>
      <c r="BCC9" s="200"/>
      <c r="BCD9" s="202"/>
      <c r="BCE9" s="202"/>
      <c r="BCF9" s="200"/>
      <c r="BCG9" s="200"/>
      <c r="BCH9" s="200"/>
      <c r="BCI9" s="200"/>
      <c r="BCJ9" s="200"/>
      <c r="BCK9" s="202"/>
      <c r="BCL9" s="202"/>
      <c r="BCM9" s="200"/>
      <c r="BCN9" s="200"/>
      <c r="BCO9" s="200"/>
      <c r="BCP9" s="200"/>
      <c r="BCQ9" s="200"/>
      <c r="BCR9" s="202"/>
      <c r="BCS9" s="202"/>
      <c r="BCT9" s="200"/>
      <c r="BCU9" s="200"/>
      <c r="BCV9" s="200"/>
      <c r="BCW9" s="200"/>
      <c r="BCX9" s="200"/>
      <c r="BCY9" s="202"/>
      <c r="BCZ9" s="202"/>
      <c r="BDA9" s="200"/>
      <c r="BDB9" s="200"/>
      <c r="BDC9" s="200"/>
      <c r="BDD9" s="200"/>
      <c r="BDE9" s="200"/>
      <c r="BDF9" s="202"/>
      <c r="BDG9" s="202"/>
      <c r="BDH9" s="200"/>
      <c r="BDI9" s="200"/>
      <c r="BDJ9" s="200"/>
      <c r="BDK9" s="200"/>
      <c r="BDL9" s="200"/>
      <c r="BDM9" s="202"/>
      <c r="BDN9" s="202"/>
      <c r="BDO9" s="200"/>
      <c r="BDP9" s="200"/>
      <c r="BDQ9" s="200"/>
      <c r="BDR9" s="200"/>
      <c r="BDS9" s="200"/>
      <c r="BDT9" s="202"/>
      <c r="BDU9" s="202"/>
      <c r="BDV9" s="200"/>
      <c r="BDW9" s="200"/>
      <c r="BDX9" s="200"/>
      <c r="BDY9" s="200"/>
      <c r="BDZ9" s="200"/>
      <c r="BEA9" s="202"/>
      <c r="BEB9" s="202"/>
      <c r="BEC9" s="200"/>
      <c r="BED9" s="200"/>
      <c r="BEE9" s="200"/>
      <c r="BEF9" s="200"/>
      <c r="BEG9" s="200"/>
      <c r="BEH9" s="202"/>
      <c r="BEI9" s="202"/>
      <c r="BEJ9" s="200"/>
      <c r="BEK9" s="200"/>
      <c r="BEL9" s="200"/>
      <c r="BEM9" s="200"/>
      <c r="BEN9" s="200"/>
      <c r="BEO9" s="202"/>
      <c r="BEP9" s="202"/>
      <c r="BEQ9" s="200"/>
      <c r="BER9" s="200"/>
      <c r="BES9" s="200"/>
      <c r="BET9" s="200"/>
      <c r="BEU9" s="200"/>
      <c r="BEV9" s="202"/>
      <c r="BEW9" s="202"/>
      <c r="BEX9" s="200"/>
      <c r="BEY9" s="200"/>
      <c r="BEZ9" s="200"/>
      <c r="BFA9" s="200"/>
      <c r="BFB9" s="200"/>
      <c r="BFC9" s="202"/>
      <c r="BFD9" s="202"/>
      <c r="BFE9" s="200"/>
      <c r="BFF9" s="200"/>
      <c r="BFG9" s="200"/>
      <c r="BFH9" s="200"/>
      <c r="BFI9" s="200"/>
      <c r="BFJ9" s="202"/>
      <c r="BFK9" s="202"/>
      <c r="BFL9" s="200"/>
      <c r="BFM9" s="200"/>
      <c r="BFN9" s="200"/>
      <c r="BFO9" s="200"/>
      <c r="BFP9" s="200"/>
      <c r="BFQ9" s="202"/>
      <c r="BFR9" s="202"/>
      <c r="BFS9" s="200"/>
      <c r="BFT9" s="200"/>
      <c r="BFU9" s="200"/>
      <c r="BFV9" s="200"/>
      <c r="BFW9" s="200"/>
      <c r="BFX9" s="202"/>
      <c r="BFY9" s="202"/>
      <c r="BFZ9" s="200"/>
      <c r="BGA9" s="200"/>
      <c r="BGB9" s="200"/>
      <c r="BGC9" s="200"/>
      <c r="BGD9" s="200"/>
      <c r="BGE9" s="202"/>
      <c r="BGF9" s="202"/>
      <c r="BGG9" s="200"/>
      <c r="BGH9" s="200"/>
      <c r="BGI9" s="200"/>
      <c r="BGJ9" s="200"/>
      <c r="BGK9" s="200"/>
      <c r="BGL9" s="202"/>
      <c r="BGM9" s="202"/>
      <c r="BGN9" s="200"/>
      <c r="BGO9" s="200"/>
      <c r="BGP9" s="200"/>
      <c r="BGQ9" s="200"/>
      <c r="BGR9" s="200"/>
      <c r="BGS9" s="202"/>
      <c r="BGT9" s="202"/>
      <c r="BGU9" s="200"/>
      <c r="BGV9" s="200"/>
      <c r="BGW9" s="200"/>
      <c r="BGX9" s="200"/>
      <c r="BGY9" s="200"/>
      <c r="BGZ9" s="202"/>
      <c r="BHA9" s="202"/>
      <c r="BHB9" s="200"/>
      <c r="BHC9" s="200"/>
      <c r="BHD9" s="200"/>
      <c r="BHE9" s="200"/>
      <c r="BHF9" s="200"/>
      <c r="BHG9" s="202"/>
      <c r="BHH9" s="202"/>
      <c r="BHI9" s="200"/>
      <c r="BHJ9" s="200"/>
      <c r="BHK9" s="200"/>
      <c r="BHL9" s="200"/>
      <c r="BHM9" s="200"/>
      <c r="BHN9" s="202"/>
      <c r="BHO9" s="202"/>
      <c r="BHP9" s="200"/>
      <c r="BHQ9" s="200"/>
      <c r="BHR9" s="200"/>
      <c r="BHS9" s="200"/>
      <c r="BHT9" s="200"/>
      <c r="BHU9" s="202"/>
      <c r="BHV9" s="202"/>
      <c r="BHW9" s="200"/>
      <c r="BHX9" s="200"/>
      <c r="BHY9" s="200"/>
      <c r="BHZ9" s="200"/>
      <c r="BIA9" s="200"/>
      <c r="BIB9" s="202"/>
      <c r="BIC9" s="202"/>
      <c r="BID9" s="200"/>
      <c r="BIE9" s="200"/>
      <c r="BIF9" s="200"/>
      <c r="BIG9" s="200"/>
      <c r="BIH9" s="200"/>
      <c r="BII9" s="202"/>
      <c r="BIJ9" s="202"/>
      <c r="BIK9" s="200"/>
      <c r="BIL9" s="200"/>
      <c r="BIM9" s="200"/>
      <c r="BIN9" s="200"/>
      <c r="BIO9" s="200"/>
      <c r="BIP9" s="202"/>
      <c r="BIQ9" s="202"/>
      <c r="BIR9" s="200"/>
      <c r="BIS9" s="200"/>
      <c r="BIT9" s="200"/>
      <c r="BIU9" s="200"/>
      <c r="BIV9" s="200"/>
      <c r="BIW9" s="202"/>
      <c r="BIX9" s="202"/>
      <c r="BIY9" s="200"/>
      <c r="BIZ9" s="200"/>
      <c r="BJA9" s="200"/>
      <c r="BJB9" s="200"/>
      <c r="BJC9" s="200"/>
      <c r="BJD9" s="202"/>
      <c r="BJE9" s="202"/>
      <c r="BJF9" s="200"/>
      <c r="BJG9" s="200"/>
      <c r="BJH9" s="200"/>
      <c r="BJI9" s="200"/>
      <c r="BJJ9" s="200"/>
      <c r="BJK9" s="202"/>
      <c r="BJL9" s="202"/>
      <c r="BJM9" s="200"/>
      <c r="BJN9" s="200"/>
      <c r="BJO9" s="200"/>
      <c r="BJP9" s="200"/>
      <c r="BJQ9" s="200"/>
      <c r="BJR9" s="202"/>
      <c r="BJS9" s="202"/>
      <c r="BJT9" s="200"/>
      <c r="BJU9" s="200"/>
      <c r="BJV9" s="200"/>
      <c r="BJW9" s="200"/>
      <c r="BJX9" s="200"/>
      <c r="BJY9" s="202"/>
      <c r="BJZ9" s="202"/>
      <c r="BKA9" s="200"/>
      <c r="BKB9" s="200"/>
      <c r="BKC9" s="200"/>
      <c r="BKD9" s="200"/>
      <c r="BKE9" s="200"/>
      <c r="BKF9" s="202"/>
      <c r="BKG9" s="202"/>
      <c r="BKH9" s="200"/>
      <c r="BKI9" s="200"/>
      <c r="BKJ9" s="200"/>
      <c r="BKK9" s="200"/>
      <c r="BKL9" s="200"/>
      <c r="BKM9" s="202"/>
      <c r="BKN9" s="202"/>
      <c r="BKO9" s="200"/>
      <c r="BKP9" s="200"/>
      <c r="BKQ9" s="200"/>
      <c r="BKR9" s="200"/>
      <c r="BKS9" s="200"/>
      <c r="BKT9" s="202"/>
      <c r="BKU9" s="202"/>
      <c r="BKV9" s="200"/>
      <c r="BKW9" s="200"/>
      <c r="BKX9" s="200"/>
      <c r="BKY9" s="200"/>
      <c r="BKZ9" s="200"/>
      <c r="BLA9" s="202"/>
      <c r="BLB9" s="202"/>
      <c r="BLC9" s="200"/>
      <c r="BLD9" s="200"/>
      <c r="BLE9" s="200"/>
      <c r="BLF9" s="200"/>
      <c r="BLG9" s="200"/>
      <c r="BLH9" s="202"/>
      <c r="BLI9" s="202"/>
      <c r="BLJ9" s="200"/>
      <c r="BLK9" s="200"/>
      <c r="BLL9" s="200"/>
      <c r="BLM9" s="200"/>
      <c r="BLN9" s="200"/>
      <c r="BLO9" s="202"/>
      <c r="BLP9" s="202"/>
      <c r="BLQ9" s="200"/>
      <c r="BLR9" s="200"/>
      <c r="BLS9" s="200"/>
      <c r="BLT9" s="200"/>
      <c r="BLU9" s="200"/>
      <c r="BLV9" s="202"/>
      <c r="BLW9" s="202"/>
      <c r="BLX9" s="200"/>
      <c r="BLY9" s="200"/>
      <c r="BLZ9" s="200"/>
      <c r="BMA9" s="200"/>
      <c r="BMB9" s="200"/>
      <c r="BMC9" s="202"/>
      <c r="BMD9" s="202"/>
      <c r="BME9" s="200"/>
      <c r="BMF9" s="200"/>
      <c r="BMG9" s="200"/>
      <c r="BMH9" s="200"/>
      <c r="BMI9" s="200"/>
      <c r="BMJ9" s="202"/>
      <c r="BMK9" s="202"/>
      <c r="BML9" s="200"/>
      <c r="BMM9" s="200"/>
      <c r="BMN9" s="200"/>
      <c r="BMO9" s="200"/>
      <c r="BMP9" s="200"/>
      <c r="BMQ9" s="202"/>
      <c r="BMR9" s="202"/>
      <c r="BMS9" s="200"/>
      <c r="BMT9" s="200"/>
      <c r="BMU9" s="200"/>
      <c r="BMV9" s="200"/>
      <c r="BMW9" s="200"/>
      <c r="BMX9" s="202"/>
      <c r="BMY9" s="202"/>
      <c r="BMZ9" s="200"/>
      <c r="BNA9" s="200"/>
      <c r="BNB9" s="200"/>
      <c r="BNC9" s="200"/>
      <c r="BND9" s="200"/>
      <c r="BNE9" s="202"/>
      <c r="BNF9" s="202"/>
      <c r="BNG9" s="200"/>
      <c r="BNH9" s="200"/>
      <c r="BNI9" s="200"/>
      <c r="BNJ9" s="200"/>
      <c r="BNK9" s="200"/>
      <c r="BNL9" s="202"/>
      <c r="BNM9" s="202"/>
      <c r="BNN9" s="200"/>
      <c r="BNO9" s="200"/>
      <c r="BNP9" s="200"/>
      <c r="BNQ9" s="200"/>
      <c r="BNR9" s="200"/>
      <c r="BNS9" s="202"/>
      <c r="BNT9" s="202"/>
      <c r="BNU9" s="200"/>
      <c r="BNV9" s="200"/>
      <c r="BNW9" s="200"/>
      <c r="BNX9" s="200"/>
      <c r="BNY9" s="200"/>
      <c r="BNZ9" s="202"/>
      <c r="BOA9" s="202"/>
      <c r="BOB9" s="200"/>
      <c r="BOC9" s="200"/>
      <c r="BOD9" s="200"/>
      <c r="BOE9" s="200"/>
      <c r="BOF9" s="200"/>
      <c r="BOG9" s="202"/>
      <c r="BOH9" s="202"/>
      <c r="BOI9" s="200"/>
      <c r="BOJ9" s="200"/>
      <c r="BOK9" s="200"/>
      <c r="BOL9" s="200"/>
      <c r="BOM9" s="200"/>
      <c r="BON9" s="202"/>
      <c r="BOO9" s="202"/>
      <c r="BOP9" s="200"/>
      <c r="BOQ9" s="200"/>
      <c r="BOR9" s="200"/>
      <c r="BOS9" s="200"/>
      <c r="BOT9" s="200"/>
      <c r="BOU9" s="202"/>
      <c r="BOV9" s="202"/>
      <c r="BOW9" s="200"/>
      <c r="BOX9" s="200"/>
      <c r="BOY9" s="200"/>
      <c r="BOZ9" s="200"/>
      <c r="BPA9" s="200"/>
      <c r="BPB9" s="202"/>
      <c r="BPC9" s="202"/>
      <c r="BPD9" s="200"/>
      <c r="BPE9" s="200"/>
      <c r="BPF9" s="200"/>
      <c r="BPG9" s="200"/>
      <c r="BPH9" s="200"/>
      <c r="BPI9" s="202"/>
      <c r="BPJ9" s="202"/>
      <c r="BPK9" s="200"/>
      <c r="BPL9" s="200"/>
      <c r="BPM9" s="200"/>
      <c r="BPN9" s="200"/>
      <c r="BPO9" s="200"/>
      <c r="BPP9" s="202"/>
      <c r="BPQ9" s="202"/>
      <c r="BPR9" s="200"/>
      <c r="BPS9" s="200"/>
      <c r="BPT9" s="200"/>
      <c r="BPU9" s="200"/>
      <c r="BPV9" s="200"/>
      <c r="BPW9" s="202"/>
      <c r="BPX9" s="202"/>
      <c r="BPY9" s="200"/>
      <c r="BPZ9" s="200"/>
      <c r="BQA9" s="200"/>
      <c r="BQB9" s="200"/>
      <c r="BQC9" s="200"/>
      <c r="BQD9" s="202"/>
      <c r="BQE9" s="202"/>
      <c r="BQF9" s="200"/>
      <c r="BQG9" s="200"/>
      <c r="BQH9" s="200"/>
      <c r="BQI9" s="200"/>
      <c r="BQJ9" s="200"/>
      <c r="BQK9" s="202"/>
      <c r="BQL9" s="202"/>
      <c r="BQM9" s="200"/>
      <c r="BQN9" s="200"/>
      <c r="BQO9" s="200"/>
      <c r="BQP9" s="200"/>
      <c r="BQQ9" s="200"/>
      <c r="BQR9" s="202"/>
      <c r="BQS9" s="202"/>
      <c r="BQT9" s="200"/>
      <c r="BQU9" s="200"/>
      <c r="BQV9" s="200"/>
      <c r="BQW9" s="200"/>
      <c r="BQX9" s="200"/>
      <c r="BQY9" s="202"/>
      <c r="BQZ9" s="202"/>
      <c r="BRA9" s="200"/>
      <c r="BRB9" s="200"/>
      <c r="BRC9" s="200"/>
      <c r="BRD9" s="200"/>
      <c r="BRE9" s="200"/>
      <c r="BRF9" s="202"/>
      <c r="BRG9" s="202"/>
      <c r="BRH9" s="200"/>
      <c r="BRI9" s="200"/>
      <c r="BRJ9" s="200"/>
      <c r="BRK9" s="200"/>
      <c r="BRL9" s="200"/>
      <c r="BRM9" s="202"/>
      <c r="BRN9" s="202"/>
      <c r="BRO9" s="200"/>
      <c r="BRP9" s="200"/>
      <c r="BRQ9" s="200"/>
      <c r="BRR9" s="200"/>
      <c r="BRS9" s="200"/>
      <c r="BRT9" s="202"/>
      <c r="BRU9" s="202"/>
      <c r="BRV9" s="200"/>
      <c r="BRW9" s="200"/>
      <c r="BRX9" s="200"/>
      <c r="BRY9" s="200"/>
      <c r="BRZ9" s="200"/>
      <c r="BSA9" s="202"/>
      <c r="BSB9" s="202"/>
      <c r="BSC9" s="200"/>
      <c r="BSD9" s="200"/>
      <c r="BSE9" s="200"/>
      <c r="BSF9" s="200"/>
      <c r="BSG9" s="200"/>
      <c r="BSH9" s="202"/>
      <c r="BSI9" s="202"/>
      <c r="BSJ9" s="200"/>
      <c r="BSK9" s="200"/>
      <c r="BSL9" s="200"/>
      <c r="BSM9" s="200"/>
      <c r="BSN9" s="200"/>
      <c r="BSO9" s="202"/>
      <c r="BSP9" s="202"/>
      <c r="BSQ9" s="200"/>
      <c r="BSR9" s="200"/>
      <c r="BSS9" s="200"/>
      <c r="BST9" s="200"/>
      <c r="BSU9" s="200"/>
      <c r="BSV9" s="202"/>
      <c r="BSW9" s="202"/>
      <c r="BSX9" s="200"/>
      <c r="BSY9" s="200"/>
      <c r="BSZ9" s="200"/>
      <c r="BTA9" s="200"/>
      <c r="BTB9" s="200"/>
      <c r="BTC9" s="202"/>
      <c r="BTD9" s="202"/>
      <c r="BTE9" s="200"/>
      <c r="BTF9" s="200"/>
      <c r="BTG9" s="200"/>
      <c r="BTH9" s="200"/>
      <c r="BTI9" s="200"/>
      <c r="BTJ9" s="202"/>
      <c r="BTK9" s="202"/>
      <c r="BTL9" s="200"/>
      <c r="BTM9" s="200"/>
      <c r="BTN9" s="200"/>
      <c r="BTO9" s="200"/>
      <c r="BTP9" s="200"/>
      <c r="BTQ9" s="202"/>
      <c r="BTR9" s="202"/>
      <c r="BTS9" s="200"/>
      <c r="BTT9" s="200"/>
      <c r="BTU9" s="200"/>
      <c r="BTV9" s="200"/>
      <c r="BTW9" s="200"/>
      <c r="BTX9" s="202"/>
      <c r="BTY9" s="202"/>
      <c r="BTZ9" s="200"/>
      <c r="BUA9" s="200"/>
      <c r="BUB9" s="200"/>
      <c r="BUC9" s="200"/>
      <c r="BUD9" s="200"/>
      <c r="BUE9" s="202"/>
      <c r="BUF9" s="202"/>
      <c r="BUG9" s="200"/>
      <c r="BUH9" s="200"/>
      <c r="BUI9" s="200"/>
      <c r="BUJ9" s="200"/>
      <c r="BUK9" s="200"/>
      <c r="BUL9" s="202"/>
      <c r="BUM9" s="202"/>
      <c r="BUN9" s="200"/>
      <c r="BUO9" s="200"/>
      <c r="BUP9" s="200"/>
      <c r="BUQ9" s="200"/>
      <c r="BUR9" s="200"/>
      <c r="BUS9" s="202"/>
      <c r="BUT9" s="202"/>
      <c r="BUU9" s="200"/>
      <c r="BUV9" s="200"/>
      <c r="BUW9" s="200"/>
      <c r="BUX9" s="200"/>
      <c r="BUY9" s="200"/>
      <c r="BUZ9" s="202"/>
      <c r="BVA9" s="202"/>
      <c r="BVB9" s="200"/>
      <c r="BVC9" s="200"/>
      <c r="BVD9" s="200"/>
      <c r="BVE9" s="200"/>
      <c r="BVF9" s="200"/>
      <c r="BVG9" s="202"/>
      <c r="BVH9" s="202"/>
      <c r="BVI9" s="200"/>
      <c r="BVJ9" s="200"/>
      <c r="BVK9" s="200"/>
      <c r="BVL9" s="200"/>
      <c r="BVM9" s="200"/>
      <c r="BVN9" s="202"/>
      <c r="BVO9" s="202"/>
      <c r="BVP9" s="200"/>
      <c r="BVQ9" s="200"/>
      <c r="BVR9" s="200"/>
      <c r="BVS9" s="200"/>
      <c r="BVT9" s="200"/>
      <c r="BVU9" s="202"/>
      <c r="BVV9" s="202"/>
      <c r="BVW9" s="200"/>
      <c r="BVX9" s="200"/>
      <c r="BVY9" s="200"/>
      <c r="BVZ9" s="200"/>
      <c r="BWA9" s="200"/>
      <c r="BWB9" s="202"/>
      <c r="BWC9" s="202"/>
      <c r="BWD9" s="200"/>
      <c r="BWE9" s="200"/>
      <c r="BWF9" s="200"/>
      <c r="BWG9" s="200"/>
      <c r="BWH9" s="200"/>
      <c r="BWI9" s="202"/>
      <c r="BWJ9" s="202"/>
      <c r="BWK9" s="200"/>
      <c r="BWL9" s="200"/>
      <c r="BWM9" s="200"/>
      <c r="BWN9" s="200"/>
      <c r="BWO9" s="200"/>
      <c r="BWP9" s="202"/>
      <c r="BWQ9" s="202"/>
      <c r="BWR9" s="200"/>
      <c r="BWS9" s="200"/>
      <c r="BWT9" s="200"/>
      <c r="BWU9" s="200"/>
      <c r="BWV9" s="200"/>
      <c r="BWW9" s="202"/>
      <c r="BWX9" s="202"/>
      <c r="BWY9" s="200"/>
      <c r="BWZ9" s="200"/>
      <c r="BXA9" s="200"/>
      <c r="BXB9" s="200"/>
      <c r="BXC9" s="200"/>
      <c r="BXD9" s="202"/>
      <c r="BXE9" s="202"/>
      <c r="BXF9" s="200"/>
      <c r="BXG9" s="200"/>
      <c r="BXH9" s="200"/>
      <c r="BXI9" s="200"/>
      <c r="BXJ9" s="200"/>
      <c r="BXK9" s="202"/>
      <c r="BXL9" s="202"/>
      <c r="BXM9" s="200"/>
      <c r="BXN9" s="200"/>
      <c r="BXO9" s="200"/>
      <c r="BXP9" s="200"/>
      <c r="BXQ9" s="200"/>
      <c r="BXR9" s="202"/>
      <c r="BXS9" s="202"/>
      <c r="BXT9" s="200"/>
      <c r="BXU9" s="200"/>
      <c r="BXV9" s="200"/>
      <c r="BXW9" s="200"/>
      <c r="BXX9" s="200"/>
      <c r="BXY9" s="202"/>
      <c r="BXZ9" s="202"/>
      <c r="BYA9" s="200"/>
      <c r="BYB9" s="200"/>
      <c r="BYC9" s="200"/>
      <c r="BYD9" s="200"/>
      <c r="BYE9" s="200"/>
      <c r="BYF9" s="202"/>
      <c r="BYG9" s="202"/>
      <c r="BYH9" s="200"/>
      <c r="BYI9" s="200"/>
      <c r="BYJ9" s="200"/>
      <c r="BYK9" s="200"/>
      <c r="BYL9" s="200"/>
      <c r="BYM9" s="202"/>
      <c r="BYN9" s="202"/>
      <c r="BYO9" s="200"/>
      <c r="BYP9" s="200"/>
      <c r="BYQ9" s="200"/>
      <c r="BYR9" s="200"/>
      <c r="BYS9" s="200"/>
      <c r="BYT9" s="202"/>
      <c r="BYU9" s="202"/>
      <c r="BYV9" s="200"/>
      <c r="BYW9" s="200"/>
      <c r="BYX9" s="200"/>
      <c r="BYY9" s="200"/>
      <c r="BYZ9" s="200"/>
      <c r="BZA9" s="202"/>
      <c r="BZB9" s="202"/>
      <c r="BZC9" s="200"/>
      <c r="BZD9" s="200"/>
      <c r="BZE9" s="200"/>
      <c r="BZF9" s="200"/>
      <c r="BZG9" s="200"/>
      <c r="BZH9" s="202"/>
      <c r="BZI9" s="202"/>
      <c r="BZJ9" s="200"/>
      <c r="BZK9" s="200"/>
      <c r="BZL9" s="200"/>
      <c r="BZM9" s="200"/>
      <c r="BZN9" s="200"/>
      <c r="BZO9" s="202"/>
      <c r="BZP9" s="202"/>
      <c r="BZQ9" s="200"/>
      <c r="BZR9" s="200"/>
      <c r="BZS9" s="200"/>
      <c r="BZT9" s="200"/>
      <c r="BZU9" s="200"/>
      <c r="BZV9" s="202"/>
      <c r="BZW9" s="202"/>
      <c r="BZX9" s="200"/>
      <c r="BZY9" s="200"/>
      <c r="BZZ9" s="200"/>
      <c r="CAA9" s="200"/>
      <c r="CAB9" s="200"/>
      <c r="CAC9" s="202"/>
      <c r="CAD9" s="202"/>
      <c r="CAE9" s="200"/>
      <c r="CAF9" s="200"/>
      <c r="CAG9" s="200"/>
      <c r="CAH9" s="200"/>
      <c r="CAI9" s="200"/>
      <c r="CAJ9" s="202"/>
      <c r="CAK9" s="202"/>
      <c r="CAL9" s="200"/>
      <c r="CAM9" s="200"/>
      <c r="CAN9" s="200"/>
      <c r="CAO9" s="200"/>
      <c r="CAP9" s="200"/>
      <c r="CAQ9" s="202"/>
      <c r="CAR9" s="202"/>
      <c r="CAS9" s="200"/>
      <c r="CAT9" s="200"/>
      <c r="CAU9" s="200"/>
      <c r="CAV9" s="200"/>
      <c r="CAW9" s="200"/>
      <c r="CAX9" s="202"/>
      <c r="CAY9" s="202"/>
      <c r="CAZ9" s="200"/>
      <c r="CBA9" s="200"/>
      <c r="CBB9" s="200"/>
      <c r="CBC9" s="200"/>
      <c r="CBD9" s="200"/>
      <c r="CBE9" s="202"/>
      <c r="CBF9" s="202"/>
      <c r="CBG9" s="200"/>
      <c r="CBH9" s="200"/>
      <c r="CBI9" s="200"/>
      <c r="CBJ9" s="200"/>
      <c r="CBK9" s="200"/>
      <c r="CBL9" s="202"/>
      <c r="CBM9" s="202"/>
      <c r="CBN9" s="200"/>
      <c r="CBO9" s="200"/>
      <c r="CBP9" s="200"/>
      <c r="CBQ9" s="200"/>
      <c r="CBR9" s="200"/>
      <c r="CBS9" s="202"/>
      <c r="CBT9" s="202"/>
      <c r="CBU9" s="200"/>
      <c r="CBV9" s="200"/>
      <c r="CBW9" s="200"/>
      <c r="CBX9" s="200"/>
      <c r="CBY9" s="200"/>
      <c r="CBZ9" s="202"/>
      <c r="CCA9" s="202"/>
      <c r="CCB9" s="200"/>
      <c r="CCC9" s="200"/>
      <c r="CCD9" s="200"/>
      <c r="CCE9" s="200"/>
      <c r="CCF9" s="200"/>
      <c r="CCG9" s="202"/>
      <c r="CCH9" s="202"/>
      <c r="CCI9" s="200"/>
      <c r="CCJ9" s="200"/>
      <c r="CCK9" s="200"/>
      <c r="CCL9" s="200"/>
      <c r="CCM9" s="200"/>
      <c r="CCN9" s="202"/>
      <c r="CCO9" s="202"/>
      <c r="CCP9" s="200"/>
      <c r="CCQ9" s="200"/>
      <c r="CCR9" s="200"/>
      <c r="CCS9" s="200"/>
      <c r="CCT9" s="200"/>
      <c r="CCU9" s="202"/>
      <c r="CCV9" s="202"/>
      <c r="CCW9" s="199"/>
      <c r="VST9" s="52"/>
      <c r="VTB9" s="52"/>
    </row>
    <row r="10" spans="1:2129 15008:15070 15386:15394" s="220" customFormat="1" ht="16.149999999999999" customHeight="1" x14ac:dyDescent="0.25">
      <c r="A10" s="265" t="s">
        <v>65</v>
      </c>
      <c r="B10" s="265">
        <v>2</v>
      </c>
      <c r="C10" s="265"/>
      <c r="D10" s="265"/>
      <c r="E10" s="265"/>
      <c r="F10" s="265"/>
      <c r="G10" s="266" t="s">
        <v>170</v>
      </c>
      <c r="H10" s="267" t="s">
        <v>204</v>
      </c>
      <c r="I10" s="267"/>
      <c r="J10" s="268"/>
      <c r="K10" s="269"/>
      <c r="L10" s="269"/>
      <c r="M10" s="270"/>
      <c r="N10" s="269">
        <v>42996</v>
      </c>
      <c r="O10" s="269">
        <v>43007</v>
      </c>
      <c r="P10" s="270">
        <v>11</v>
      </c>
      <c r="Q10" s="271">
        <v>0</v>
      </c>
      <c r="R10" s="269"/>
      <c r="S10" s="269"/>
      <c r="T10" s="270"/>
      <c r="U10" s="272"/>
      <c r="V10" s="272"/>
      <c r="W10" s="272"/>
      <c r="X10" s="273"/>
      <c r="Y10" s="274"/>
      <c r="Z10" s="274"/>
      <c r="AA10" s="275"/>
      <c r="AB10" s="274"/>
      <c r="AC10" s="276"/>
      <c r="AD10" s="276"/>
      <c r="AE10" s="276"/>
      <c r="AF10" s="276"/>
      <c r="AG10" s="276"/>
      <c r="AH10" s="276"/>
      <c r="AI10" s="276"/>
      <c r="AJ10" s="276"/>
      <c r="AK10" s="276"/>
      <c r="AL10" s="276"/>
      <c r="AM10" s="276"/>
      <c r="AN10" s="276"/>
      <c r="AO10" s="276"/>
      <c r="AP10" s="276"/>
      <c r="AQ10" s="276"/>
      <c r="AR10" s="276"/>
      <c r="AS10" s="276"/>
      <c r="AT10" s="276"/>
      <c r="AU10" s="276"/>
      <c r="AV10" s="276"/>
      <c r="AW10" s="276"/>
      <c r="AX10" s="276"/>
      <c r="AY10" s="276"/>
      <c r="AZ10" s="276"/>
      <c r="BA10" s="276"/>
      <c r="BB10" s="276"/>
      <c r="BC10" s="276"/>
      <c r="BD10" s="276"/>
      <c r="BE10" s="276"/>
      <c r="BF10" s="276"/>
      <c r="BG10" s="276"/>
      <c r="BH10" s="276"/>
      <c r="BI10" s="276"/>
      <c r="BJ10" s="276"/>
      <c r="BK10" s="276"/>
      <c r="BL10" s="276"/>
      <c r="BM10" s="276"/>
      <c r="BN10" s="276"/>
      <c r="BO10" s="276"/>
      <c r="BP10" s="276"/>
      <c r="BQ10" s="276"/>
      <c r="BR10" s="276"/>
      <c r="BS10" s="276"/>
      <c r="BT10" s="276"/>
      <c r="BU10" s="276"/>
      <c r="BV10" s="276"/>
      <c r="BW10" s="276"/>
      <c r="BX10" s="276"/>
      <c r="BY10" s="276"/>
      <c r="BZ10" s="276"/>
      <c r="CA10" s="276"/>
      <c r="CB10" s="276"/>
      <c r="CC10" s="276"/>
      <c r="CD10" s="276"/>
      <c r="CE10" s="276"/>
      <c r="CF10" s="276"/>
      <c r="CG10" s="277"/>
      <c r="CH10" s="277"/>
      <c r="CI10" s="277"/>
      <c r="CJ10" s="277"/>
      <c r="CK10" s="277"/>
      <c r="CL10" s="277"/>
      <c r="CM10" s="277"/>
      <c r="CN10" s="277"/>
      <c r="CO10" s="277"/>
      <c r="CP10" s="277"/>
      <c r="CQ10" s="277"/>
      <c r="CR10" s="277"/>
      <c r="CS10" s="277"/>
      <c r="CT10" s="277"/>
      <c r="CU10" s="277"/>
      <c r="CV10" s="277"/>
      <c r="CW10" s="277"/>
      <c r="CX10" s="277"/>
      <c r="CY10" s="277"/>
      <c r="CZ10" s="277"/>
      <c r="DA10" s="277"/>
      <c r="DB10" s="277"/>
      <c r="DC10" s="277"/>
      <c r="DD10" s="277"/>
      <c r="DE10" s="277"/>
      <c r="DF10" s="277"/>
      <c r="DG10" s="277"/>
      <c r="DH10" s="277"/>
      <c r="DI10" s="277"/>
      <c r="DJ10" s="277"/>
      <c r="DK10" s="277"/>
      <c r="DL10" s="277"/>
      <c r="DM10" s="277"/>
      <c r="DN10" s="277"/>
      <c r="DO10" s="277"/>
      <c r="DP10" s="277"/>
      <c r="DQ10" s="277"/>
      <c r="DR10" s="277"/>
      <c r="DS10" s="277"/>
      <c r="DT10" s="277"/>
      <c r="DU10" s="277"/>
      <c r="DV10" s="277"/>
      <c r="DW10" s="277"/>
      <c r="DX10" s="277"/>
      <c r="DY10" s="277"/>
      <c r="DZ10" s="277"/>
      <c r="EA10" s="277"/>
      <c r="EB10" s="277"/>
      <c r="EC10" s="277"/>
      <c r="ED10" s="277"/>
      <c r="EE10" s="277"/>
      <c r="EF10" s="277"/>
      <c r="EG10" s="277"/>
      <c r="EH10" s="277"/>
      <c r="EI10" s="277"/>
      <c r="EJ10" s="277"/>
      <c r="EK10" s="277"/>
      <c r="EL10" s="277"/>
      <c r="EM10" s="277"/>
      <c r="EN10" s="277"/>
      <c r="EO10" s="277"/>
      <c r="EP10" s="277"/>
      <c r="EQ10" s="277"/>
      <c r="ER10" s="277"/>
      <c r="ES10" s="277"/>
      <c r="ET10" s="277"/>
      <c r="EU10" s="277"/>
      <c r="EV10" s="277"/>
      <c r="EW10" s="277"/>
      <c r="EX10" s="277"/>
      <c r="EY10" s="277"/>
      <c r="EZ10" s="277"/>
      <c r="FA10" s="277"/>
      <c r="FB10" s="277"/>
      <c r="FC10" s="277"/>
      <c r="FD10" s="277"/>
      <c r="FE10" s="277"/>
      <c r="FF10" s="277"/>
      <c r="FG10" s="277"/>
      <c r="FH10" s="277"/>
      <c r="FI10" s="277"/>
      <c r="FJ10" s="277"/>
      <c r="FK10" s="277"/>
      <c r="FL10" s="277"/>
      <c r="FM10" s="277"/>
      <c r="FN10" s="277"/>
      <c r="FO10" s="277"/>
      <c r="FP10" s="277"/>
      <c r="FQ10" s="277"/>
      <c r="FR10" s="277"/>
      <c r="FS10" s="277"/>
      <c r="FT10" s="277"/>
      <c r="FU10" s="277"/>
      <c r="FV10" s="277"/>
      <c r="FW10" s="277"/>
      <c r="FX10" s="277"/>
      <c r="FY10" s="277"/>
      <c r="FZ10" s="277"/>
      <c r="GA10" s="277"/>
      <c r="GB10" s="277"/>
      <c r="GC10" s="277"/>
      <c r="GD10" s="277"/>
      <c r="GE10" s="277"/>
      <c r="GF10" s="277"/>
      <c r="GG10" s="277"/>
      <c r="GH10" s="277"/>
      <c r="GI10" s="277"/>
      <c r="GJ10" s="277"/>
      <c r="GK10" s="277"/>
      <c r="GL10" s="277"/>
      <c r="GM10" s="277"/>
      <c r="GN10" s="277"/>
      <c r="GO10" s="277"/>
      <c r="GP10" s="277"/>
      <c r="GQ10" s="277"/>
      <c r="GR10" s="277"/>
      <c r="GS10" s="277"/>
      <c r="GT10" s="277"/>
      <c r="GU10" s="277"/>
      <c r="GV10" s="277"/>
      <c r="GW10" s="277"/>
      <c r="GX10" s="277"/>
      <c r="GY10" s="277"/>
      <c r="GZ10" s="277"/>
      <c r="HA10" s="277"/>
      <c r="HB10" s="277"/>
      <c r="HC10" s="277"/>
      <c r="HD10" s="277"/>
      <c r="HE10" s="277"/>
      <c r="HF10" s="277"/>
      <c r="HG10" s="277"/>
      <c r="HH10" s="277"/>
      <c r="HI10" s="277"/>
      <c r="HJ10" s="277"/>
      <c r="HK10" s="277"/>
      <c r="HL10" s="277"/>
      <c r="HM10" s="277"/>
      <c r="HN10" s="277"/>
      <c r="HO10" s="277"/>
      <c r="HP10" s="277"/>
      <c r="HQ10" s="277"/>
      <c r="HR10" s="277"/>
      <c r="HS10" s="277"/>
      <c r="HT10" s="277"/>
      <c r="HU10" s="277"/>
      <c r="HV10" s="277"/>
      <c r="HW10" s="277"/>
      <c r="HX10" s="277"/>
      <c r="HY10" s="277"/>
      <c r="HZ10" s="277"/>
      <c r="IA10" s="277"/>
      <c r="IB10" s="277"/>
      <c r="IC10" s="277"/>
      <c r="ID10" s="277"/>
      <c r="IE10" s="277"/>
      <c r="IF10" s="277"/>
      <c r="IG10" s="277"/>
      <c r="IH10" s="277"/>
      <c r="II10" s="277"/>
      <c r="IJ10" s="277"/>
      <c r="IK10" s="277"/>
      <c r="IL10" s="277"/>
      <c r="IM10" s="277"/>
      <c r="IN10" s="277"/>
      <c r="IO10" s="277"/>
      <c r="IP10" s="277"/>
      <c r="IQ10" s="277"/>
      <c r="IR10" s="277"/>
      <c r="IS10" s="277"/>
      <c r="IT10" s="277"/>
      <c r="IU10" s="277"/>
      <c r="IV10" s="277"/>
      <c r="IW10" s="277"/>
      <c r="IX10" s="277"/>
      <c r="IY10" s="277"/>
      <c r="IZ10" s="277"/>
      <c r="JA10" s="277"/>
      <c r="JB10" s="277"/>
      <c r="JC10" s="277"/>
      <c r="JD10" s="277"/>
      <c r="JE10" s="277"/>
      <c r="JF10" s="277"/>
      <c r="JG10" s="277"/>
      <c r="JH10" s="277"/>
      <c r="JI10" s="277"/>
      <c r="JJ10" s="277"/>
      <c r="JK10" s="277"/>
      <c r="JL10" s="277"/>
      <c r="JM10" s="277"/>
      <c r="JN10" s="277"/>
      <c r="JO10" s="277"/>
      <c r="JP10" s="277"/>
      <c r="JQ10" s="277"/>
      <c r="JR10" s="277"/>
      <c r="JS10" s="277"/>
      <c r="JT10" s="277"/>
      <c r="JU10" s="277"/>
      <c r="JV10" s="277"/>
      <c r="JW10" s="277"/>
      <c r="JX10" s="277"/>
      <c r="JY10" s="277"/>
      <c r="JZ10" s="277"/>
      <c r="KA10" s="277"/>
      <c r="KB10" s="277"/>
      <c r="KC10" s="277"/>
      <c r="KD10" s="277"/>
      <c r="KE10" s="277"/>
      <c r="KF10" s="277"/>
      <c r="KG10" s="277"/>
      <c r="KH10" s="277"/>
      <c r="KI10" s="277"/>
      <c r="KJ10" s="277"/>
      <c r="KK10" s="277"/>
      <c r="KL10" s="277"/>
      <c r="KM10" s="277"/>
      <c r="KN10" s="277"/>
      <c r="KO10" s="277"/>
      <c r="KP10" s="277"/>
      <c r="KQ10" s="277"/>
      <c r="KR10" s="277"/>
      <c r="KS10" s="277"/>
      <c r="KT10" s="277"/>
      <c r="KU10" s="277"/>
      <c r="KV10" s="277"/>
      <c r="KW10" s="277"/>
      <c r="KX10" s="277"/>
      <c r="KY10" s="277"/>
      <c r="KZ10" s="277"/>
      <c r="LA10" s="277"/>
      <c r="LB10" s="277"/>
      <c r="LC10" s="277"/>
      <c r="LD10" s="277"/>
      <c r="LE10" s="277"/>
      <c r="LF10" s="277"/>
      <c r="LG10" s="277"/>
      <c r="LH10" s="277"/>
      <c r="LI10" s="277"/>
      <c r="LJ10" s="277"/>
      <c r="LK10" s="277"/>
      <c r="LL10" s="277"/>
      <c r="LM10" s="277"/>
      <c r="LN10" s="277"/>
      <c r="LO10" s="277"/>
      <c r="LP10" s="277"/>
      <c r="LQ10" s="277"/>
      <c r="LR10" s="277"/>
      <c r="LS10" s="277"/>
      <c r="LT10" s="277"/>
      <c r="LU10" s="277"/>
      <c r="LV10" s="277"/>
      <c r="LW10" s="277"/>
      <c r="LX10" s="277"/>
      <c r="LY10" s="277"/>
      <c r="LZ10" s="277"/>
      <c r="MA10" s="277"/>
      <c r="MB10" s="277"/>
      <c r="MC10" s="277"/>
      <c r="MD10" s="277"/>
      <c r="ME10" s="277"/>
      <c r="MF10" s="277"/>
      <c r="MG10" s="277"/>
      <c r="MH10" s="277"/>
      <c r="MI10" s="277"/>
      <c r="MJ10" s="277"/>
      <c r="MK10" s="277"/>
      <c r="ML10" s="277"/>
      <c r="MM10" s="277"/>
      <c r="MN10" s="277"/>
      <c r="MO10" s="277"/>
      <c r="MP10" s="277"/>
      <c r="MQ10" s="277"/>
      <c r="MR10" s="277"/>
      <c r="MS10" s="277"/>
      <c r="MT10" s="277"/>
      <c r="MU10" s="277"/>
      <c r="MV10" s="278"/>
      <c r="MW10" s="277"/>
      <c r="MX10" s="277"/>
      <c r="MY10" s="277"/>
      <c r="MZ10" s="277"/>
      <c r="NA10" s="277"/>
      <c r="NB10" s="277"/>
      <c r="NC10" s="277"/>
      <c r="ND10" s="277"/>
      <c r="NE10" s="277"/>
      <c r="NF10" s="277"/>
      <c r="NG10" s="277"/>
      <c r="NH10" s="277"/>
      <c r="NI10" s="277"/>
      <c r="NJ10" s="277"/>
      <c r="NK10" s="277"/>
      <c r="NL10" s="277"/>
      <c r="NM10" s="277"/>
      <c r="NN10" s="277"/>
      <c r="NO10" s="277"/>
      <c r="NP10" s="277"/>
      <c r="NQ10" s="277"/>
      <c r="NR10" s="277"/>
      <c r="NS10" s="277"/>
      <c r="NT10" s="277"/>
      <c r="NU10" s="277"/>
      <c r="NV10" s="277"/>
      <c r="NW10" s="277"/>
      <c r="NX10" s="277"/>
      <c r="NY10" s="277"/>
      <c r="NZ10" s="277"/>
      <c r="OA10" s="277"/>
      <c r="OB10" s="277"/>
      <c r="OC10" s="277"/>
      <c r="OD10" s="277"/>
      <c r="OE10" s="277"/>
      <c r="OF10" s="277"/>
      <c r="OG10" s="277"/>
      <c r="OH10" s="277"/>
      <c r="OI10" s="277"/>
      <c r="OJ10" s="277"/>
      <c r="OK10" s="277"/>
      <c r="OL10" s="277"/>
      <c r="OM10" s="277"/>
      <c r="ON10" s="277"/>
      <c r="OO10" s="277"/>
      <c r="OP10" s="277"/>
      <c r="OQ10" s="277"/>
      <c r="OR10" s="277"/>
      <c r="OS10" s="277"/>
      <c r="OT10" s="277"/>
      <c r="OU10" s="277"/>
      <c r="OV10" s="277"/>
      <c r="OW10" s="277"/>
      <c r="OX10" s="277"/>
      <c r="OY10" s="277"/>
      <c r="OZ10" s="277"/>
      <c r="PA10" s="277"/>
      <c r="PB10" s="277"/>
      <c r="PC10" s="277"/>
      <c r="PD10" s="277"/>
      <c r="PE10" s="277"/>
      <c r="PF10" s="277"/>
      <c r="PG10" s="277"/>
      <c r="PH10" s="277"/>
      <c r="PI10" s="277"/>
      <c r="PJ10" s="277"/>
      <c r="PK10" s="277"/>
      <c r="PL10" s="277"/>
      <c r="PM10" s="277"/>
      <c r="PN10" s="277"/>
      <c r="PO10" s="277"/>
      <c r="PP10" s="277"/>
      <c r="PQ10" s="277"/>
      <c r="PR10" s="277"/>
      <c r="PS10" s="277"/>
      <c r="PT10" s="277"/>
      <c r="PU10" s="277"/>
      <c r="PV10" s="277"/>
      <c r="PW10" s="277"/>
      <c r="PX10" s="277"/>
      <c r="PY10" s="277"/>
      <c r="PZ10" s="277"/>
      <c r="QA10" s="277"/>
      <c r="QB10" s="277"/>
      <c r="QC10" s="277"/>
      <c r="QD10" s="277"/>
      <c r="QE10" s="277"/>
      <c r="QF10" s="277"/>
      <c r="QG10" s="277"/>
      <c r="QH10" s="277"/>
      <c r="QI10" s="277"/>
      <c r="QJ10" s="277"/>
      <c r="QK10" s="277"/>
      <c r="QL10" s="277"/>
      <c r="QM10" s="277"/>
      <c r="QN10" s="277"/>
      <c r="QO10" s="277"/>
      <c r="QP10" s="277"/>
      <c r="QQ10" s="277"/>
      <c r="QR10" s="277"/>
      <c r="QS10" s="277"/>
      <c r="QT10" s="277"/>
      <c r="QU10" s="277"/>
      <c r="QV10" s="277"/>
      <c r="QW10" s="277"/>
      <c r="QX10" s="277"/>
      <c r="QY10" s="277"/>
      <c r="QZ10" s="277"/>
      <c r="RA10" s="277"/>
      <c r="RB10" s="277"/>
      <c r="RC10" s="277"/>
      <c r="RD10" s="277"/>
      <c r="RE10" s="277"/>
      <c r="RF10" s="277"/>
      <c r="RG10" s="277"/>
      <c r="RH10" s="277"/>
      <c r="RI10" s="277"/>
      <c r="RJ10" s="277"/>
      <c r="RK10" s="277"/>
      <c r="RL10" s="277"/>
      <c r="RM10" s="277"/>
      <c r="RN10" s="277"/>
      <c r="RO10" s="277"/>
      <c r="RP10" s="277"/>
      <c r="RQ10" s="277"/>
      <c r="RR10" s="277"/>
      <c r="RS10" s="277"/>
      <c r="RT10" s="277"/>
      <c r="RU10" s="277"/>
      <c r="RV10" s="277"/>
      <c r="RW10" s="277"/>
      <c r="RX10" s="277"/>
      <c r="RY10" s="277"/>
      <c r="RZ10" s="277"/>
      <c r="SA10" s="277"/>
      <c r="SB10" s="277"/>
      <c r="SC10" s="277"/>
      <c r="SD10" s="277"/>
      <c r="SE10" s="277"/>
      <c r="SF10" s="277"/>
      <c r="SG10" s="277"/>
      <c r="SH10" s="277"/>
      <c r="SI10" s="277"/>
      <c r="SJ10" s="277"/>
      <c r="SK10" s="277"/>
      <c r="SL10" s="277"/>
      <c r="SM10" s="277"/>
      <c r="SN10" s="277"/>
      <c r="SO10" s="277"/>
      <c r="SP10" s="277"/>
      <c r="SQ10" s="277"/>
      <c r="SR10" s="277"/>
      <c r="SS10" s="277"/>
      <c r="ST10" s="277"/>
      <c r="SU10" s="277"/>
      <c r="SV10" s="277"/>
      <c r="SW10" s="277"/>
      <c r="SX10" s="277"/>
      <c r="SY10" s="277"/>
      <c r="SZ10" s="277"/>
      <c r="TA10" s="277"/>
      <c r="TB10" s="277"/>
      <c r="TC10" s="277"/>
      <c r="TD10" s="277"/>
      <c r="TE10" s="277"/>
      <c r="TF10" s="277"/>
      <c r="TG10" s="277"/>
      <c r="TH10" s="277"/>
      <c r="TI10" s="277"/>
      <c r="TJ10" s="277"/>
      <c r="TK10" s="277"/>
      <c r="TL10" s="277"/>
      <c r="TM10" s="277"/>
      <c r="TN10" s="277"/>
      <c r="TO10" s="277"/>
      <c r="TP10" s="277"/>
      <c r="TQ10" s="277"/>
      <c r="TR10" s="277"/>
      <c r="TS10" s="277"/>
      <c r="TT10" s="277"/>
      <c r="TU10" s="277"/>
      <c r="TV10" s="277"/>
      <c r="TW10" s="277"/>
      <c r="TX10" s="277"/>
      <c r="TY10" s="277"/>
      <c r="TZ10" s="277"/>
      <c r="UA10" s="277"/>
      <c r="UB10" s="277"/>
      <c r="UC10" s="277"/>
      <c r="UD10" s="277"/>
      <c r="UE10" s="277"/>
      <c r="UF10" s="277"/>
      <c r="UG10" s="277"/>
      <c r="UH10" s="277"/>
      <c r="UI10" s="277"/>
      <c r="UJ10" s="277"/>
      <c r="UK10" s="277"/>
      <c r="UL10" s="277"/>
      <c r="UM10" s="277"/>
      <c r="UN10" s="277"/>
      <c r="UO10" s="277"/>
      <c r="UP10" s="277"/>
      <c r="UQ10" s="277"/>
      <c r="UR10" s="277"/>
      <c r="US10" s="277"/>
      <c r="UT10" s="277"/>
      <c r="UU10" s="277"/>
      <c r="UV10" s="277"/>
      <c r="UW10" s="277"/>
      <c r="UX10" s="277"/>
      <c r="UY10" s="277"/>
      <c r="UZ10" s="277"/>
      <c r="VA10" s="277"/>
      <c r="VB10" s="277"/>
      <c r="VC10" s="277"/>
      <c r="VD10" s="277"/>
      <c r="VE10" s="277"/>
      <c r="VF10" s="277"/>
      <c r="VG10" s="277"/>
      <c r="VH10" s="277"/>
      <c r="VI10" s="277"/>
      <c r="VJ10" s="277"/>
      <c r="VK10" s="277"/>
      <c r="VL10" s="277"/>
      <c r="VM10" s="277"/>
      <c r="VN10" s="277"/>
      <c r="VO10" s="277"/>
      <c r="VP10" s="277"/>
      <c r="VQ10" s="277"/>
      <c r="VR10" s="277"/>
      <c r="VS10" s="277"/>
      <c r="VT10" s="277"/>
      <c r="VU10" s="277"/>
      <c r="VV10" s="277"/>
      <c r="VW10" s="277"/>
      <c r="VX10" s="277"/>
      <c r="VY10" s="277"/>
      <c r="VZ10" s="277"/>
      <c r="WA10" s="277"/>
      <c r="WB10" s="277"/>
      <c r="WC10" s="277"/>
      <c r="WD10" s="277"/>
      <c r="WE10" s="277"/>
      <c r="WF10" s="277"/>
      <c r="WG10" s="277"/>
      <c r="WH10" s="277"/>
      <c r="WI10" s="277"/>
      <c r="WJ10" s="277"/>
      <c r="WK10" s="277"/>
      <c r="WL10" s="277"/>
      <c r="WM10" s="277"/>
      <c r="WN10" s="277"/>
      <c r="WO10" s="277"/>
      <c r="WP10" s="277"/>
      <c r="WQ10" s="277"/>
      <c r="WR10" s="277"/>
      <c r="WS10" s="277"/>
      <c r="WT10" s="277"/>
      <c r="WU10" s="277"/>
      <c r="WV10" s="277"/>
      <c r="WW10" s="277"/>
      <c r="WX10" s="277"/>
      <c r="WY10" s="277"/>
      <c r="WZ10" s="277"/>
      <c r="XA10" s="277"/>
      <c r="XB10" s="277"/>
      <c r="XC10" s="277"/>
      <c r="XD10" s="277"/>
      <c r="XE10" s="277"/>
      <c r="XF10" s="277"/>
      <c r="XG10" s="277"/>
      <c r="XH10" s="277"/>
      <c r="XI10" s="277"/>
      <c r="XJ10" s="277"/>
      <c r="XK10" s="277"/>
      <c r="XL10" s="277"/>
      <c r="XM10" s="277"/>
      <c r="XN10" s="277"/>
      <c r="XO10" s="277"/>
      <c r="XP10" s="277"/>
      <c r="XQ10" s="277"/>
      <c r="XR10" s="277"/>
      <c r="XS10" s="277"/>
      <c r="XT10" s="277"/>
      <c r="XU10" s="277"/>
      <c r="XV10" s="277"/>
      <c r="XW10" s="277"/>
      <c r="XX10" s="277"/>
      <c r="XY10" s="277"/>
      <c r="XZ10" s="277"/>
      <c r="YA10" s="277"/>
      <c r="YB10" s="277"/>
      <c r="YC10" s="277"/>
      <c r="YD10" s="277"/>
      <c r="YE10" s="277"/>
      <c r="YF10" s="277"/>
      <c r="YG10" s="277"/>
      <c r="YH10" s="277"/>
      <c r="YI10" s="277"/>
      <c r="YJ10" s="277"/>
      <c r="YK10" s="277"/>
      <c r="YL10" s="277"/>
      <c r="YM10" s="277"/>
      <c r="YN10" s="277"/>
      <c r="YO10" s="277"/>
      <c r="YP10" s="277"/>
      <c r="YQ10" s="277"/>
      <c r="YR10" s="277"/>
      <c r="YS10" s="277"/>
      <c r="YT10" s="277"/>
      <c r="YU10" s="277"/>
      <c r="YV10" s="277"/>
      <c r="YW10" s="277"/>
      <c r="YX10" s="277"/>
      <c r="YY10" s="277"/>
      <c r="YZ10" s="277"/>
      <c r="ZA10" s="277"/>
      <c r="ZB10" s="277"/>
      <c r="ZC10" s="277"/>
      <c r="ZD10" s="277"/>
      <c r="ZE10" s="277"/>
      <c r="ZF10" s="277"/>
      <c r="ZG10" s="277"/>
      <c r="ZH10" s="277"/>
      <c r="ZI10" s="277"/>
      <c r="ZJ10" s="277"/>
      <c r="ZK10" s="277"/>
      <c r="ZL10" s="277"/>
      <c r="ZM10" s="277"/>
      <c r="ZN10" s="277"/>
      <c r="ZO10" s="277"/>
      <c r="ZP10" s="277"/>
      <c r="ZQ10" s="277"/>
      <c r="ZR10" s="277"/>
      <c r="ZS10" s="277"/>
      <c r="ZT10" s="277"/>
      <c r="ZU10" s="277"/>
      <c r="ZV10" s="277"/>
      <c r="ZW10" s="277"/>
      <c r="ZX10" s="277"/>
      <c r="ZY10" s="277"/>
      <c r="ZZ10" s="277"/>
      <c r="AAA10" s="277"/>
      <c r="AAB10" s="277"/>
      <c r="AAC10" s="277"/>
      <c r="AAD10" s="277"/>
      <c r="AAE10" s="277"/>
      <c r="AAF10" s="277"/>
      <c r="AAG10" s="277"/>
      <c r="AAH10" s="277"/>
      <c r="AAI10" s="277"/>
      <c r="AAJ10" s="277"/>
      <c r="AAK10" s="277"/>
      <c r="AAL10" s="277"/>
      <c r="AAM10" s="277"/>
      <c r="AAN10" s="277"/>
      <c r="AAO10" s="277"/>
      <c r="AAP10" s="277"/>
      <c r="AAQ10" s="277"/>
      <c r="AAR10" s="277"/>
      <c r="AAS10" s="277"/>
      <c r="AAT10" s="277"/>
      <c r="AAU10" s="277"/>
      <c r="AAV10" s="277"/>
      <c r="AAW10" s="277"/>
      <c r="AAX10" s="277"/>
      <c r="AAY10" s="277"/>
      <c r="AAZ10" s="277"/>
      <c r="ABA10" s="277"/>
      <c r="ABB10" s="277"/>
      <c r="ABC10" s="277"/>
      <c r="ABD10" s="277"/>
      <c r="ABE10" s="277"/>
      <c r="ABF10" s="277"/>
      <c r="ABG10" s="277"/>
      <c r="ABH10" s="277"/>
      <c r="ABI10" s="277"/>
      <c r="ABJ10" s="277"/>
      <c r="ABK10" s="277"/>
      <c r="ABL10" s="277"/>
      <c r="ABM10" s="277"/>
      <c r="ABN10" s="277"/>
      <c r="ABO10" s="277"/>
      <c r="ABP10" s="277"/>
      <c r="ABQ10" s="277"/>
      <c r="ABR10" s="277"/>
      <c r="ABS10" s="277"/>
      <c r="ABT10" s="277"/>
      <c r="ABU10" s="277"/>
      <c r="ABV10" s="277"/>
      <c r="ABW10" s="277"/>
      <c r="ABX10" s="277"/>
      <c r="ABY10" s="277"/>
      <c r="ABZ10" s="277"/>
      <c r="ACA10" s="277"/>
      <c r="ACB10" s="277"/>
      <c r="ACC10" s="277"/>
      <c r="ACD10" s="277"/>
      <c r="ACE10" s="277"/>
      <c r="ACF10" s="277"/>
      <c r="ACG10" s="277"/>
      <c r="ACH10" s="277"/>
      <c r="ACI10" s="277"/>
      <c r="ACJ10" s="277"/>
      <c r="ACK10" s="277"/>
      <c r="ACL10" s="277"/>
      <c r="ACM10" s="277"/>
      <c r="ACN10" s="277"/>
      <c r="ACO10" s="277"/>
      <c r="ACP10" s="277"/>
      <c r="ACQ10" s="277"/>
      <c r="ACR10" s="277"/>
      <c r="ACS10" s="277"/>
      <c r="ACT10" s="277"/>
      <c r="ACU10" s="277"/>
      <c r="ACV10" s="277"/>
      <c r="ACW10" s="277"/>
      <c r="ACX10" s="277"/>
      <c r="ACY10" s="277"/>
      <c r="ACZ10" s="277"/>
      <c r="ADA10" s="277"/>
      <c r="ADB10" s="277"/>
      <c r="ADC10" s="277"/>
      <c r="ADD10" s="277"/>
      <c r="ADE10" s="277"/>
      <c r="ADF10" s="277"/>
      <c r="ADG10" s="277"/>
      <c r="ADH10" s="277"/>
      <c r="ADI10" s="277"/>
      <c r="ADJ10" s="277"/>
      <c r="ADK10" s="277"/>
      <c r="ADL10" s="277"/>
      <c r="ADM10" s="277"/>
      <c r="ADN10" s="277"/>
      <c r="ADO10" s="277"/>
      <c r="ADP10" s="277"/>
      <c r="ADQ10" s="277"/>
      <c r="ADR10" s="277"/>
      <c r="ADS10" s="277"/>
      <c r="ADT10" s="277"/>
      <c r="ADU10" s="277"/>
      <c r="ADV10" s="277"/>
      <c r="ADW10" s="277"/>
      <c r="ADX10" s="277"/>
      <c r="ADY10" s="277"/>
      <c r="ADZ10" s="277"/>
      <c r="AEA10" s="277"/>
      <c r="AEB10" s="277"/>
      <c r="AEC10" s="277"/>
      <c r="AED10" s="277"/>
      <c r="AEE10" s="277"/>
      <c r="AEF10" s="277"/>
      <c r="AEG10" s="277"/>
      <c r="AEH10" s="277"/>
      <c r="AEI10" s="277"/>
      <c r="AEJ10" s="277"/>
      <c r="AEK10" s="277"/>
      <c r="AEL10" s="277"/>
      <c r="AEM10" s="277"/>
      <c r="AEN10" s="277"/>
      <c r="AEO10" s="277"/>
      <c r="AEP10" s="277"/>
      <c r="AEQ10" s="277"/>
      <c r="AER10" s="277"/>
      <c r="AES10" s="277"/>
      <c r="AET10" s="277"/>
      <c r="AEU10" s="277"/>
      <c r="AEV10" s="277"/>
      <c r="AEW10" s="277"/>
      <c r="AEX10" s="277"/>
      <c r="AEY10" s="277"/>
      <c r="AEZ10" s="277"/>
      <c r="AFA10" s="277"/>
      <c r="AFB10" s="277"/>
      <c r="AFC10" s="277"/>
      <c r="AFD10" s="277"/>
      <c r="AFE10" s="277"/>
      <c r="AFF10" s="277"/>
      <c r="AFG10" s="277"/>
      <c r="AFH10" s="277"/>
      <c r="AFI10" s="277"/>
      <c r="AFJ10" s="277"/>
      <c r="AFK10" s="277"/>
      <c r="AFL10" s="277"/>
      <c r="AFM10" s="277"/>
      <c r="AFN10" s="277"/>
      <c r="AFO10" s="277"/>
      <c r="AFP10" s="277"/>
      <c r="AFQ10" s="277"/>
      <c r="AFR10" s="277"/>
      <c r="AFS10" s="277"/>
      <c r="AFT10" s="277"/>
      <c r="AFU10" s="277"/>
      <c r="AFV10" s="277"/>
      <c r="AFW10" s="277"/>
      <c r="AFX10" s="277"/>
      <c r="AFY10" s="277"/>
      <c r="AFZ10" s="277"/>
      <c r="AGA10" s="277"/>
      <c r="AGB10" s="277"/>
      <c r="AGC10" s="277"/>
      <c r="AGD10" s="277"/>
      <c r="AGE10" s="277"/>
      <c r="AGF10" s="277"/>
      <c r="AGG10" s="277"/>
      <c r="AGH10" s="277"/>
      <c r="AGI10" s="277"/>
      <c r="AGJ10" s="277"/>
      <c r="AGK10" s="277"/>
      <c r="AGL10" s="277"/>
      <c r="AGM10" s="277"/>
      <c r="AGN10" s="277"/>
      <c r="AGO10" s="277"/>
      <c r="AGP10" s="277"/>
      <c r="AGQ10" s="277"/>
      <c r="AGR10" s="277"/>
      <c r="AGS10" s="277"/>
      <c r="AGT10" s="277"/>
      <c r="AGU10" s="277"/>
      <c r="AGV10" s="277"/>
      <c r="AGW10" s="277"/>
      <c r="AGX10" s="277"/>
      <c r="AGY10" s="277"/>
      <c r="AGZ10" s="277"/>
      <c r="AHA10" s="277"/>
      <c r="AHB10" s="277"/>
      <c r="AHC10" s="277"/>
      <c r="AHD10" s="277"/>
      <c r="AHE10" s="277"/>
      <c r="AHF10" s="277"/>
      <c r="AHG10" s="277"/>
      <c r="AHH10" s="277"/>
      <c r="AHI10" s="277"/>
      <c r="AHJ10" s="277"/>
      <c r="AHK10" s="277"/>
      <c r="AHL10" s="277"/>
      <c r="AHM10" s="277"/>
      <c r="AHN10" s="277"/>
      <c r="AHO10" s="277"/>
      <c r="AHP10" s="277"/>
      <c r="AHQ10" s="277"/>
      <c r="AHR10" s="277"/>
      <c r="AHS10" s="277"/>
      <c r="AHT10" s="277"/>
      <c r="AHU10" s="277"/>
      <c r="AHV10" s="277"/>
      <c r="AHW10" s="277"/>
      <c r="AHX10" s="277"/>
      <c r="AHY10" s="277"/>
      <c r="AHZ10" s="277"/>
      <c r="AIA10" s="277"/>
      <c r="AIB10" s="277"/>
      <c r="AIC10" s="277"/>
      <c r="AID10" s="277"/>
      <c r="AIE10" s="277"/>
      <c r="AIF10" s="277"/>
      <c r="AIG10" s="277"/>
      <c r="AIH10" s="277"/>
      <c r="AII10" s="277"/>
      <c r="AIJ10" s="277"/>
      <c r="AIK10" s="277"/>
      <c r="AIL10" s="277"/>
      <c r="AIM10" s="277"/>
      <c r="AIN10" s="277"/>
      <c r="AIO10" s="277"/>
      <c r="AIP10" s="277"/>
      <c r="AIQ10" s="277"/>
      <c r="AIR10" s="277"/>
      <c r="AIS10" s="277"/>
      <c r="AIT10" s="277"/>
      <c r="AIU10" s="277"/>
      <c r="AIV10" s="277"/>
      <c r="AIW10" s="277"/>
      <c r="AIX10" s="277"/>
      <c r="AIY10" s="277"/>
      <c r="AIZ10" s="277"/>
      <c r="AJA10" s="277"/>
      <c r="AJB10" s="277"/>
      <c r="AJC10" s="277"/>
      <c r="AJD10" s="277"/>
      <c r="AJE10" s="277"/>
      <c r="AJF10" s="277"/>
      <c r="AJG10" s="277"/>
      <c r="AJH10" s="277"/>
      <c r="AJI10" s="277"/>
      <c r="AJJ10" s="277"/>
      <c r="AJK10" s="277"/>
      <c r="AJL10" s="277"/>
      <c r="AJM10" s="277"/>
      <c r="AJN10" s="277"/>
      <c r="AJO10" s="277"/>
      <c r="AJP10" s="277"/>
      <c r="AJQ10" s="277"/>
      <c r="AJR10" s="277"/>
      <c r="AJS10" s="277"/>
      <c r="AJT10" s="277"/>
      <c r="AJU10" s="277"/>
      <c r="AJV10" s="277"/>
      <c r="AJW10" s="277"/>
      <c r="AJX10" s="277"/>
      <c r="AJY10" s="277"/>
      <c r="AJZ10" s="277"/>
      <c r="AKA10" s="277"/>
      <c r="AKB10" s="277"/>
      <c r="AKC10" s="277"/>
      <c r="AKD10" s="277"/>
      <c r="AKE10" s="277"/>
      <c r="AKF10" s="277"/>
      <c r="AKG10" s="277"/>
      <c r="AKH10" s="277"/>
      <c r="AKI10" s="277"/>
      <c r="AKJ10" s="277"/>
      <c r="AKK10" s="277"/>
      <c r="AKL10" s="277"/>
      <c r="AKM10" s="277"/>
      <c r="AKN10" s="277"/>
      <c r="AKO10" s="277"/>
      <c r="AKP10" s="277"/>
      <c r="AKQ10" s="277"/>
      <c r="AKR10" s="277"/>
      <c r="AKS10" s="277"/>
      <c r="AKT10" s="277"/>
      <c r="AKU10" s="277"/>
      <c r="AKV10" s="277"/>
      <c r="AKW10" s="277"/>
      <c r="AKX10" s="277"/>
      <c r="AKY10" s="277"/>
      <c r="AKZ10" s="277"/>
      <c r="ALA10" s="277"/>
      <c r="ALB10" s="277"/>
      <c r="ALC10" s="277"/>
      <c r="ALD10" s="277"/>
      <c r="ALE10" s="277"/>
      <c r="ALF10" s="277"/>
      <c r="ALG10" s="277"/>
      <c r="ALH10" s="277"/>
      <c r="ALI10" s="277"/>
      <c r="ALJ10" s="277"/>
      <c r="ALK10" s="277"/>
      <c r="ALL10" s="277"/>
      <c r="ALM10" s="277"/>
      <c r="ALN10" s="277"/>
      <c r="ALO10" s="277"/>
      <c r="ALP10" s="277"/>
      <c r="ALQ10" s="277"/>
      <c r="ALR10" s="277"/>
      <c r="ALS10" s="277"/>
      <c r="ALT10" s="277"/>
      <c r="ALU10" s="277"/>
      <c r="ALV10" s="277"/>
      <c r="ALW10" s="277"/>
      <c r="ALX10" s="277"/>
      <c r="ALY10" s="277"/>
      <c r="ALZ10" s="277"/>
      <c r="AMA10" s="277"/>
      <c r="AMB10" s="277"/>
      <c r="AMC10" s="277"/>
      <c r="AMD10" s="277"/>
      <c r="AME10" s="277"/>
      <c r="AMF10" s="277"/>
      <c r="AMG10" s="277"/>
      <c r="AMH10" s="277"/>
      <c r="AMI10" s="277"/>
      <c r="AMJ10" s="277"/>
      <c r="AMK10" s="277"/>
      <c r="AML10" s="277"/>
      <c r="AMM10" s="277"/>
      <c r="AMN10" s="277"/>
      <c r="AMO10" s="277"/>
      <c r="AMP10" s="277"/>
      <c r="AMQ10" s="277"/>
      <c r="AMR10" s="277"/>
      <c r="AMS10" s="277"/>
      <c r="AMT10" s="277"/>
      <c r="AMU10" s="277"/>
      <c r="AMV10" s="277"/>
      <c r="AMW10" s="277"/>
      <c r="AMX10" s="277"/>
      <c r="AMY10" s="277"/>
      <c r="AMZ10" s="277"/>
      <c r="ANA10" s="277"/>
      <c r="ANB10" s="277"/>
      <c r="ANC10" s="277"/>
      <c r="AND10" s="277"/>
      <c r="ANE10" s="277"/>
      <c r="ANF10" s="277"/>
      <c r="ANG10" s="277"/>
      <c r="ANH10" s="277"/>
      <c r="ANI10" s="277"/>
      <c r="ANJ10" s="277"/>
      <c r="ANK10" s="277"/>
      <c r="ANL10" s="277"/>
      <c r="ANM10" s="277"/>
      <c r="ANN10" s="277"/>
      <c r="ANO10" s="277"/>
      <c r="ANP10" s="277"/>
      <c r="ANQ10" s="277"/>
      <c r="ANR10" s="277"/>
      <c r="ANS10" s="277"/>
      <c r="ANT10" s="277"/>
      <c r="ANU10" s="277"/>
      <c r="ANV10" s="277"/>
      <c r="ANW10" s="277"/>
      <c r="ANX10" s="277"/>
      <c r="ANY10" s="277"/>
      <c r="ANZ10" s="277"/>
      <c r="AOA10" s="277"/>
      <c r="AOB10" s="277"/>
      <c r="AOC10" s="277"/>
      <c r="AOD10" s="277"/>
      <c r="AOE10" s="277"/>
      <c r="AOF10" s="277"/>
      <c r="AOG10" s="277"/>
      <c r="AOH10" s="277"/>
      <c r="AOI10" s="277"/>
      <c r="AOJ10" s="277"/>
      <c r="AOK10" s="277"/>
      <c r="AOL10" s="277"/>
      <c r="AOM10" s="277"/>
      <c r="AON10" s="277"/>
      <c r="AOO10" s="277"/>
      <c r="AOP10" s="277"/>
      <c r="AOQ10" s="277"/>
      <c r="AOR10" s="277"/>
      <c r="AOS10" s="277"/>
      <c r="AOT10" s="277"/>
      <c r="AOU10" s="277"/>
      <c r="AOV10" s="277"/>
      <c r="AOW10" s="277"/>
      <c r="AOX10" s="277"/>
      <c r="AOY10" s="277"/>
      <c r="AOZ10" s="277"/>
      <c r="APA10" s="277"/>
      <c r="APB10" s="277"/>
      <c r="APC10" s="277"/>
      <c r="APD10" s="277"/>
      <c r="APE10" s="277"/>
      <c r="APF10" s="277"/>
      <c r="APG10" s="277"/>
      <c r="APH10" s="277"/>
      <c r="API10" s="277"/>
      <c r="APJ10" s="277"/>
      <c r="APK10" s="277"/>
      <c r="APL10" s="277"/>
      <c r="APM10" s="277"/>
      <c r="APN10" s="277"/>
      <c r="APO10" s="277"/>
      <c r="APP10" s="277"/>
      <c r="APQ10" s="277"/>
      <c r="APR10" s="277"/>
      <c r="APS10" s="277"/>
      <c r="APT10" s="277"/>
      <c r="APU10" s="277"/>
      <c r="APV10" s="277"/>
      <c r="APW10" s="277"/>
      <c r="APX10" s="277"/>
      <c r="APY10" s="277"/>
      <c r="APZ10" s="277"/>
      <c r="AQA10" s="277"/>
      <c r="AQB10" s="277"/>
      <c r="AQC10" s="277"/>
      <c r="AQD10" s="277"/>
      <c r="AQE10" s="277"/>
      <c r="AQF10" s="277"/>
      <c r="AQG10" s="277"/>
      <c r="AQH10" s="277"/>
      <c r="AQI10" s="277"/>
      <c r="AQJ10" s="277"/>
      <c r="AQK10" s="277"/>
      <c r="AQL10" s="277"/>
      <c r="AQM10" s="277"/>
      <c r="AQN10" s="277"/>
      <c r="AQO10" s="277"/>
      <c r="AQP10" s="277"/>
      <c r="AQQ10" s="277"/>
      <c r="AQR10" s="277"/>
      <c r="AQS10" s="277"/>
      <c r="AQT10" s="277"/>
      <c r="AQU10" s="277"/>
      <c r="AQV10" s="277"/>
      <c r="AQW10" s="277"/>
      <c r="AQX10" s="277"/>
      <c r="AQY10" s="277"/>
      <c r="AQZ10" s="277"/>
      <c r="ARA10" s="277"/>
      <c r="ARB10" s="277"/>
      <c r="ARC10" s="277"/>
      <c r="ARD10" s="277"/>
      <c r="ARE10" s="277"/>
      <c r="ARF10" s="277"/>
      <c r="ARG10" s="277"/>
      <c r="ARH10" s="277"/>
      <c r="ARI10" s="277"/>
      <c r="ARJ10" s="277"/>
      <c r="ARK10" s="277"/>
      <c r="ARL10" s="277"/>
      <c r="ARM10" s="277"/>
      <c r="ARN10" s="277"/>
      <c r="ARO10" s="277"/>
      <c r="ARP10" s="277"/>
      <c r="ARQ10" s="277"/>
      <c r="ARR10" s="277"/>
      <c r="ARS10" s="277"/>
      <c r="ART10" s="277"/>
      <c r="ARU10" s="277"/>
      <c r="ARV10" s="277"/>
      <c r="ARW10" s="277"/>
      <c r="ARX10" s="277"/>
      <c r="ARY10" s="277"/>
      <c r="ARZ10" s="277"/>
      <c r="ASA10" s="277"/>
      <c r="ASB10" s="277"/>
      <c r="ASC10" s="277"/>
      <c r="ASD10" s="277"/>
      <c r="ASE10" s="277"/>
      <c r="ASF10" s="277"/>
      <c r="ASG10" s="277"/>
      <c r="ASH10" s="277"/>
      <c r="ASI10" s="277"/>
      <c r="ASJ10" s="277"/>
      <c r="ASK10" s="277"/>
      <c r="ASL10" s="277"/>
      <c r="ASM10" s="277"/>
      <c r="ASN10" s="277"/>
      <c r="ASO10" s="277"/>
      <c r="ASP10" s="277"/>
      <c r="ASQ10" s="277"/>
      <c r="ASR10" s="277"/>
      <c r="ASS10" s="277"/>
      <c r="AST10" s="277"/>
      <c r="ASU10" s="277"/>
      <c r="ASV10" s="277"/>
      <c r="ASW10" s="277"/>
      <c r="ASX10" s="277"/>
      <c r="ASY10" s="277"/>
      <c r="ASZ10" s="277"/>
      <c r="ATA10" s="277"/>
      <c r="ATB10" s="277"/>
      <c r="ATC10" s="277"/>
      <c r="ATD10" s="277"/>
      <c r="ATE10" s="277"/>
      <c r="ATF10" s="277"/>
      <c r="ATG10" s="277"/>
      <c r="ATH10" s="277"/>
      <c r="ATI10" s="277"/>
      <c r="ATJ10" s="277"/>
      <c r="ATK10" s="277"/>
      <c r="ATL10" s="277"/>
      <c r="ATM10" s="277"/>
      <c r="ATN10" s="277"/>
      <c r="ATO10" s="277"/>
      <c r="ATP10" s="277"/>
      <c r="ATQ10" s="277"/>
      <c r="ATR10" s="277"/>
      <c r="ATS10" s="277"/>
      <c r="ATT10" s="277"/>
      <c r="ATU10" s="277"/>
      <c r="ATV10" s="277"/>
      <c r="ATW10" s="277"/>
      <c r="ATX10" s="277"/>
      <c r="ATY10" s="277"/>
      <c r="ATZ10" s="277"/>
      <c r="AUA10" s="277"/>
      <c r="AUB10" s="277"/>
      <c r="AUC10" s="277"/>
      <c r="AUD10" s="277"/>
      <c r="AUE10" s="277"/>
      <c r="AUF10" s="277"/>
      <c r="AUG10" s="277"/>
      <c r="AUH10" s="277"/>
      <c r="AUI10" s="277"/>
      <c r="AUJ10" s="277"/>
      <c r="AUK10" s="277"/>
      <c r="AUL10" s="277"/>
      <c r="AUM10" s="277"/>
      <c r="AUN10" s="277"/>
      <c r="AUO10" s="277"/>
      <c r="AUP10" s="277"/>
      <c r="AUQ10" s="277"/>
      <c r="AUR10" s="277"/>
      <c r="AUS10" s="277"/>
      <c r="AUT10" s="277"/>
      <c r="AUU10" s="277"/>
      <c r="AUV10" s="277"/>
      <c r="AUW10" s="277"/>
      <c r="AUX10" s="277"/>
      <c r="AUY10" s="277"/>
      <c r="AUZ10" s="277"/>
      <c r="AVA10" s="277"/>
      <c r="AVB10" s="277"/>
      <c r="AVC10" s="277"/>
      <c r="AVD10" s="277"/>
      <c r="AVE10" s="277"/>
      <c r="AVF10" s="277"/>
      <c r="AVG10" s="277"/>
      <c r="AVH10" s="277"/>
      <c r="AVI10" s="277"/>
      <c r="AVJ10" s="277"/>
      <c r="AVK10" s="277"/>
      <c r="AVL10" s="277"/>
      <c r="AVM10" s="277"/>
      <c r="AVN10" s="277"/>
      <c r="AVO10" s="277"/>
      <c r="AVP10" s="277"/>
      <c r="AVQ10" s="277"/>
      <c r="AVR10" s="277"/>
      <c r="AVS10" s="277"/>
      <c r="AVT10" s="277"/>
      <c r="AVU10" s="277"/>
      <c r="AVV10" s="277"/>
      <c r="AVW10" s="277"/>
      <c r="AVX10" s="277"/>
      <c r="AVY10" s="277"/>
      <c r="AVZ10" s="277"/>
      <c r="AWA10" s="277"/>
      <c r="AWB10" s="277"/>
      <c r="AWC10" s="277"/>
      <c r="AWD10" s="277"/>
      <c r="AWE10" s="277"/>
      <c r="AWF10" s="277"/>
      <c r="AWG10" s="277"/>
      <c r="AWH10" s="277"/>
      <c r="AWI10" s="277"/>
      <c r="AWJ10" s="277"/>
      <c r="AWK10" s="277"/>
      <c r="AWL10" s="277"/>
      <c r="AWM10" s="277"/>
      <c r="AWN10" s="277"/>
      <c r="AWO10" s="277"/>
      <c r="AWP10" s="277"/>
      <c r="AWQ10" s="277"/>
      <c r="AWR10" s="277"/>
      <c r="AWS10" s="277"/>
      <c r="AWT10" s="277"/>
      <c r="AWU10" s="277"/>
      <c r="AWV10" s="277"/>
      <c r="AWW10" s="277"/>
      <c r="AWX10" s="277"/>
      <c r="AWY10" s="277"/>
      <c r="AWZ10" s="277"/>
      <c r="AXA10" s="277"/>
      <c r="AXB10" s="277"/>
      <c r="AXC10" s="277"/>
      <c r="AXD10" s="277"/>
      <c r="AXE10" s="277"/>
      <c r="AXF10" s="277"/>
      <c r="AXG10" s="277"/>
      <c r="AXH10" s="277"/>
      <c r="AXI10" s="277"/>
      <c r="AXJ10" s="277"/>
      <c r="AXK10" s="277"/>
      <c r="AXL10" s="277"/>
      <c r="AXM10" s="277"/>
      <c r="AXN10" s="277"/>
      <c r="AXO10" s="277"/>
      <c r="AXP10" s="277"/>
      <c r="AXQ10" s="277"/>
      <c r="AXR10" s="277"/>
      <c r="AXS10" s="277"/>
      <c r="AXT10" s="277"/>
      <c r="AXU10" s="277"/>
      <c r="AXV10" s="277"/>
      <c r="AXW10" s="277"/>
      <c r="AXX10" s="277"/>
      <c r="AXY10" s="277"/>
      <c r="AXZ10" s="277"/>
      <c r="AYA10" s="277"/>
      <c r="AYB10" s="277"/>
      <c r="AYC10" s="277"/>
      <c r="AYD10" s="277"/>
      <c r="AYE10" s="277"/>
      <c r="AYF10" s="277"/>
      <c r="AYG10" s="277"/>
      <c r="AYH10" s="277"/>
      <c r="AYI10" s="277"/>
      <c r="AYJ10" s="277"/>
      <c r="AYK10" s="277"/>
      <c r="AYL10" s="277"/>
      <c r="AYM10" s="277"/>
      <c r="AYN10" s="277"/>
      <c r="AYO10" s="277"/>
      <c r="AYP10" s="277"/>
      <c r="AYQ10" s="277"/>
      <c r="AYR10" s="277"/>
      <c r="AYS10" s="277"/>
      <c r="AYT10" s="277"/>
      <c r="AYU10" s="277"/>
      <c r="AYV10" s="277"/>
      <c r="AYW10" s="277"/>
      <c r="AYX10" s="277"/>
      <c r="AYY10" s="277"/>
      <c r="AYZ10" s="277"/>
      <c r="AZA10" s="277"/>
      <c r="AZB10" s="277"/>
      <c r="AZC10" s="277"/>
      <c r="AZD10" s="277"/>
      <c r="AZE10" s="277"/>
      <c r="AZF10" s="277"/>
      <c r="AZG10" s="277"/>
      <c r="AZH10" s="277"/>
      <c r="AZI10" s="277"/>
      <c r="AZJ10" s="277"/>
      <c r="AZK10" s="277"/>
      <c r="AZL10" s="277"/>
      <c r="AZM10" s="277"/>
      <c r="AZN10" s="277"/>
      <c r="AZO10" s="277"/>
      <c r="AZP10" s="277"/>
      <c r="AZQ10" s="277"/>
      <c r="AZR10" s="277"/>
      <c r="AZS10" s="277"/>
      <c r="AZT10" s="277"/>
      <c r="AZU10" s="277"/>
      <c r="AZV10" s="277"/>
      <c r="AZW10" s="277"/>
      <c r="AZX10" s="277"/>
      <c r="AZY10" s="277"/>
      <c r="AZZ10" s="277"/>
      <c r="BAA10" s="277"/>
      <c r="BAB10" s="277"/>
      <c r="BAC10" s="277"/>
      <c r="BAD10" s="277"/>
      <c r="BAE10" s="277"/>
      <c r="BAF10" s="277"/>
      <c r="BAG10" s="277"/>
      <c r="BAH10" s="277"/>
      <c r="BAI10" s="277"/>
      <c r="BAJ10" s="277"/>
      <c r="BAK10" s="277"/>
      <c r="BAL10" s="277"/>
      <c r="BAM10" s="277"/>
      <c r="BAN10" s="277"/>
      <c r="BAO10" s="277"/>
      <c r="BAP10" s="277"/>
      <c r="BAQ10" s="277"/>
      <c r="BAR10" s="277"/>
      <c r="BAS10" s="277"/>
      <c r="BAT10" s="277"/>
      <c r="BAU10" s="277"/>
      <c r="BAV10" s="277"/>
      <c r="BAW10" s="277"/>
      <c r="BAX10" s="277"/>
      <c r="BAY10" s="277"/>
      <c r="BAZ10" s="277"/>
      <c r="BBA10" s="277"/>
      <c r="BBB10" s="277"/>
      <c r="BBC10" s="277"/>
      <c r="BBD10" s="277"/>
      <c r="BBE10" s="277"/>
      <c r="BBF10" s="277"/>
      <c r="BBG10" s="277"/>
      <c r="BBH10" s="277"/>
      <c r="BBI10" s="277"/>
      <c r="BBJ10" s="277"/>
      <c r="BBK10" s="277"/>
      <c r="BBL10" s="277"/>
      <c r="BBM10" s="277"/>
      <c r="BBN10" s="277"/>
      <c r="BBO10" s="277"/>
      <c r="BBP10" s="277"/>
      <c r="BBQ10" s="277"/>
      <c r="BBR10" s="277"/>
      <c r="BBS10" s="277"/>
      <c r="BBT10" s="277"/>
      <c r="BBU10" s="277"/>
      <c r="BBV10" s="277"/>
      <c r="BBW10" s="277"/>
      <c r="BBX10" s="277"/>
      <c r="BBY10" s="277"/>
      <c r="BBZ10" s="277"/>
      <c r="BCA10" s="277"/>
      <c r="BCB10" s="277"/>
      <c r="BCC10" s="277"/>
      <c r="BCD10" s="277"/>
      <c r="BCE10" s="277"/>
      <c r="BCF10" s="277"/>
      <c r="BCG10" s="277"/>
      <c r="BCH10" s="277"/>
      <c r="BCI10" s="277"/>
      <c r="BCJ10" s="277"/>
      <c r="BCK10" s="277"/>
      <c r="BCL10" s="277"/>
      <c r="BCM10" s="277"/>
      <c r="BCN10" s="277"/>
      <c r="BCO10" s="277"/>
      <c r="BCP10" s="277"/>
      <c r="BCQ10" s="277"/>
      <c r="BCR10" s="277"/>
      <c r="BCS10" s="277"/>
      <c r="BCT10" s="277"/>
      <c r="BCU10" s="277"/>
      <c r="BCV10" s="277"/>
      <c r="BCW10" s="277"/>
      <c r="BCX10" s="277"/>
      <c r="BCY10" s="277"/>
      <c r="BCZ10" s="277"/>
      <c r="BDA10" s="277"/>
      <c r="BDB10" s="277"/>
      <c r="BDC10" s="277"/>
      <c r="BDD10" s="277"/>
      <c r="BDE10" s="277"/>
      <c r="BDF10" s="277"/>
      <c r="BDG10" s="277"/>
      <c r="BDH10" s="277"/>
      <c r="BDI10" s="277"/>
      <c r="BDJ10" s="277"/>
      <c r="BDK10" s="277"/>
      <c r="BDL10" s="277"/>
      <c r="BDM10" s="277"/>
      <c r="BDN10" s="277"/>
      <c r="BDO10" s="277"/>
      <c r="BDP10" s="277"/>
      <c r="BDQ10" s="277"/>
      <c r="BDR10" s="277"/>
      <c r="BDS10" s="277"/>
      <c r="BDT10" s="277"/>
      <c r="BDU10" s="277"/>
      <c r="BDV10" s="277"/>
      <c r="BDW10" s="277"/>
      <c r="BDX10" s="277"/>
      <c r="BDY10" s="277"/>
      <c r="BDZ10" s="277"/>
      <c r="BEA10" s="277"/>
      <c r="BEB10" s="277"/>
      <c r="BEC10" s="277"/>
      <c r="BED10" s="277"/>
      <c r="BEE10" s="277"/>
      <c r="BEF10" s="277"/>
      <c r="BEG10" s="277"/>
      <c r="BEH10" s="277"/>
      <c r="BEI10" s="277"/>
      <c r="BEJ10" s="277"/>
      <c r="BEK10" s="277"/>
      <c r="BEL10" s="277"/>
      <c r="BEM10" s="277"/>
      <c r="BEN10" s="277"/>
      <c r="BEO10" s="277"/>
      <c r="BEP10" s="277"/>
      <c r="BEQ10" s="277"/>
      <c r="BER10" s="277"/>
      <c r="BES10" s="277"/>
      <c r="BET10" s="277"/>
      <c r="BEU10" s="277"/>
      <c r="BEV10" s="277"/>
      <c r="BEW10" s="277"/>
      <c r="BEX10" s="277"/>
      <c r="BEY10" s="277"/>
      <c r="BEZ10" s="277"/>
      <c r="BFA10" s="277"/>
      <c r="BFB10" s="277"/>
      <c r="BFC10" s="277"/>
      <c r="BFD10" s="277"/>
      <c r="BFE10" s="277"/>
      <c r="BFF10" s="277"/>
      <c r="BFG10" s="277"/>
      <c r="BFH10" s="277"/>
      <c r="BFI10" s="277"/>
      <c r="BFJ10" s="277"/>
      <c r="BFK10" s="277"/>
      <c r="BFL10" s="277"/>
      <c r="BFM10" s="277"/>
      <c r="BFN10" s="277"/>
      <c r="BFO10" s="277"/>
      <c r="BFP10" s="277"/>
      <c r="BFQ10" s="277"/>
      <c r="BFR10" s="277"/>
      <c r="BFS10" s="277"/>
      <c r="BFT10" s="277"/>
      <c r="BFU10" s="277"/>
      <c r="BFV10" s="277"/>
      <c r="BFW10" s="277"/>
      <c r="BFX10" s="277"/>
      <c r="BFY10" s="277"/>
      <c r="BFZ10" s="277"/>
      <c r="BGA10" s="277"/>
      <c r="BGB10" s="277"/>
      <c r="BGC10" s="277"/>
      <c r="BGD10" s="277"/>
      <c r="BGE10" s="277"/>
      <c r="BGF10" s="277"/>
      <c r="BGG10" s="277"/>
      <c r="BGH10" s="277"/>
      <c r="BGI10" s="277"/>
      <c r="BGJ10" s="277"/>
      <c r="BGK10" s="277"/>
      <c r="BGL10" s="277"/>
      <c r="BGM10" s="277"/>
      <c r="BGN10" s="277"/>
      <c r="BGO10" s="277"/>
      <c r="BGP10" s="277"/>
      <c r="BGQ10" s="277"/>
      <c r="BGR10" s="277"/>
      <c r="BGS10" s="277"/>
      <c r="BGT10" s="277"/>
      <c r="BGU10" s="277"/>
      <c r="BGV10" s="277"/>
      <c r="BGW10" s="277"/>
      <c r="BGX10" s="277"/>
      <c r="BGY10" s="277"/>
      <c r="BGZ10" s="277"/>
      <c r="BHA10" s="277"/>
      <c r="BHB10" s="277"/>
      <c r="BHC10" s="277"/>
      <c r="BHD10" s="277"/>
      <c r="BHE10" s="277"/>
      <c r="BHF10" s="277"/>
      <c r="BHG10" s="277"/>
      <c r="BHH10" s="277"/>
      <c r="BHI10" s="277"/>
      <c r="BHJ10" s="277"/>
      <c r="BHK10" s="277"/>
      <c r="BHL10" s="277"/>
      <c r="BHM10" s="277"/>
      <c r="BHN10" s="277"/>
      <c r="BHO10" s="277"/>
      <c r="BHP10" s="277"/>
      <c r="BHQ10" s="277"/>
      <c r="BHR10" s="277"/>
      <c r="BHS10" s="277"/>
      <c r="BHT10" s="277"/>
      <c r="BHU10" s="277"/>
      <c r="BHV10" s="277"/>
      <c r="BHW10" s="277"/>
      <c r="BHX10" s="277"/>
      <c r="BHY10" s="277"/>
      <c r="BHZ10" s="277"/>
      <c r="BIA10" s="277"/>
      <c r="BIB10" s="277"/>
      <c r="BIC10" s="277"/>
      <c r="BID10" s="277"/>
      <c r="BIE10" s="277"/>
      <c r="BIF10" s="277"/>
      <c r="BIG10" s="277"/>
      <c r="BIH10" s="277"/>
      <c r="BII10" s="277"/>
      <c r="BIJ10" s="277"/>
      <c r="BIK10" s="277"/>
      <c r="BIL10" s="277"/>
      <c r="BIM10" s="277"/>
      <c r="BIN10" s="277"/>
      <c r="BIO10" s="277"/>
      <c r="BIP10" s="277"/>
      <c r="BIQ10" s="277"/>
      <c r="BIR10" s="277"/>
      <c r="BIS10" s="277"/>
      <c r="BIT10" s="277"/>
      <c r="BIU10" s="277"/>
      <c r="BIV10" s="277"/>
      <c r="BIW10" s="277"/>
      <c r="BIX10" s="277"/>
      <c r="BIY10" s="277"/>
      <c r="BIZ10" s="277"/>
      <c r="BJA10" s="277"/>
      <c r="BJB10" s="277"/>
      <c r="BJC10" s="277"/>
      <c r="BJD10" s="277"/>
      <c r="BJE10" s="277"/>
      <c r="BJF10" s="277"/>
      <c r="BJG10" s="277"/>
      <c r="BJH10" s="277"/>
      <c r="BJI10" s="277"/>
      <c r="BJJ10" s="277"/>
      <c r="BJK10" s="277"/>
      <c r="BJL10" s="277"/>
      <c r="BJM10" s="277"/>
      <c r="BJN10" s="277"/>
      <c r="BJO10" s="277"/>
      <c r="BJP10" s="277"/>
      <c r="BJQ10" s="277"/>
      <c r="BJR10" s="277"/>
      <c r="BJS10" s="277"/>
      <c r="BJT10" s="277"/>
      <c r="BJU10" s="277"/>
      <c r="BJV10" s="277"/>
      <c r="BJW10" s="277"/>
      <c r="BJX10" s="277"/>
      <c r="BJY10" s="277"/>
      <c r="BJZ10" s="277"/>
      <c r="BKA10" s="277"/>
      <c r="BKB10" s="277"/>
      <c r="BKC10" s="277"/>
      <c r="BKD10" s="277"/>
      <c r="BKE10" s="277"/>
      <c r="BKF10" s="277"/>
      <c r="BKG10" s="277"/>
      <c r="BKH10" s="277"/>
      <c r="BKI10" s="277"/>
      <c r="BKJ10" s="277"/>
      <c r="BKK10" s="277"/>
      <c r="BKL10" s="277"/>
      <c r="BKM10" s="277"/>
      <c r="BKN10" s="277"/>
      <c r="BKO10" s="277"/>
      <c r="BKP10" s="277"/>
      <c r="BKQ10" s="277"/>
      <c r="BKR10" s="277"/>
      <c r="BKS10" s="277"/>
      <c r="BKT10" s="277"/>
      <c r="BKU10" s="277"/>
      <c r="BKV10" s="277"/>
      <c r="BKW10" s="277"/>
      <c r="BKX10" s="277"/>
      <c r="BKY10" s="277"/>
      <c r="BKZ10" s="277"/>
      <c r="BLA10" s="277"/>
      <c r="BLB10" s="277"/>
      <c r="BLC10" s="277"/>
      <c r="BLD10" s="277"/>
      <c r="BLE10" s="277"/>
      <c r="BLF10" s="277"/>
      <c r="BLG10" s="277"/>
      <c r="BLH10" s="277"/>
      <c r="BLI10" s="277"/>
      <c r="BLJ10" s="277"/>
      <c r="BLK10" s="277"/>
      <c r="BLL10" s="277"/>
      <c r="BLM10" s="277"/>
      <c r="BLN10" s="277"/>
      <c r="BLO10" s="277"/>
      <c r="BLP10" s="277"/>
      <c r="BLQ10" s="277"/>
      <c r="BLR10" s="277"/>
      <c r="BLS10" s="277"/>
      <c r="BLT10" s="277"/>
      <c r="BLU10" s="277"/>
      <c r="BLV10" s="277"/>
      <c r="BLW10" s="277"/>
      <c r="BLX10" s="277"/>
      <c r="BLY10" s="277"/>
      <c r="BLZ10" s="277"/>
      <c r="BMA10" s="277"/>
      <c r="BMB10" s="277"/>
      <c r="BMC10" s="277"/>
      <c r="BMD10" s="277"/>
      <c r="BME10" s="277"/>
      <c r="BMF10" s="277"/>
      <c r="BMG10" s="277"/>
      <c r="BMH10" s="277"/>
      <c r="BMI10" s="277"/>
      <c r="BMJ10" s="277"/>
      <c r="BMK10" s="277"/>
      <c r="BML10" s="277"/>
      <c r="BMM10" s="277"/>
      <c r="BMN10" s="277"/>
      <c r="BMO10" s="277"/>
      <c r="BMP10" s="277"/>
      <c r="BMQ10" s="277"/>
      <c r="BMR10" s="277"/>
      <c r="BMS10" s="277"/>
      <c r="BMT10" s="277"/>
      <c r="BMU10" s="277"/>
      <c r="BMV10" s="277"/>
      <c r="BMW10" s="277"/>
      <c r="BMX10" s="277"/>
      <c r="BMY10" s="277"/>
      <c r="BMZ10" s="277"/>
      <c r="BNA10" s="277"/>
      <c r="BNB10" s="277"/>
      <c r="BNC10" s="277"/>
      <c r="BND10" s="277"/>
      <c r="BNE10" s="277"/>
      <c r="BNF10" s="277"/>
      <c r="BNG10" s="277"/>
      <c r="BNH10" s="277"/>
      <c r="BNI10" s="277"/>
      <c r="BNJ10" s="277"/>
      <c r="BNK10" s="277"/>
      <c r="BNL10" s="277"/>
      <c r="BNM10" s="277"/>
      <c r="BNN10" s="277"/>
      <c r="BNO10" s="277"/>
      <c r="BNP10" s="277"/>
      <c r="BNQ10" s="277"/>
      <c r="BNR10" s="277"/>
      <c r="BNS10" s="277"/>
      <c r="BNT10" s="277"/>
      <c r="BNU10" s="277"/>
      <c r="BNV10" s="277"/>
      <c r="BNW10" s="277"/>
      <c r="BNX10" s="277"/>
      <c r="BNY10" s="277"/>
      <c r="BNZ10" s="277"/>
      <c r="BOA10" s="277"/>
      <c r="BOB10" s="277"/>
      <c r="BOC10" s="277"/>
      <c r="BOD10" s="277"/>
      <c r="BOE10" s="277"/>
      <c r="BOF10" s="277"/>
      <c r="BOG10" s="277"/>
      <c r="BOH10" s="277"/>
      <c r="BOI10" s="277"/>
      <c r="BOJ10" s="277"/>
      <c r="BOK10" s="277"/>
      <c r="BOL10" s="277"/>
      <c r="BOM10" s="277"/>
      <c r="BON10" s="277"/>
      <c r="BOO10" s="277"/>
      <c r="BOP10" s="277"/>
      <c r="BOQ10" s="277"/>
      <c r="BOR10" s="277"/>
      <c r="BOS10" s="277"/>
      <c r="BOT10" s="277"/>
      <c r="BOU10" s="277"/>
      <c r="BOV10" s="277"/>
      <c r="BOW10" s="277"/>
      <c r="BOX10" s="277"/>
      <c r="BOY10" s="277"/>
      <c r="BOZ10" s="277"/>
      <c r="BPA10" s="277"/>
      <c r="BPB10" s="277"/>
      <c r="BPC10" s="277"/>
      <c r="BPD10" s="277"/>
      <c r="BPE10" s="277"/>
      <c r="BPF10" s="277"/>
      <c r="BPG10" s="277"/>
      <c r="BPH10" s="277"/>
      <c r="BPI10" s="277"/>
      <c r="BPJ10" s="277"/>
      <c r="BPK10" s="277"/>
      <c r="BPL10" s="277"/>
      <c r="BPM10" s="277"/>
      <c r="BPN10" s="277"/>
      <c r="BPO10" s="277"/>
      <c r="BPP10" s="277"/>
      <c r="BPQ10" s="277"/>
      <c r="BPR10" s="277"/>
      <c r="BPS10" s="277"/>
      <c r="BPT10" s="277"/>
      <c r="BPU10" s="277"/>
      <c r="BPV10" s="277"/>
      <c r="BPW10" s="277"/>
      <c r="BPX10" s="277"/>
      <c r="BPY10" s="277"/>
      <c r="BPZ10" s="277"/>
      <c r="BQA10" s="277"/>
      <c r="BQB10" s="277"/>
      <c r="BQC10" s="277"/>
      <c r="BQD10" s="277"/>
      <c r="BQE10" s="277"/>
      <c r="BQF10" s="277"/>
      <c r="BQG10" s="277"/>
      <c r="BQH10" s="277"/>
      <c r="BQI10" s="277"/>
      <c r="BQJ10" s="277"/>
      <c r="BQK10" s="277"/>
      <c r="BQL10" s="277"/>
      <c r="BQM10" s="277"/>
      <c r="BQN10" s="277"/>
      <c r="BQO10" s="277"/>
      <c r="BQP10" s="277"/>
      <c r="BQQ10" s="277"/>
      <c r="BQR10" s="277"/>
      <c r="BQS10" s="277"/>
      <c r="BQT10" s="277"/>
      <c r="BQU10" s="277"/>
      <c r="BQV10" s="277"/>
      <c r="BQW10" s="277"/>
      <c r="BQX10" s="277"/>
      <c r="BQY10" s="277"/>
      <c r="BQZ10" s="277"/>
      <c r="BRA10" s="277"/>
      <c r="BRB10" s="277"/>
      <c r="BRC10" s="277"/>
      <c r="BRD10" s="277"/>
      <c r="BRE10" s="277"/>
      <c r="BRF10" s="277"/>
      <c r="BRG10" s="277"/>
      <c r="BRH10" s="277"/>
      <c r="BRI10" s="277"/>
      <c r="BRJ10" s="277"/>
      <c r="BRK10" s="277"/>
      <c r="BRL10" s="277"/>
      <c r="BRM10" s="277"/>
      <c r="BRN10" s="277"/>
      <c r="BRO10" s="277"/>
      <c r="BRP10" s="277"/>
      <c r="BRQ10" s="277"/>
      <c r="BRR10" s="277"/>
      <c r="BRS10" s="277"/>
      <c r="BRT10" s="277"/>
      <c r="BRU10" s="277"/>
      <c r="BRV10" s="277"/>
      <c r="BRW10" s="277"/>
      <c r="BRX10" s="277"/>
      <c r="BRY10" s="277"/>
      <c r="BRZ10" s="277"/>
      <c r="BSA10" s="277"/>
      <c r="BSB10" s="277"/>
      <c r="BSC10" s="277"/>
      <c r="BSD10" s="277"/>
      <c r="BSE10" s="277"/>
      <c r="BSF10" s="277"/>
      <c r="BSG10" s="277"/>
      <c r="BSH10" s="277"/>
      <c r="BSI10" s="277"/>
      <c r="BSJ10" s="277"/>
      <c r="BSK10" s="277"/>
      <c r="BSL10" s="277"/>
      <c r="BSM10" s="277"/>
      <c r="BSN10" s="277"/>
      <c r="BSO10" s="277"/>
      <c r="BSP10" s="277"/>
      <c r="BSQ10" s="277"/>
      <c r="BSR10" s="277"/>
      <c r="BSS10" s="277"/>
      <c r="BST10" s="277"/>
      <c r="BSU10" s="277"/>
      <c r="BSV10" s="277"/>
      <c r="BSW10" s="277"/>
      <c r="BSX10" s="277"/>
      <c r="BSY10" s="277"/>
      <c r="BSZ10" s="277"/>
      <c r="BTA10" s="277"/>
      <c r="BTB10" s="277"/>
      <c r="BTC10" s="277"/>
      <c r="BTD10" s="277"/>
      <c r="BTE10" s="277"/>
      <c r="BTF10" s="277"/>
      <c r="BTG10" s="277"/>
      <c r="BTH10" s="277"/>
      <c r="BTI10" s="277"/>
      <c r="BTJ10" s="277"/>
      <c r="BTK10" s="277"/>
      <c r="BTL10" s="277"/>
      <c r="BTM10" s="277"/>
      <c r="BTN10" s="277"/>
      <c r="BTO10" s="277"/>
      <c r="BTP10" s="277"/>
      <c r="BTQ10" s="277"/>
      <c r="BTR10" s="277"/>
      <c r="BTS10" s="277"/>
      <c r="BTT10" s="277"/>
      <c r="BTU10" s="277"/>
      <c r="BTV10" s="277"/>
      <c r="BTW10" s="277"/>
      <c r="BTX10" s="277"/>
      <c r="BTY10" s="277"/>
      <c r="BTZ10" s="277"/>
      <c r="BUA10" s="277"/>
      <c r="BUB10" s="277"/>
      <c r="BUC10" s="277"/>
      <c r="BUD10" s="277"/>
      <c r="BUE10" s="277"/>
      <c r="BUF10" s="277"/>
      <c r="BUG10" s="277"/>
      <c r="BUH10" s="277"/>
      <c r="BUI10" s="277"/>
      <c r="BUJ10" s="277"/>
      <c r="BUK10" s="277"/>
      <c r="BUL10" s="277"/>
      <c r="BUM10" s="277"/>
      <c r="BUN10" s="277"/>
      <c r="BUO10" s="277"/>
      <c r="BUP10" s="277"/>
      <c r="BUQ10" s="277"/>
      <c r="BUR10" s="277"/>
      <c r="BUS10" s="277"/>
      <c r="BUT10" s="277"/>
      <c r="BUU10" s="277"/>
      <c r="BUV10" s="277"/>
      <c r="BUW10" s="277"/>
      <c r="BUX10" s="277"/>
      <c r="BUY10" s="277"/>
      <c r="BUZ10" s="277"/>
      <c r="BVA10" s="277"/>
      <c r="BVB10" s="277"/>
      <c r="BVC10" s="277"/>
      <c r="BVD10" s="277"/>
      <c r="BVE10" s="277"/>
      <c r="BVF10" s="277"/>
      <c r="BVG10" s="277"/>
      <c r="BVH10" s="277"/>
      <c r="BVI10" s="277"/>
      <c r="BVJ10" s="277"/>
      <c r="BVK10" s="277"/>
      <c r="BVL10" s="277"/>
      <c r="BVM10" s="277"/>
      <c r="BVN10" s="277"/>
      <c r="BVO10" s="277"/>
      <c r="BVP10" s="277"/>
      <c r="BVQ10" s="277"/>
      <c r="BVR10" s="277"/>
      <c r="BVS10" s="277"/>
      <c r="BVT10" s="277"/>
      <c r="BVU10" s="277"/>
      <c r="BVV10" s="277"/>
      <c r="BVW10" s="277"/>
      <c r="BVX10" s="277"/>
      <c r="BVY10" s="277"/>
      <c r="BVZ10" s="277"/>
      <c r="BWA10" s="277"/>
      <c r="BWB10" s="277"/>
      <c r="BWC10" s="277"/>
      <c r="BWD10" s="277"/>
      <c r="BWE10" s="277"/>
      <c r="BWF10" s="277"/>
      <c r="BWG10" s="277"/>
      <c r="BWH10" s="277"/>
      <c r="BWI10" s="277"/>
      <c r="BWJ10" s="277"/>
      <c r="BWK10" s="277"/>
      <c r="BWL10" s="277"/>
      <c r="BWM10" s="277"/>
      <c r="BWN10" s="277"/>
      <c r="BWO10" s="277"/>
      <c r="BWP10" s="277"/>
      <c r="BWQ10" s="277"/>
      <c r="BWR10" s="277"/>
      <c r="BWS10" s="277"/>
      <c r="BWT10" s="277"/>
      <c r="BWU10" s="277"/>
      <c r="BWV10" s="277"/>
      <c r="BWW10" s="277"/>
      <c r="BWX10" s="277"/>
      <c r="BWY10" s="277"/>
      <c r="BWZ10" s="277"/>
      <c r="BXA10" s="277"/>
      <c r="BXB10" s="277"/>
      <c r="BXC10" s="277"/>
      <c r="BXD10" s="277"/>
      <c r="BXE10" s="277"/>
      <c r="BXF10" s="277"/>
      <c r="BXG10" s="277"/>
      <c r="BXH10" s="277"/>
      <c r="BXI10" s="277"/>
      <c r="BXJ10" s="277"/>
      <c r="BXK10" s="277"/>
      <c r="BXL10" s="277"/>
      <c r="BXM10" s="277"/>
      <c r="BXN10" s="277"/>
      <c r="BXO10" s="277"/>
      <c r="BXP10" s="277"/>
      <c r="BXQ10" s="277"/>
      <c r="BXR10" s="277"/>
      <c r="BXS10" s="277"/>
      <c r="BXT10" s="277"/>
      <c r="BXU10" s="277"/>
      <c r="BXV10" s="277"/>
      <c r="BXW10" s="277"/>
      <c r="BXX10" s="277"/>
      <c r="BXY10" s="277"/>
      <c r="BXZ10" s="277"/>
      <c r="BYA10" s="277"/>
      <c r="BYB10" s="277"/>
      <c r="BYC10" s="277"/>
      <c r="BYD10" s="277"/>
      <c r="BYE10" s="277"/>
      <c r="BYF10" s="277"/>
      <c r="BYG10" s="277"/>
      <c r="BYH10" s="277"/>
      <c r="BYI10" s="277"/>
      <c r="BYJ10" s="277"/>
      <c r="BYK10" s="277"/>
      <c r="BYL10" s="277"/>
      <c r="BYM10" s="277"/>
      <c r="BYN10" s="277"/>
      <c r="BYO10" s="277"/>
      <c r="BYP10" s="277"/>
      <c r="BYQ10" s="277"/>
      <c r="BYR10" s="277"/>
      <c r="BYS10" s="277"/>
      <c r="BYT10" s="277"/>
      <c r="BYU10" s="277"/>
      <c r="BYV10" s="277"/>
      <c r="BYW10" s="277"/>
      <c r="BYX10" s="277"/>
      <c r="BYY10" s="277"/>
      <c r="BYZ10" s="277"/>
      <c r="BZA10" s="277"/>
      <c r="BZB10" s="277"/>
      <c r="BZC10" s="277"/>
      <c r="BZD10" s="277"/>
      <c r="BZE10" s="277"/>
      <c r="BZF10" s="277"/>
      <c r="BZG10" s="277"/>
      <c r="BZH10" s="277"/>
      <c r="BZI10" s="277"/>
      <c r="BZJ10" s="277"/>
      <c r="BZK10" s="277"/>
      <c r="BZL10" s="277"/>
      <c r="BZM10" s="277"/>
      <c r="BZN10" s="277"/>
      <c r="BZO10" s="277"/>
      <c r="BZP10" s="277"/>
      <c r="BZQ10" s="277"/>
      <c r="BZR10" s="277"/>
      <c r="BZS10" s="277"/>
      <c r="BZT10" s="277"/>
      <c r="BZU10" s="277"/>
      <c r="BZV10" s="277"/>
      <c r="BZW10" s="277"/>
      <c r="BZX10" s="277"/>
      <c r="BZY10" s="277"/>
      <c r="BZZ10" s="277"/>
      <c r="CAA10" s="277"/>
      <c r="CAB10" s="277"/>
      <c r="CAC10" s="277"/>
      <c r="CAD10" s="277"/>
      <c r="CAE10" s="277"/>
      <c r="CAF10" s="277"/>
      <c r="CAG10" s="277"/>
      <c r="CAH10" s="277"/>
      <c r="CAI10" s="277"/>
      <c r="CAJ10" s="277"/>
      <c r="CAK10" s="277"/>
      <c r="CAL10" s="277"/>
      <c r="CAM10" s="277"/>
      <c r="CAN10" s="277"/>
      <c r="CAO10" s="277"/>
      <c r="CAP10" s="277"/>
      <c r="CAQ10" s="277"/>
      <c r="CAR10" s="277"/>
      <c r="CAS10" s="277"/>
      <c r="CAT10" s="277"/>
      <c r="CAU10" s="277"/>
      <c r="CAV10" s="277"/>
      <c r="CAW10" s="277"/>
      <c r="CAX10" s="277"/>
      <c r="CAY10" s="277"/>
      <c r="CAZ10" s="277"/>
      <c r="CBA10" s="277"/>
      <c r="CBB10" s="277"/>
      <c r="CBC10" s="277"/>
      <c r="CBD10" s="277"/>
      <c r="CBE10" s="277"/>
      <c r="CBF10" s="277"/>
      <c r="CBG10" s="277"/>
      <c r="CBH10" s="277"/>
      <c r="CBI10" s="277"/>
      <c r="CBJ10" s="277"/>
      <c r="CBK10" s="277"/>
      <c r="CBL10" s="277"/>
      <c r="CBM10" s="277"/>
      <c r="CBN10" s="277"/>
      <c r="CBO10" s="277"/>
      <c r="CBP10" s="277"/>
      <c r="CBQ10" s="277"/>
      <c r="CBR10" s="277"/>
      <c r="CBS10" s="277"/>
      <c r="CBT10" s="277"/>
      <c r="CBU10" s="277"/>
      <c r="CBV10" s="277"/>
      <c r="CBW10" s="277"/>
      <c r="CBX10" s="277"/>
      <c r="CBY10" s="277"/>
      <c r="CBZ10" s="277"/>
      <c r="CCA10" s="277"/>
      <c r="CCB10" s="277"/>
      <c r="CCC10" s="277"/>
      <c r="CCD10" s="277"/>
      <c r="CCE10" s="277"/>
      <c r="CCF10" s="277"/>
      <c r="CCG10" s="277"/>
      <c r="CCH10" s="277"/>
      <c r="CCI10" s="277"/>
      <c r="CCJ10" s="277"/>
      <c r="CCK10" s="277"/>
      <c r="CCL10" s="277"/>
      <c r="CCM10" s="277"/>
      <c r="CCN10" s="277"/>
      <c r="CCO10" s="277"/>
      <c r="CCP10" s="277"/>
      <c r="CCQ10" s="277"/>
      <c r="CCR10" s="277"/>
      <c r="CCS10" s="277"/>
      <c r="CCT10" s="277"/>
      <c r="CCU10" s="277"/>
      <c r="CCV10" s="277"/>
      <c r="CCW10" s="277"/>
      <c r="VEX10" s="222"/>
      <c r="VST10" s="221"/>
      <c r="VTB10" s="221"/>
    </row>
    <row r="11" spans="1:2129 15008:15070 15386:15394" s="220" customFormat="1" ht="16.149999999999999" customHeight="1" x14ac:dyDescent="0.25">
      <c r="A11" s="265" t="s">
        <v>65</v>
      </c>
      <c r="B11" s="265">
        <v>6</v>
      </c>
      <c r="C11" s="265"/>
      <c r="D11" s="265"/>
      <c r="E11" s="265"/>
      <c r="F11" s="265"/>
      <c r="G11" s="266" t="s">
        <v>203</v>
      </c>
      <c r="H11" s="267" t="s">
        <v>237</v>
      </c>
      <c r="I11" s="267"/>
      <c r="J11" s="268"/>
      <c r="K11" s="269"/>
      <c r="L11" s="269"/>
      <c r="M11" s="270"/>
      <c r="N11" s="269">
        <v>43005</v>
      </c>
      <c r="O11" s="269">
        <v>43023</v>
      </c>
      <c r="P11" s="270">
        <v>16</v>
      </c>
      <c r="Q11" s="271">
        <v>0</v>
      </c>
      <c r="R11" s="269"/>
      <c r="S11" s="269"/>
      <c r="T11" s="270"/>
      <c r="U11" s="272"/>
      <c r="V11" s="272"/>
      <c r="W11" s="272"/>
      <c r="X11" s="273"/>
      <c r="Y11" s="274"/>
      <c r="Z11" s="274"/>
      <c r="AA11" s="275"/>
      <c r="AB11" s="274"/>
      <c r="AC11" s="276"/>
      <c r="AD11" s="276"/>
      <c r="AE11" s="276"/>
      <c r="AF11" s="276"/>
      <c r="AG11" s="276"/>
      <c r="AH11" s="276"/>
      <c r="AI11" s="276"/>
      <c r="AJ11" s="276"/>
      <c r="AK11" s="276"/>
      <c r="AL11" s="276"/>
      <c r="AM11" s="276"/>
      <c r="AN11" s="276"/>
      <c r="AO11" s="276"/>
      <c r="AP11" s="276"/>
      <c r="AQ11" s="276"/>
      <c r="AR11" s="276"/>
      <c r="AS11" s="276"/>
      <c r="AT11" s="276"/>
      <c r="AU11" s="276"/>
      <c r="AV11" s="276"/>
      <c r="AW11" s="276"/>
      <c r="AX11" s="276"/>
      <c r="AY11" s="276"/>
      <c r="AZ11" s="276"/>
      <c r="BA11" s="276"/>
      <c r="BB11" s="276"/>
      <c r="BC11" s="276"/>
      <c r="BD11" s="276"/>
      <c r="BE11" s="276"/>
      <c r="BF11" s="276"/>
      <c r="BG11" s="276"/>
      <c r="BH11" s="276"/>
      <c r="BI11" s="276"/>
      <c r="BJ11" s="276"/>
      <c r="BK11" s="276"/>
      <c r="BL11" s="276"/>
      <c r="BM11" s="276"/>
      <c r="BN11" s="276"/>
      <c r="BO11" s="276"/>
      <c r="BP11" s="276"/>
      <c r="BQ11" s="276"/>
      <c r="BR11" s="276"/>
      <c r="BS11" s="276"/>
      <c r="BT11" s="276"/>
      <c r="BU11" s="276"/>
      <c r="BV11" s="276"/>
      <c r="BW11" s="276"/>
      <c r="BX11" s="276"/>
      <c r="BY11" s="276"/>
      <c r="BZ11" s="276"/>
      <c r="CA11" s="276"/>
      <c r="CB11" s="276"/>
      <c r="CC11" s="276"/>
      <c r="CD11" s="276"/>
      <c r="CE11" s="276"/>
      <c r="CF11" s="276"/>
      <c r="CG11" s="277"/>
      <c r="CH11" s="277"/>
      <c r="CI11" s="277"/>
      <c r="CJ11" s="277"/>
      <c r="CK11" s="277"/>
      <c r="CL11" s="277"/>
      <c r="CM11" s="277"/>
      <c r="CN11" s="277"/>
      <c r="CO11" s="277"/>
      <c r="CP11" s="277"/>
      <c r="CQ11" s="277"/>
      <c r="CR11" s="277"/>
      <c r="CS11" s="277"/>
      <c r="CT11" s="277"/>
      <c r="CU11" s="277"/>
      <c r="CV11" s="277"/>
      <c r="CW11" s="277"/>
      <c r="CX11" s="277"/>
      <c r="CY11" s="277"/>
      <c r="CZ11" s="277"/>
      <c r="DA11" s="277"/>
      <c r="DB11" s="277"/>
      <c r="DC11" s="277"/>
      <c r="DD11" s="277"/>
      <c r="DE11" s="277"/>
      <c r="DF11" s="277"/>
      <c r="DG11" s="277"/>
      <c r="DH11" s="277"/>
      <c r="DI11" s="277"/>
      <c r="DJ11" s="277"/>
      <c r="DK11" s="277"/>
      <c r="DL11" s="277"/>
      <c r="DM11" s="277"/>
      <c r="DN11" s="277"/>
      <c r="DO11" s="277"/>
      <c r="DP11" s="277"/>
      <c r="DQ11" s="277"/>
      <c r="DR11" s="277"/>
      <c r="DS11" s="277"/>
      <c r="DT11" s="277"/>
      <c r="DU11" s="277"/>
      <c r="DV11" s="277"/>
      <c r="DW11" s="277"/>
      <c r="DX11" s="277"/>
      <c r="DY11" s="277"/>
      <c r="DZ11" s="277"/>
      <c r="EA11" s="277"/>
      <c r="EB11" s="277"/>
      <c r="EC11" s="277"/>
      <c r="ED11" s="277"/>
      <c r="EE11" s="277"/>
      <c r="EF11" s="277"/>
      <c r="EG11" s="277"/>
      <c r="EH11" s="277"/>
      <c r="EI11" s="277"/>
      <c r="EJ11" s="277"/>
      <c r="EK11" s="277"/>
      <c r="EL11" s="277"/>
      <c r="EM11" s="277"/>
      <c r="EN11" s="277"/>
      <c r="EO11" s="277"/>
      <c r="EP11" s="277"/>
      <c r="EQ11" s="277"/>
      <c r="ER11" s="277"/>
      <c r="ES11" s="277"/>
      <c r="ET11" s="277"/>
      <c r="EU11" s="277"/>
      <c r="EV11" s="277"/>
      <c r="EW11" s="277"/>
      <c r="EX11" s="277"/>
      <c r="EY11" s="277"/>
      <c r="EZ11" s="277"/>
      <c r="FA11" s="277"/>
      <c r="FB11" s="277"/>
      <c r="FC11" s="277"/>
      <c r="FD11" s="277"/>
      <c r="FE11" s="277"/>
      <c r="FF11" s="277"/>
      <c r="FG11" s="277"/>
      <c r="FH11" s="277"/>
      <c r="FI11" s="277"/>
      <c r="FJ11" s="277"/>
      <c r="FK11" s="277"/>
      <c r="FL11" s="277"/>
      <c r="FM11" s="277"/>
      <c r="FN11" s="277"/>
      <c r="FO11" s="277"/>
      <c r="FP11" s="277"/>
      <c r="FQ11" s="277"/>
      <c r="FR11" s="277"/>
      <c r="FS11" s="277"/>
      <c r="FT11" s="277"/>
      <c r="FU11" s="277"/>
      <c r="FV11" s="277"/>
      <c r="FW11" s="277"/>
      <c r="FX11" s="277"/>
      <c r="FY11" s="277"/>
      <c r="FZ11" s="277"/>
      <c r="GA11" s="277"/>
      <c r="GB11" s="277"/>
      <c r="GC11" s="277"/>
      <c r="GD11" s="277"/>
      <c r="GE11" s="277"/>
      <c r="GF11" s="277"/>
      <c r="GG11" s="277"/>
      <c r="GH11" s="277"/>
      <c r="GI11" s="277"/>
      <c r="GJ11" s="277"/>
      <c r="GK11" s="277"/>
      <c r="GL11" s="277"/>
      <c r="GM11" s="277"/>
      <c r="GN11" s="277"/>
      <c r="GO11" s="277"/>
      <c r="GP11" s="277"/>
      <c r="GQ11" s="277"/>
      <c r="GR11" s="277"/>
      <c r="GS11" s="277"/>
      <c r="GT11" s="277"/>
      <c r="GU11" s="277"/>
      <c r="GV11" s="277"/>
      <c r="GW11" s="277"/>
      <c r="GX11" s="277"/>
      <c r="GY11" s="277"/>
      <c r="GZ11" s="277"/>
      <c r="HA11" s="277"/>
      <c r="HB11" s="277"/>
      <c r="HC11" s="277"/>
      <c r="HD11" s="277"/>
      <c r="HE11" s="277"/>
      <c r="HF11" s="277"/>
      <c r="HG11" s="277"/>
      <c r="HH11" s="277"/>
      <c r="HI11" s="277"/>
      <c r="HJ11" s="277"/>
      <c r="HK11" s="277"/>
      <c r="HL11" s="277"/>
      <c r="HM11" s="277"/>
      <c r="HN11" s="277"/>
      <c r="HO11" s="277"/>
      <c r="HP11" s="277"/>
      <c r="HQ11" s="277"/>
      <c r="HR11" s="277"/>
      <c r="HS11" s="277"/>
      <c r="HT11" s="277"/>
      <c r="HU11" s="277"/>
      <c r="HV11" s="277"/>
      <c r="HW11" s="277"/>
      <c r="HX11" s="277"/>
      <c r="HY11" s="277"/>
      <c r="HZ11" s="277"/>
      <c r="IA11" s="277"/>
      <c r="IB11" s="277"/>
      <c r="IC11" s="277"/>
      <c r="ID11" s="277"/>
      <c r="IE11" s="277"/>
      <c r="IF11" s="277"/>
      <c r="IG11" s="277"/>
      <c r="IH11" s="277"/>
      <c r="II11" s="277"/>
      <c r="IJ11" s="277"/>
      <c r="IK11" s="277"/>
      <c r="IL11" s="277"/>
      <c r="IM11" s="277"/>
      <c r="IN11" s="277"/>
      <c r="IO11" s="277"/>
      <c r="IP11" s="277"/>
      <c r="IQ11" s="277"/>
      <c r="IR11" s="277"/>
      <c r="IS11" s="277"/>
      <c r="IT11" s="277"/>
      <c r="IU11" s="277"/>
      <c r="IV11" s="277"/>
      <c r="IW11" s="277"/>
      <c r="IX11" s="277"/>
      <c r="IY11" s="277"/>
      <c r="IZ11" s="277"/>
      <c r="JA11" s="277"/>
      <c r="JB11" s="277"/>
      <c r="JC11" s="277"/>
      <c r="JD11" s="277"/>
      <c r="JE11" s="277"/>
      <c r="JF11" s="277"/>
      <c r="JG11" s="277"/>
      <c r="JH11" s="277"/>
      <c r="JI11" s="277"/>
      <c r="JJ11" s="277"/>
      <c r="JK11" s="277"/>
      <c r="JL11" s="277"/>
      <c r="JM11" s="277"/>
      <c r="JN11" s="277"/>
      <c r="JO11" s="277"/>
      <c r="JP11" s="277"/>
      <c r="JQ11" s="277"/>
      <c r="JR11" s="277"/>
      <c r="JS11" s="277"/>
      <c r="JT11" s="277"/>
      <c r="JU11" s="277"/>
      <c r="JV11" s="277"/>
      <c r="JW11" s="277"/>
      <c r="JX11" s="277"/>
      <c r="JY11" s="277"/>
      <c r="JZ11" s="277"/>
      <c r="KA11" s="277"/>
      <c r="KB11" s="277"/>
      <c r="KC11" s="277"/>
      <c r="KD11" s="277"/>
      <c r="KE11" s="277"/>
      <c r="KF11" s="277"/>
      <c r="KG11" s="277"/>
      <c r="KH11" s="277"/>
      <c r="KI11" s="277"/>
      <c r="KJ11" s="277"/>
      <c r="KK11" s="277"/>
      <c r="KL11" s="277"/>
      <c r="KM11" s="277"/>
      <c r="KN11" s="277"/>
      <c r="KO11" s="277"/>
      <c r="KP11" s="277"/>
      <c r="KQ11" s="277"/>
      <c r="KR11" s="277"/>
      <c r="KS11" s="277"/>
      <c r="KT11" s="277"/>
      <c r="KU11" s="277"/>
      <c r="KV11" s="277"/>
      <c r="KW11" s="277"/>
      <c r="KX11" s="277"/>
      <c r="KY11" s="277"/>
      <c r="KZ11" s="277"/>
      <c r="LA11" s="277"/>
      <c r="LB11" s="277"/>
      <c r="LC11" s="277"/>
      <c r="LD11" s="277"/>
      <c r="LE11" s="277"/>
      <c r="LF11" s="277"/>
      <c r="LG11" s="277"/>
      <c r="LH11" s="277"/>
      <c r="LI11" s="277"/>
      <c r="LJ11" s="277"/>
      <c r="LK11" s="277"/>
      <c r="LL11" s="277"/>
      <c r="LM11" s="277"/>
      <c r="LN11" s="277"/>
      <c r="LO11" s="277"/>
      <c r="LP11" s="277"/>
      <c r="LQ11" s="277"/>
      <c r="LR11" s="277"/>
      <c r="LS11" s="277"/>
      <c r="LT11" s="277"/>
      <c r="LU11" s="277"/>
      <c r="LV11" s="277"/>
      <c r="LW11" s="277"/>
      <c r="LX11" s="277"/>
      <c r="LY11" s="277"/>
      <c r="LZ11" s="277"/>
      <c r="MA11" s="277"/>
      <c r="MB11" s="277"/>
      <c r="MC11" s="277"/>
      <c r="MD11" s="277"/>
      <c r="ME11" s="277"/>
      <c r="MF11" s="277"/>
      <c r="MG11" s="277"/>
      <c r="MH11" s="277"/>
      <c r="MI11" s="277"/>
      <c r="MJ11" s="277"/>
      <c r="MK11" s="277"/>
      <c r="ML11" s="277"/>
      <c r="MM11" s="277"/>
      <c r="MN11" s="277"/>
      <c r="MO11" s="277"/>
      <c r="MP11" s="277"/>
      <c r="MQ11" s="277"/>
      <c r="MR11" s="277"/>
      <c r="MS11" s="277"/>
      <c r="MT11" s="277"/>
      <c r="MU11" s="277"/>
      <c r="MV11" s="278"/>
      <c r="MW11" s="277"/>
      <c r="MX11" s="277"/>
      <c r="MY11" s="277"/>
      <c r="MZ11" s="277"/>
      <c r="NA11" s="277"/>
      <c r="NB11" s="277"/>
      <c r="NC11" s="277"/>
      <c r="ND11" s="277"/>
      <c r="NE11" s="277"/>
      <c r="NF11" s="277"/>
      <c r="NG11" s="277"/>
      <c r="NH11" s="277"/>
      <c r="NI11" s="277"/>
      <c r="NJ11" s="277"/>
      <c r="NK11" s="277"/>
      <c r="NL11" s="277"/>
      <c r="NM11" s="277"/>
      <c r="NN11" s="277"/>
      <c r="NO11" s="277"/>
      <c r="NP11" s="277"/>
      <c r="NQ11" s="277"/>
      <c r="NR11" s="277"/>
      <c r="NS11" s="277"/>
      <c r="NT11" s="277"/>
      <c r="NU11" s="277"/>
      <c r="NV11" s="277"/>
      <c r="NW11" s="277"/>
      <c r="NX11" s="277"/>
      <c r="NY11" s="277"/>
      <c r="NZ11" s="277"/>
      <c r="OA11" s="277"/>
      <c r="OB11" s="277"/>
      <c r="OC11" s="277"/>
      <c r="OD11" s="277"/>
      <c r="OE11" s="277"/>
      <c r="OF11" s="277"/>
      <c r="OG11" s="277"/>
      <c r="OH11" s="277"/>
      <c r="OI11" s="277"/>
      <c r="OJ11" s="277"/>
      <c r="OK11" s="277"/>
      <c r="OL11" s="277"/>
      <c r="OM11" s="277"/>
      <c r="ON11" s="277"/>
      <c r="OO11" s="277"/>
      <c r="OP11" s="277"/>
      <c r="OQ11" s="277"/>
      <c r="OR11" s="277"/>
      <c r="OS11" s="277"/>
      <c r="OT11" s="277"/>
      <c r="OU11" s="277"/>
      <c r="OV11" s="277"/>
      <c r="OW11" s="277"/>
      <c r="OX11" s="277"/>
      <c r="OY11" s="277"/>
      <c r="OZ11" s="277"/>
      <c r="PA11" s="277"/>
      <c r="PB11" s="277"/>
      <c r="PC11" s="277"/>
      <c r="PD11" s="277"/>
      <c r="PE11" s="277"/>
      <c r="PF11" s="277"/>
      <c r="PG11" s="277"/>
      <c r="PH11" s="277"/>
      <c r="PI11" s="277"/>
      <c r="PJ11" s="277"/>
      <c r="PK11" s="277"/>
      <c r="PL11" s="277"/>
      <c r="PM11" s="277"/>
      <c r="PN11" s="277"/>
      <c r="PO11" s="277"/>
      <c r="PP11" s="277"/>
      <c r="PQ11" s="277"/>
      <c r="PR11" s="277"/>
      <c r="PS11" s="277"/>
      <c r="PT11" s="277"/>
      <c r="PU11" s="277"/>
      <c r="PV11" s="277"/>
      <c r="PW11" s="277"/>
      <c r="PX11" s="277"/>
      <c r="PY11" s="277"/>
      <c r="PZ11" s="277"/>
      <c r="QA11" s="277"/>
      <c r="QB11" s="277"/>
      <c r="QC11" s="277"/>
      <c r="QD11" s="277"/>
      <c r="QE11" s="277"/>
      <c r="QF11" s="277"/>
      <c r="QG11" s="277"/>
      <c r="QH11" s="277"/>
      <c r="QI11" s="277"/>
      <c r="QJ11" s="277"/>
      <c r="QK11" s="277"/>
      <c r="QL11" s="277"/>
      <c r="QM11" s="277"/>
      <c r="QN11" s="277"/>
      <c r="QO11" s="277"/>
      <c r="QP11" s="277"/>
      <c r="QQ11" s="277"/>
      <c r="QR11" s="277"/>
      <c r="QS11" s="277"/>
      <c r="QT11" s="277"/>
      <c r="QU11" s="277"/>
      <c r="QV11" s="277"/>
      <c r="QW11" s="277"/>
      <c r="QX11" s="277"/>
      <c r="QY11" s="277"/>
      <c r="QZ11" s="277"/>
      <c r="RA11" s="277"/>
      <c r="RB11" s="277"/>
      <c r="RC11" s="277"/>
      <c r="RD11" s="277"/>
      <c r="RE11" s="277"/>
      <c r="RF11" s="277"/>
      <c r="RG11" s="277"/>
      <c r="RH11" s="277"/>
      <c r="RI11" s="277"/>
      <c r="RJ11" s="277"/>
      <c r="RK11" s="277"/>
      <c r="RL11" s="277"/>
      <c r="RM11" s="277"/>
      <c r="RN11" s="277"/>
      <c r="RO11" s="277"/>
      <c r="RP11" s="277"/>
      <c r="RQ11" s="277"/>
      <c r="RR11" s="277"/>
      <c r="RS11" s="277"/>
      <c r="RT11" s="277"/>
      <c r="RU11" s="277"/>
      <c r="RV11" s="277"/>
      <c r="RW11" s="277"/>
      <c r="RX11" s="277"/>
      <c r="RY11" s="277"/>
      <c r="RZ11" s="277"/>
      <c r="SA11" s="277"/>
      <c r="SB11" s="277"/>
      <c r="SC11" s="277"/>
      <c r="SD11" s="277"/>
      <c r="SE11" s="277"/>
      <c r="SF11" s="277"/>
      <c r="SG11" s="277"/>
      <c r="SH11" s="277"/>
      <c r="SI11" s="277"/>
      <c r="SJ11" s="277"/>
      <c r="SK11" s="277"/>
      <c r="SL11" s="277"/>
      <c r="SM11" s="277"/>
      <c r="SN11" s="277"/>
      <c r="SO11" s="277"/>
      <c r="SP11" s="277"/>
      <c r="SQ11" s="277"/>
      <c r="SR11" s="277"/>
      <c r="SS11" s="277"/>
      <c r="ST11" s="277"/>
      <c r="SU11" s="277"/>
      <c r="SV11" s="277"/>
      <c r="SW11" s="277"/>
      <c r="SX11" s="277"/>
      <c r="SY11" s="277"/>
      <c r="SZ11" s="277"/>
      <c r="TA11" s="277"/>
      <c r="TB11" s="277"/>
      <c r="TC11" s="277"/>
      <c r="TD11" s="277"/>
      <c r="TE11" s="277"/>
      <c r="TF11" s="277"/>
      <c r="TG11" s="277"/>
      <c r="TH11" s="277"/>
      <c r="TI11" s="277"/>
      <c r="TJ11" s="277"/>
      <c r="TK11" s="277"/>
      <c r="TL11" s="277"/>
      <c r="TM11" s="277"/>
      <c r="TN11" s="277"/>
      <c r="TO11" s="277"/>
      <c r="TP11" s="277"/>
      <c r="TQ11" s="277"/>
      <c r="TR11" s="277"/>
      <c r="TS11" s="277"/>
      <c r="TT11" s="277"/>
      <c r="TU11" s="277"/>
      <c r="TV11" s="277"/>
      <c r="TW11" s="277"/>
      <c r="TX11" s="277"/>
      <c r="TY11" s="277"/>
      <c r="TZ11" s="277"/>
      <c r="UA11" s="277"/>
      <c r="UB11" s="277"/>
      <c r="UC11" s="277"/>
      <c r="UD11" s="277"/>
      <c r="UE11" s="277"/>
      <c r="UF11" s="277"/>
      <c r="UG11" s="277"/>
      <c r="UH11" s="277"/>
      <c r="UI11" s="277"/>
      <c r="UJ11" s="277"/>
      <c r="UK11" s="277"/>
      <c r="UL11" s="277"/>
      <c r="UM11" s="277"/>
      <c r="UN11" s="277"/>
      <c r="UO11" s="277"/>
      <c r="UP11" s="277"/>
      <c r="UQ11" s="277"/>
      <c r="UR11" s="277"/>
      <c r="US11" s="277"/>
      <c r="UT11" s="277"/>
      <c r="UU11" s="277"/>
      <c r="UV11" s="277"/>
      <c r="UW11" s="277"/>
      <c r="UX11" s="277"/>
      <c r="UY11" s="277"/>
      <c r="UZ11" s="277"/>
      <c r="VA11" s="277"/>
      <c r="VB11" s="277"/>
      <c r="VC11" s="277"/>
      <c r="VD11" s="277"/>
      <c r="VE11" s="277"/>
      <c r="VF11" s="277"/>
      <c r="VG11" s="277"/>
      <c r="VH11" s="277"/>
      <c r="VI11" s="277"/>
      <c r="VJ11" s="277"/>
      <c r="VK11" s="277"/>
      <c r="VL11" s="277"/>
      <c r="VM11" s="277"/>
      <c r="VN11" s="277"/>
      <c r="VO11" s="277"/>
      <c r="VP11" s="277"/>
      <c r="VQ11" s="277"/>
      <c r="VR11" s="277"/>
      <c r="VS11" s="277"/>
      <c r="VT11" s="277"/>
      <c r="VU11" s="277"/>
      <c r="VV11" s="277"/>
      <c r="VW11" s="277"/>
      <c r="VX11" s="277"/>
      <c r="VY11" s="277"/>
      <c r="VZ11" s="277"/>
      <c r="WA11" s="277"/>
      <c r="WB11" s="277"/>
      <c r="WC11" s="277"/>
      <c r="WD11" s="277"/>
      <c r="WE11" s="277"/>
      <c r="WF11" s="277"/>
      <c r="WG11" s="277"/>
      <c r="WH11" s="277"/>
      <c r="WI11" s="277"/>
      <c r="WJ11" s="277"/>
      <c r="WK11" s="277"/>
      <c r="WL11" s="277"/>
      <c r="WM11" s="277"/>
      <c r="WN11" s="277"/>
      <c r="WO11" s="277"/>
      <c r="WP11" s="277"/>
      <c r="WQ11" s="277"/>
      <c r="WR11" s="277"/>
      <c r="WS11" s="277"/>
      <c r="WT11" s="277"/>
      <c r="WU11" s="277"/>
      <c r="WV11" s="277"/>
      <c r="WW11" s="277"/>
      <c r="WX11" s="277"/>
      <c r="WY11" s="277"/>
      <c r="WZ11" s="277"/>
      <c r="XA11" s="277"/>
      <c r="XB11" s="277"/>
      <c r="XC11" s="277"/>
      <c r="XD11" s="277"/>
      <c r="XE11" s="277"/>
      <c r="XF11" s="277"/>
      <c r="XG11" s="277"/>
      <c r="XH11" s="277"/>
      <c r="XI11" s="277"/>
      <c r="XJ11" s="277"/>
      <c r="XK11" s="277"/>
      <c r="XL11" s="277"/>
      <c r="XM11" s="277"/>
      <c r="XN11" s="277"/>
      <c r="XO11" s="277"/>
      <c r="XP11" s="277"/>
      <c r="XQ11" s="277"/>
      <c r="XR11" s="277"/>
      <c r="XS11" s="277"/>
      <c r="XT11" s="277"/>
      <c r="XU11" s="277"/>
      <c r="XV11" s="277"/>
      <c r="XW11" s="277"/>
      <c r="XX11" s="277"/>
      <c r="XY11" s="277"/>
      <c r="XZ11" s="277"/>
      <c r="YA11" s="277"/>
      <c r="YB11" s="277"/>
      <c r="YC11" s="277"/>
      <c r="YD11" s="277"/>
      <c r="YE11" s="277"/>
      <c r="YF11" s="277"/>
      <c r="YG11" s="277"/>
      <c r="YH11" s="277"/>
      <c r="YI11" s="277"/>
      <c r="YJ11" s="277"/>
      <c r="YK11" s="277"/>
      <c r="YL11" s="277"/>
      <c r="YM11" s="277"/>
      <c r="YN11" s="277"/>
      <c r="YO11" s="277"/>
      <c r="YP11" s="277"/>
      <c r="YQ11" s="277"/>
      <c r="YR11" s="277"/>
      <c r="YS11" s="277"/>
      <c r="YT11" s="277"/>
      <c r="YU11" s="277"/>
      <c r="YV11" s="277"/>
      <c r="YW11" s="277"/>
      <c r="YX11" s="277"/>
      <c r="YY11" s="277"/>
      <c r="YZ11" s="277"/>
      <c r="ZA11" s="277"/>
      <c r="ZB11" s="277"/>
      <c r="ZC11" s="277"/>
      <c r="ZD11" s="277"/>
      <c r="ZE11" s="277"/>
      <c r="ZF11" s="277"/>
      <c r="ZG11" s="277"/>
      <c r="ZH11" s="277"/>
      <c r="ZI11" s="277"/>
      <c r="ZJ11" s="277"/>
      <c r="ZK11" s="277"/>
      <c r="ZL11" s="277"/>
      <c r="ZM11" s="277"/>
      <c r="ZN11" s="277"/>
      <c r="ZO11" s="277"/>
      <c r="ZP11" s="277"/>
      <c r="ZQ11" s="277"/>
      <c r="ZR11" s="277"/>
      <c r="ZS11" s="277"/>
      <c r="ZT11" s="277"/>
      <c r="ZU11" s="277"/>
      <c r="ZV11" s="277"/>
      <c r="ZW11" s="277"/>
      <c r="ZX11" s="277"/>
      <c r="ZY11" s="277"/>
      <c r="ZZ11" s="277"/>
      <c r="AAA11" s="277"/>
      <c r="AAB11" s="277"/>
      <c r="AAC11" s="277"/>
      <c r="AAD11" s="277"/>
      <c r="AAE11" s="277"/>
      <c r="AAF11" s="277"/>
      <c r="AAG11" s="277"/>
      <c r="AAH11" s="277"/>
      <c r="AAI11" s="277"/>
      <c r="AAJ11" s="277"/>
      <c r="AAK11" s="277"/>
      <c r="AAL11" s="277"/>
      <c r="AAM11" s="277"/>
      <c r="AAN11" s="277"/>
      <c r="AAO11" s="277"/>
      <c r="AAP11" s="277"/>
      <c r="AAQ11" s="277"/>
      <c r="AAR11" s="277"/>
      <c r="AAS11" s="277"/>
      <c r="AAT11" s="277"/>
      <c r="AAU11" s="277"/>
      <c r="AAV11" s="277"/>
      <c r="AAW11" s="277"/>
      <c r="AAX11" s="277"/>
      <c r="AAY11" s="277"/>
      <c r="AAZ11" s="277"/>
      <c r="ABA11" s="277"/>
      <c r="ABB11" s="277"/>
      <c r="ABC11" s="277"/>
      <c r="ABD11" s="277"/>
      <c r="ABE11" s="277"/>
      <c r="ABF11" s="277"/>
      <c r="ABG11" s="277"/>
      <c r="ABH11" s="277"/>
      <c r="ABI11" s="277"/>
      <c r="ABJ11" s="277"/>
      <c r="ABK11" s="277"/>
      <c r="ABL11" s="277"/>
      <c r="ABM11" s="277"/>
      <c r="ABN11" s="277"/>
      <c r="ABO11" s="277"/>
      <c r="ABP11" s="277"/>
      <c r="ABQ11" s="277"/>
      <c r="ABR11" s="277"/>
      <c r="ABS11" s="277"/>
      <c r="ABT11" s="277"/>
      <c r="ABU11" s="277"/>
      <c r="ABV11" s="277"/>
      <c r="ABW11" s="277"/>
      <c r="ABX11" s="277"/>
      <c r="ABY11" s="277"/>
      <c r="ABZ11" s="277"/>
      <c r="ACA11" s="277"/>
      <c r="ACB11" s="277"/>
      <c r="ACC11" s="277"/>
      <c r="ACD11" s="277"/>
      <c r="ACE11" s="277"/>
      <c r="ACF11" s="277"/>
      <c r="ACG11" s="277"/>
      <c r="ACH11" s="277"/>
      <c r="ACI11" s="277"/>
      <c r="ACJ11" s="277"/>
      <c r="ACK11" s="277"/>
      <c r="ACL11" s="277"/>
      <c r="ACM11" s="277"/>
      <c r="ACN11" s="277"/>
      <c r="ACO11" s="277"/>
      <c r="ACP11" s="277"/>
      <c r="ACQ11" s="277"/>
      <c r="ACR11" s="277"/>
      <c r="ACS11" s="277"/>
      <c r="ACT11" s="277"/>
      <c r="ACU11" s="277"/>
      <c r="ACV11" s="277"/>
      <c r="ACW11" s="277"/>
      <c r="ACX11" s="277"/>
      <c r="ACY11" s="277"/>
      <c r="ACZ11" s="277"/>
      <c r="ADA11" s="277"/>
      <c r="ADB11" s="277"/>
      <c r="ADC11" s="277"/>
      <c r="ADD11" s="277"/>
      <c r="ADE11" s="277"/>
      <c r="ADF11" s="277"/>
      <c r="ADG11" s="277"/>
      <c r="ADH11" s="277"/>
      <c r="ADI11" s="277"/>
      <c r="ADJ11" s="277"/>
      <c r="ADK11" s="277"/>
      <c r="ADL11" s="277"/>
      <c r="ADM11" s="277"/>
      <c r="ADN11" s="277"/>
      <c r="ADO11" s="277"/>
      <c r="ADP11" s="277"/>
      <c r="ADQ11" s="277"/>
      <c r="ADR11" s="277"/>
      <c r="ADS11" s="277"/>
      <c r="ADT11" s="277"/>
      <c r="ADU11" s="277"/>
      <c r="ADV11" s="277"/>
      <c r="ADW11" s="277"/>
      <c r="ADX11" s="277"/>
      <c r="ADY11" s="277"/>
      <c r="ADZ11" s="277"/>
      <c r="AEA11" s="277"/>
      <c r="AEB11" s="277"/>
      <c r="AEC11" s="277"/>
      <c r="AED11" s="277"/>
      <c r="AEE11" s="277"/>
      <c r="AEF11" s="277"/>
      <c r="AEG11" s="277"/>
      <c r="AEH11" s="277"/>
      <c r="AEI11" s="277"/>
      <c r="AEJ11" s="277"/>
      <c r="AEK11" s="277"/>
      <c r="AEL11" s="277"/>
      <c r="AEM11" s="277"/>
      <c r="AEN11" s="277"/>
      <c r="AEO11" s="277"/>
      <c r="AEP11" s="277"/>
      <c r="AEQ11" s="277"/>
      <c r="AER11" s="277"/>
      <c r="AES11" s="277"/>
      <c r="AET11" s="277"/>
      <c r="AEU11" s="277"/>
      <c r="AEV11" s="277"/>
      <c r="AEW11" s="277"/>
      <c r="AEX11" s="277"/>
      <c r="AEY11" s="277"/>
      <c r="AEZ11" s="277"/>
      <c r="AFA11" s="277"/>
      <c r="AFB11" s="277"/>
      <c r="AFC11" s="277"/>
      <c r="AFD11" s="277"/>
      <c r="AFE11" s="277"/>
      <c r="AFF11" s="277"/>
      <c r="AFG11" s="277"/>
      <c r="AFH11" s="277"/>
      <c r="AFI11" s="277"/>
      <c r="AFJ11" s="277"/>
      <c r="AFK11" s="277"/>
      <c r="AFL11" s="277"/>
      <c r="AFM11" s="277"/>
      <c r="AFN11" s="277"/>
      <c r="AFO11" s="277"/>
      <c r="AFP11" s="277"/>
      <c r="AFQ11" s="277"/>
      <c r="AFR11" s="277"/>
      <c r="AFS11" s="277"/>
      <c r="AFT11" s="277"/>
      <c r="AFU11" s="277"/>
      <c r="AFV11" s="277"/>
      <c r="AFW11" s="277"/>
      <c r="AFX11" s="277"/>
      <c r="AFY11" s="277"/>
      <c r="AFZ11" s="277"/>
      <c r="AGA11" s="277"/>
      <c r="AGB11" s="277"/>
      <c r="AGC11" s="277"/>
      <c r="AGD11" s="277"/>
      <c r="AGE11" s="277"/>
      <c r="AGF11" s="277"/>
      <c r="AGG11" s="277"/>
      <c r="AGH11" s="277"/>
      <c r="AGI11" s="277"/>
      <c r="AGJ11" s="277"/>
      <c r="AGK11" s="277"/>
      <c r="AGL11" s="277"/>
      <c r="AGM11" s="277"/>
      <c r="AGN11" s="277"/>
      <c r="AGO11" s="277"/>
      <c r="AGP11" s="277"/>
      <c r="AGQ11" s="277"/>
      <c r="AGR11" s="277"/>
      <c r="AGS11" s="277"/>
      <c r="AGT11" s="277"/>
      <c r="AGU11" s="277"/>
      <c r="AGV11" s="277"/>
      <c r="AGW11" s="277"/>
      <c r="AGX11" s="277"/>
      <c r="AGY11" s="277"/>
      <c r="AGZ11" s="277"/>
      <c r="AHA11" s="277"/>
      <c r="AHB11" s="277"/>
      <c r="AHC11" s="277"/>
      <c r="AHD11" s="277"/>
      <c r="AHE11" s="277"/>
      <c r="AHF11" s="277"/>
      <c r="AHG11" s="277"/>
      <c r="AHH11" s="277"/>
      <c r="AHI11" s="277"/>
      <c r="AHJ11" s="277"/>
      <c r="AHK11" s="277"/>
      <c r="AHL11" s="277"/>
      <c r="AHM11" s="277"/>
      <c r="AHN11" s="277"/>
      <c r="AHO11" s="277"/>
      <c r="AHP11" s="277"/>
      <c r="AHQ11" s="277"/>
      <c r="AHR11" s="277"/>
      <c r="AHS11" s="277"/>
      <c r="AHT11" s="277"/>
      <c r="AHU11" s="277"/>
      <c r="AHV11" s="277"/>
      <c r="AHW11" s="277"/>
      <c r="AHX11" s="277"/>
      <c r="AHY11" s="277"/>
      <c r="AHZ11" s="277"/>
      <c r="AIA11" s="277"/>
      <c r="AIB11" s="277"/>
      <c r="AIC11" s="277"/>
      <c r="AID11" s="277"/>
      <c r="AIE11" s="277"/>
      <c r="AIF11" s="277"/>
      <c r="AIG11" s="277"/>
      <c r="AIH11" s="277"/>
      <c r="AII11" s="277"/>
      <c r="AIJ11" s="277"/>
      <c r="AIK11" s="277"/>
      <c r="AIL11" s="277"/>
      <c r="AIM11" s="277"/>
      <c r="AIN11" s="277"/>
      <c r="AIO11" s="277"/>
      <c r="AIP11" s="277"/>
      <c r="AIQ11" s="277"/>
      <c r="AIR11" s="277"/>
      <c r="AIS11" s="277"/>
      <c r="AIT11" s="277"/>
      <c r="AIU11" s="277"/>
      <c r="AIV11" s="277"/>
      <c r="AIW11" s="277"/>
      <c r="AIX11" s="277"/>
      <c r="AIY11" s="277"/>
      <c r="AIZ11" s="277"/>
      <c r="AJA11" s="277"/>
      <c r="AJB11" s="277"/>
      <c r="AJC11" s="277"/>
      <c r="AJD11" s="277"/>
      <c r="AJE11" s="277"/>
      <c r="AJF11" s="277"/>
      <c r="AJG11" s="277"/>
      <c r="AJH11" s="277"/>
      <c r="AJI11" s="277"/>
      <c r="AJJ11" s="277"/>
      <c r="AJK11" s="277"/>
      <c r="AJL11" s="277"/>
      <c r="AJM11" s="277"/>
      <c r="AJN11" s="277"/>
      <c r="AJO11" s="277"/>
      <c r="AJP11" s="277"/>
      <c r="AJQ11" s="277"/>
      <c r="AJR11" s="277"/>
      <c r="AJS11" s="277"/>
      <c r="AJT11" s="277"/>
      <c r="AJU11" s="277"/>
      <c r="AJV11" s="277"/>
      <c r="AJW11" s="277"/>
      <c r="AJX11" s="277"/>
      <c r="AJY11" s="277"/>
      <c r="AJZ11" s="277"/>
      <c r="AKA11" s="277"/>
      <c r="AKB11" s="277"/>
      <c r="AKC11" s="277"/>
      <c r="AKD11" s="277"/>
      <c r="AKE11" s="277"/>
      <c r="AKF11" s="277"/>
      <c r="AKG11" s="277"/>
      <c r="AKH11" s="277"/>
      <c r="AKI11" s="277"/>
      <c r="AKJ11" s="277"/>
      <c r="AKK11" s="277"/>
      <c r="AKL11" s="277"/>
      <c r="AKM11" s="277"/>
      <c r="AKN11" s="277"/>
      <c r="AKO11" s="277"/>
      <c r="AKP11" s="277"/>
      <c r="AKQ11" s="277"/>
      <c r="AKR11" s="277"/>
      <c r="AKS11" s="277"/>
      <c r="AKT11" s="277"/>
      <c r="AKU11" s="277"/>
      <c r="AKV11" s="277"/>
      <c r="AKW11" s="277"/>
      <c r="AKX11" s="277"/>
      <c r="AKY11" s="277"/>
      <c r="AKZ11" s="277"/>
      <c r="ALA11" s="277"/>
      <c r="ALB11" s="277"/>
      <c r="ALC11" s="277"/>
      <c r="ALD11" s="277"/>
      <c r="ALE11" s="277"/>
      <c r="ALF11" s="277"/>
      <c r="ALG11" s="277"/>
      <c r="ALH11" s="277"/>
      <c r="ALI11" s="277"/>
      <c r="ALJ11" s="277"/>
      <c r="ALK11" s="277"/>
      <c r="ALL11" s="277"/>
      <c r="ALM11" s="277"/>
      <c r="ALN11" s="277"/>
      <c r="ALO11" s="277"/>
      <c r="ALP11" s="277"/>
      <c r="ALQ11" s="277"/>
      <c r="ALR11" s="277"/>
      <c r="ALS11" s="277"/>
      <c r="ALT11" s="277"/>
      <c r="ALU11" s="277"/>
      <c r="ALV11" s="277"/>
      <c r="ALW11" s="277"/>
      <c r="ALX11" s="277"/>
      <c r="ALY11" s="277"/>
      <c r="ALZ11" s="277"/>
      <c r="AMA11" s="277"/>
      <c r="AMB11" s="277"/>
      <c r="AMC11" s="277"/>
      <c r="AMD11" s="277"/>
      <c r="AME11" s="277"/>
      <c r="AMF11" s="277"/>
      <c r="AMG11" s="277"/>
      <c r="AMH11" s="277"/>
      <c r="AMI11" s="277"/>
      <c r="AMJ11" s="277"/>
      <c r="AMK11" s="277"/>
      <c r="AML11" s="277"/>
      <c r="AMM11" s="277"/>
      <c r="AMN11" s="277"/>
      <c r="AMO11" s="277"/>
      <c r="AMP11" s="277"/>
      <c r="AMQ11" s="277"/>
      <c r="AMR11" s="277"/>
      <c r="AMS11" s="277"/>
      <c r="AMT11" s="277"/>
      <c r="AMU11" s="277"/>
      <c r="AMV11" s="277"/>
      <c r="AMW11" s="277"/>
      <c r="AMX11" s="277"/>
      <c r="AMY11" s="277"/>
      <c r="AMZ11" s="277"/>
      <c r="ANA11" s="277"/>
      <c r="ANB11" s="277"/>
      <c r="ANC11" s="277"/>
      <c r="AND11" s="277"/>
      <c r="ANE11" s="277"/>
      <c r="ANF11" s="277"/>
      <c r="ANG11" s="277"/>
      <c r="ANH11" s="277"/>
      <c r="ANI11" s="277"/>
      <c r="ANJ11" s="277"/>
      <c r="ANK11" s="277"/>
      <c r="ANL11" s="277"/>
      <c r="ANM11" s="277"/>
      <c r="ANN11" s="277"/>
      <c r="ANO11" s="277"/>
      <c r="ANP11" s="277"/>
      <c r="ANQ11" s="277"/>
      <c r="ANR11" s="277"/>
      <c r="ANS11" s="277"/>
      <c r="ANT11" s="277"/>
      <c r="ANU11" s="277"/>
      <c r="ANV11" s="277"/>
      <c r="ANW11" s="277"/>
      <c r="ANX11" s="277"/>
      <c r="ANY11" s="277"/>
      <c r="ANZ11" s="277"/>
      <c r="AOA11" s="277"/>
      <c r="AOB11" s="277"/>
      <c r="AOC11" s="277"/>
      <c r="AOD11" s="277"/>
      <c r="AOE11" s="277"/>
      <c r="AOF11" s="277"/>
      <c r="AOG11" s="277"/>
      <c r="AOH11" s="277"/>
      <c r="AOI11" s="277"/>
      <c r="AOJ11" s="277"/>
      <c r="AOK11" s="277"/>
      <c r="AOL11" s="277"/>
      <c r="AOM11" s="277"/>
      <c r="AON11" s="277"/>
      <c r="AOO11" s="277"/>
      <c r="AOP11" s="277"/>
      <c r="AOQ11" s="277"/>
      <c r="AOR11" s="277"/>
      <c r="AOS11" s="277"/>
      <c r="AOT11" s="277"/>
      <c r="AOU11" s="277"/>
      <c r="AOV11" s="277"/>
      <c r="AOW11" s="277"/>
      <c r="AOX11" s="277"/>
      <c r="AOY11" s="277"/>
      <c r="AOZ11" s="277"/>
      <c r="APA11" s="277"/>
      <c r="APB11" s="277"/>
      <c r="APC11" s="277"/>
      <c r="APD11" s="277"/>
      <c r="APE11" s="277"/>
      <c r="APF11" s="277"/>
      <c r="APG11" s="277"/>
      <c r="APH11" s="277"/>
      <c r="API11" s="277"/>
      <c r="APJ11" s="277"/>
      <c r="APK11" s="277"/>
      <c r="APL11" s="277"/>
      <c r="APM11" s="277"/>
      <c r="APN11" s="277"/>
      <c r="APO11" s="277"/>
      <c r="APP11" s="277"/>
      <c r="APQ11" s="277"/>
      <c r="APR11" s="277"/>
      <c r="APS11" s="277"/>
      <c r="APT11" s="277"/>
      <c r="APU11" s="277"/>
      <c r="APV11" s="277"/>
      <c r="APW11" s="277"/>
      <c r="APX11" s="277"/>
      <c r="APY11" s="277"/>
      <c r="APZ11" s="277"/>
      <c r="AQA11" s="277"/>
      <c r="AQB11" s="277"/>
      <c r="AQC11" s="277"/>
      <c r="AQD11" s="277"/>
      <c r="AQE11" s="277"/>
      <c r="AQF11" s="277"/>
      <c r="AQG11" s="277"/>
      <c r="AQH11" s="277"/>
      <c r="AQI11" s="277"/>
      <c r="AQJ11" s="277"/>
      <c r="AQK11" s="277"/>
      <c r="AQL11" s="277"/>
      <c r="AQM11" s="277"/>
      <c r="AQN11" s="277"/>
      <c r="AQO11" s="277"/>
      <c r="AQP11" s="277"/>
      <c r="AQQ11" s="277"/>
      <c r="AQR11" s="277"/>
      <c r="AQS11" s="277"/>
      <c r="AQT11" s="277"/>
      <c r="AQU11" s="277"/>
      <c r="AQV11" s="277"/>
      <c r="AQW11" s="277"/>
      <c r="AQX11" s="277"/>
      <c r="AQY11" s="277"/>
      <c r="AQZ11" s="277"/>
      <c r="ARA11" s="277"/>
      <c r="ARB11" s="277"/>
      <c r="ARC11" s="277"/>
      <c r="ARD11" s="277"/>
      <c r="ARE11" s="277"/>
      <c r="ARF11" s="277"/>
      <c r="ARG11" s="277"/>
      <c r="ARH11" s="277"/>
      <c r="ARI11" s="277"/>
      <c r="ARJ11" s="277"/>
      <c r="ARK11" s="277"/>
      <c r="ARL11" s="277"/>
      <c r="ARM11" s="277"/>
      <c r="ARN11" s="277"/>
      <c r="ARO11" s="277"/>
      <c r="ARP11" s="277"/>
      <c r="ARQ11" s="277"/>
      <c r="ARR11" s="277"/>
      <c r="ARS11" s="277"/>
      <c r="ART11" s="277"/>
      <c r="ARU11" s="277"/>
      <c r="ARV11" s="277"/>
      <c r="ARW11" s="277"/>
      <c r="ARX11" s="277"/>
      <c r="ARY11" s="277"/>
      <c r="ARZ11" s="277"/>
      <c r="ASA11" s="277"/>
      <c r="ASB11" s="277"/>
      <c r="ASC11" s="277"/>
      <c r="ASD11" s="277"/>
      <c r="ASE11" s="277"/>
      <c r="ASF11" s="277"/>
      <c r="ASG11" s="277"/>
      <c r="ASH11" s="277"/>
      <c r="ASI11" s="277"/>
      <c r="ASJ11" s="277"/>
      <c r="ASK11" s="277"/>
      <c r="ASL11" s="277"/>
      <c r="ASM11" s="277"/>
      <c r="ASN11" s="277"/>
      <c r="ASO11" s="277"/>
      <c r="ASP11" s="277"/>
      <c r="ASQ11" s="277"/>
      <c r="ASR11" s="277"/>
      <c r="ASS11" s="277"/>
      <c r="AST11" s="277"/>
      <c r="ASU11" s="277"/>
      <c r="ASV11" s="277"/>
      <c r="ASW11" s="277"/>
      <c r="ASX11" s="277"/>
      <c r="ASY11" s="277"/>
      <c r="ASZ11" s="277"/>
      <c r="ATA11" s="277"/>
      <c r="ATB11" s="277"/>
      <c r="ATC11" s="277"/>
      <c r="ATD11" s="277"/>
      <c r="ATE11" s="277"/>
      <c r="ATF11" s="277"/>
      <c r="ATG11" s="277"/>
      <c r="ATH11" s="277"/>
      <c r="ATI11" s="277"/>
      <c r="ATJ11" s="277"/>
      <c r="ATK11" s="277"/>
      <c r="ATL11" s="277"/>
      <c r="ATM11" s="277"/>
      <c r="ATN11" s="277"/>
      <c r="ATO11" s="277"/>
      <c r="ATP11" s="277"/>
      <c r="ATQ11" s="277"/>
      <c r="ATR11" s="277"/>
      <c r="ATS11" s="277"/>
      <c r="ATT11" s="277"/>
      <c r="ATU11" s="277"/>
      <c r="ATV11" s="277"/>
      <c r="ATW11" s="277"/>
      <c r="ATX11" s="277"/>
      <c r="ATY11" s="277"/>
      <c r="ATZ11" s="277"/>
      <c r="AUA11" s="277"/>
      <c r="AUB11" s="277"/>
      <c r="AUC11" s="277"/>
      <c r="AUD11" s="277"/>
      <c r="AUE11" s="277"/>
      <c r="AUF11" s="277"/>
      <c r="AUG11" s="277"/>
      <c r="AUH11" s="277"/>
      <c r="AUI11" s="277"/>
      <c r="AUJ11" s="277"/>
      <c r="AUK11" s="277"/>
      <c r="AUL11" s="277"/>
      <c r="AUM11" s="277"/>
      <c r="AUN11" s="277"/>
      <c r="AUO11" s="277"/>
      <c r="AUP11" s="277"/>
      <c r="AUQ11" s="277"/>
      <c r="AUR11" s="277"/>
      <c r="AUS11" s="277"/>
      <c r="AUT11" s="277"/>
      <c r="AUU11" s="277"/>
      <c r="AUV11" s="277"/>
      <c r="AUW11" s="277"/>
      <c r="AUX11" s="277"/>
      <c r="AUY11" s="277"/>
      <c r="AUZ11" s="277"/>
      <c r="AVA11" s="277"/>
      <c r="AVB11" s="277"/>
      <c r="AVC11" s="277"/>
      <c r="AVD11" s="277"/>
      <c r="AVE11" s="277"/>
      <c r="AVF11" s="277"/>
      <c r="AVG11" s="277"/>
      <c r="AVH11" s="277"/>
      <c r="AVI11" s="277"/>
      <c r="AVJ11" s="277"/>
      <c r="AVK11" s="277"/>
      <c r="AVL11" s="277"/>
      <c r="AVM11" s="277"/>
      <c r="AVN11" s="277"/>
      <c r="AVO11" s="277"/>
      <c r="AVP11" s="277"/>
      <c r="AVQ11" s="277"/>
      <c r="AVR11" s="277"/>
      <c r="AVS11" s="277"/>
      <c r="AVT11" s="277"/>
      <c r="AVU11" s="277"/>
      <c r="AVV11" s="277"/>
      <c r="AVW11" s="277"/>
      <c r="AVX11" s="277"/>
      <c r="AVY11" s="277"/>
      <c r="AVZ11" s="277"/>
      <c r="AWA11" s="277"/>
      <c r="AWB11" s="277"/>
      <c r="AWC11" s="277"/>
      <c r="AWD11" s="277"/>
      <c r="AWE11" s="277"/>
      <c r="AWF11" s="277"/>
      <c r="AWG11" s="277"/>
      <c r="AWH11" s="277"/>
      <c r="AWI11" s="277"/>
      <c r="AWJ11" s="277"/>
      <c r="AWK11" s="277"/>
      <c r="AWL11" s="277"/>
      <c r="AWM11" s="277"/>
      <c r="AWN11" s="277"/>
      <c r="AWO11" s="277"/>
      <c r="AWP11" s="277"/>
      <c r="AWQ11" s="277"/>
      <c r="AWR11" s="277"/>
      <c r="AWS11" s="277"/>
      <c r="AWT11" s="277"/>
      <c r="AWU11" s="277"/>
      <c r="AWV11" s="277"/>
      <c r="AWW11" s="277"/>
      <c r="AWX11" s="277"/>
      <c r="AWY11" s="277"/>
      <c r="AWZ11" s="277"/>
      <c r="AXA11" s="277"/>
      <c r="AXB11" s="277"/>
      <c r="AXC11" s="277"/>
      <c r="AXD11" s="277"/>
      <c r="AXE11" s="277"/>
      <c r="AXF11" s="277"/>
      <c r="AXG11" s="277"/>
      <c r="AXH11" s="277"/>
      <c r="AXI11" s="277"/>
      <c r="AXJ11" s="277"/>
      <c r="AXK11" s="277"/>
      <c r="AXL11" s="277"/>
      <c r="AXM11" s="277"/>
      <c r="AXN11" s="277"/>
      <c r="AXO11" s="277"/>
      <c r="AXP11" s="277"/>
      <c r="AXQ11" s="277"/>
      <c r="AXR11" s="277"/>
      <c r="AXS11" s="277"/>
      <c r="AXT11" s="277"/>
      <c r="AXU11" s="277"/>
      <c r="AXV11" s="277"/>
      <c r="AXW11" s="277"/>
      <c r="AXX11" s="277"/>
      <c r="AXY11" s="277"/>
      <c r="AXZ11" s="277"/>
      <c r="AYA11" s="277"/>
      <c r="AYB11" s="277"/>
      <c r="AYC11" s="277"/>
      <c r="AYD11" s="277"/>
      <c r="AYE11" s="277"/>
      <c r="AYF11" s="277"/>
      <c r="AYG11" s="277"/>
      <c r="AYH11" s="277"/>
      <c r="AYI11" s="277"/>
      <c r="AYJ11" s="277"/>
      <c r="AYK11" s="277"/>
      <c r="AYL11" s="277"/>
      <c r="AYM11" s="277"/>
      <c r="AYN11" s="277"/>
      <c r="AYO11" s="277"/>
      <c r="AYP11" s="277"/>
      <c r="AYQ11" s="277"/>
      <c r="AYR11" s="277"/>
      <c r="AYS11" s="277"/>
      <c r="AYT11" s="277"/>
      <c r="AYU11" s="277"/>
      <c r="AYV11" s="277"/>
      <c r="AYW11" s="277"/>
      <c r="AYX11" s="277"/>
      <c r="AYY11" s="277"/>
      <c r="AYZ11" s="277"/>
      <c r="AZA11" s="277"/>
      <c r="AZB11" s="277"/>
      <c r="AZC11" s="277"/>
      <c r="AZD11" s="277"/>
      <c r="AZE11" s="277"/>
      <c r="AZF11" s="277"/>
      <c r="AZG11" s="277"/>
      <c r="AZH11" s="277"/>
      <c r="AZI11" s="277"/>
      <c r="AZJ11" s="277"/>
      <c r="AZK11" s="277"/>
      <c r="AZL11" s="277"/>
      <c r="AZM11" s="277"/>
      <c r="AZN11" s="277"/>
      <c r="AZO11" s="277"/>
      <c r="AZP11" s="277"/>
      <c r="AZQ11" s="277"/>
      <c r="AZR11" s="277"/>
      <c r="AZS11" s="277"/>
      <c r="AZT11" s="277"/>
      <c r="AZU11" s="277"/>
      <c r="AZV11" s="277"/>
      <c r="AZW11" s="277"/>
      <c r="AZX11" s="277"/>
      <c r="AZY11" s="277"/>
      <c r="AZZ11" s="277"/>
      <c r="BAA11" s="277"/>
      <c r="BAB11" s="277"/>
      <c r="BAC11" s="277"/>
      <c r="BAD11" s="277"/>
      <c r="BAE11" s="277"/>
      <c r="BAF11" s="277"/>
      <c r="BAG11" s="277"/>
      <c r="BAH11" s="277"/>
      <c r="BAI11" s="277"/>
      <c r="BAJ11" s="277"/>
      <c r="BAK11" s="277"/>
      <c r="BAL11" s="277"/>
      <c r="BAM11" s="277"/>
      <c r="BAN11" s="277"/>
      <c r="BAO11" s="277"/>
      <c r="BAP11" s="277"/>
      <c r="BAQ11" s="277"/>
      <c r="BAR11" s="277"/>
      <c r="BAS11" s="277"/>
      <c r="BAT11" s="277"/>
      <c r="BAU11" s="277"/>
      <c r="BAV11" s="277"/>
      <c r="BAW11" s="277"/>
      <c r="BAX11" s="277"/>
      <c r="BAY11" s="277"/>
      <c r="BAZ11" s="277"/>
      <c r="BBA11" s="277"/>
      <c r="BBB11" s="277"/>
      <c r="BBC11" s="277"/>
      <c r="BBD11" s="277"/>
      <c r="BBE11" s="277"/>
      <c r="BBF11" s="277"/>
      <c r="BBG11" s="277"/>
      <c r="BBH11" s="277"/>
      <c r="BBI11" s="277"/>
      <c r="BBJ11" s="277"/>
      <c r="BBK11" s="277"/>
      <c r="BBL11" s="277"/>
      <c r="BBM11" s="277"/>
      <c r="BBN11" s="277"/>
      <c r="BBO11" s="277"/>
      <c r="BBP11" s="277"/>
      <c r="BBQ11" s="277"/>
      <c r="BBR11" s="277"/>
      <c r="BBS11" s="277"/>
      <c r="BBT11" s="277"/>
      <c r="BBU11" s="277"/>
      <c r="BBV11" s="277"/>
      <c r="BBW11" s="277"/>
      <c r="BBX11" s="277"/>
      <c r="BBY11" s="277"/>
      <c r="BBZ11" s="277"/>
      <c r="BCA11" s="277"/>
      <c r="BCB11" s="277"/>
      <c r="BCC11" s="277"/>
      <c r="BCD11" s="277"/>
      <c r="BCE11" s="277"/>
      <c r="BCF11" s="277"/>
      <c r="BCG11" s="277"/>
      <c r="BCH11" s="277"/>
      <c r="BCI11" s="277"/>
      <c r="BCJ11" s="277"/>
      <c r="BCK11" s="277"/>
      <c r="BCL11" s="277"/>
      <c r="BCM11" s="277"/>
      <c r="BCN11" s="277"/>
      <c r="BCO11" s="277"/>
      <c r="BCP11" s="277"/>
      <c r="BCQ11" s="277"/>
      <c r="BCR11" s="277"/>
      <c r="BCS11" s="277"/>
      <c r="BCT11" s="277"/>
      <c r="BCU11" s="277"/>
      <c r="BCV11" s="277"/>
      <c r="BCW11" s="277"/>
      <c r="BCX11" s="277"/>
      <c r="BCY11" s="277"/>
      <c r="BCZ11" s="277"/>
      <c r="BDA11" s="277"/>
      <c r="BDB11" s="277"/>
      <c r="BDC11" s="277"/>
      <c r="BDD11" s="277"/>
      <c r="BDE11" s="277"/>
      <c r="BDF11" s="277"/>
      <c r="BDG11" s="277"/>
      <c r="BDH11" s="277"/>
      <c r="BDI11" s="277"/>
      <c r="BDJ11" s="277"/>
      <c r="BDK11" s="277"/>
      <c r="BDL11" s="277"/>
      <c r="BDM11" s="277"/>
      <c r="BDN11" s="277"/>
      <c r="BDO11" s="277"/>
      <c r="BDP11" s="277"/>
      <c r="BDQ11" s="277"/>
      <c r="BDR11" s="277"/>
      <c r="BDS11" s="277"/>
      <c r="BDT11" s="277"/>
      <c r="BDU11" s="277"/>
      <c r="BDV11" s="277"/>
      <c r="BDW11" s="277"/>
      <c r="BDX11" s="277"/>
      <c r="BDY11" s="277"/>
      <c r="BDZ11" s="277"/>
      <c r="BEA11" s="277"/>
      <c r="BEB11" s="277"/>
      <c r="BEC11" s="277"/>
      <c r="BED11" s="277"/>
      <c r="BEE11" s="277"/>
      <c r="BEF11" s="277"/>
      <c r="BEG11" s="277"/>
      <c r="BEH11" s="277"/>
      <c r="BEI11" s="277"/>
      <c r="BEJ11" s="277"/>
      <c r="BEK11" s="277"/>
      <c r="BEL11" s="277"/>
      <c r="BEM11" s="277"/>
      <c r="BEN11" s="277"/>
      <c r="BEO11" s="277"/>
      <c r="BEP11" s="277"/>
      <c r="BEQ11" s="277"/>
      <c r="BER11" s="277"/>
      <c r="BES11" s="277"/>
      <c r="BET11" s="277"/>
      <c r="BEU11" s="277"/>
      <c r="BEV11" s="277"/>
      <c r="BEW11" s="277"/>
      <c r="BEX11" s="277"/>
      <c r="BEY11" s="277"/>
      <c r="BEZ11" s="277"/>
      <c r="BFA11" s="277"/>
      <c r="BFB11" s="277"/>
      <c r="BFC11" s="277"/>
      <c r="BFD11" s="277"/>
      <c r="BFE11" s="277"/>
      <c r="BFF11" s="277"/>
      <c r="BFG11" s="277"/>
      <c r="BFH11" s="277"/>
      <c r="BFI11" s="277"/>
      <c r="BFJ11" s="277"/>
      <c r="BFK11" s="277"/>
      <c r="BFL11" s="277"/>
      <c r="BFM11" s="277"/>
      <c r="BFN11" s="277"/>
      <c r="BFO11" s="277"/>
      <c r="BFP11" s="277"/>
      <c r="BFQ11" s="277"/>
      <c r="BFR11" s="277"/>
      <c r="BFS11" s="277"/>
      <c r="BFT11" s="277"/>
      <c r="BFU11" s="277"/>
      <c r="BFV11" s="277"/>
      <c r="BFW11" s="277"/>
      <c r="BFX11" s="277"/>
      <c r="BFY11" s="277"/>
      <c r="BFZ11" s="277"/>
      <c r="BGA11" s="277"/>
      <c r="BGB11" s="277"/>
      <c r="BGC11" s="277"/>
      <c r="BGD11" s="277"/>
      <c r="BGE11" s="277"/>
      <c r="BGF11" s="277"/>
      <c r="BGG11" s="277"/>
      <c r="BGH11" s="277"/>
      <c r="BGI11" s="277"/>
      <c r="BGJ11" s="277"/>
      <c r="BGK11" s="277"/>
      <c r="BGL11" s="277"/>
      <c r="BGM11" s="277"/>
      <c r="BGN11" s="277"/>
      <c r="BGO11" s="277"/>
      <c r="BGP11" s="277"/>
      <c r="BGQ11" s="277"/>
      <c r="BGR11" s="277"/>
      <c r="BGS11" s="277"/>
      <c r="BGT11" s="277"/>
      <c r="BGU11" s="277"/>
      <c r="BGV11" s="277"/>
      <c r="BGW11" s="277"/>
      <c r="BGX11" s="277"/>
      <c r="BGY11" s="277"/>
      <c r="BGZ11" s="277"/>
      <c r="BHA11" s="277"/>
      <c r="BHB11" s="277"/>
      <c r="BHC11" s="277"/>
      <c r="BHD11" s="277"/>
      <c r="BHE11" s="277"/>
      <c r="BHF11" s="277"/>
      <c r="BHG11" s="277"/>
      <c r="BHH11" s="277"/>
      <c r="BHI11" s="277"/>
      <c r="BHJ11" s="277"/>
      <c r="BHK11" s="277"/>
      <c r="BHL11" s="277"/>
      <c r="BHM11" s="277"/>
      <c r="BHN11" s="277"/>
      <c r="BHO11" s="277"/>
      <c r="BHP11" s="277"/>
      <c r="BHQ11" s="277"/>
      <c r="BHR11" s="277"/>
      <c r="BHS11" s="277"/>
      <c r="BHT11" s="277"/>
      <c r="BHU11" s="277"/>
      <c r="BHV11" s="277"/>
      <c r="BHW11" s="277"/>
      <c r="BHX11" s="277"/>
      <c r="BHY11" s="277"/>
      <c r="BHZ11" s="277"/>
      <c r="BIA11" s="277"/>
      <c r="BIB11" s="277"/>
      <c r="BIC11" s="277"/>
      <c r="BID11" s="277"/>
      <c r="BIE11" s="277"/>
      <c r="BIF11" s="277"/>
      <c r="BIG11" s="277"/>
      <c r="BIH11" s="277"/>
      <c r="BII11" s="277"/>
      <c r="BIJ11" s="277"/>
      <c r="BIK11" s="277"/>
      <c r="BIL11" s="277"/>
      <c r="BIM11" s="277"/>
      <c r="BIN11" s="277"/>
      <c r="BIO11" s="277"/>
      <c r="BIP11" s="277"/>
      <c r="BIQ11" s="277"/>
      <c r="BIR11" s="277"/>
      <c r="BIS11" s="277"/>
      <c r="BIT11" s="277"/>
      <c r="BIU11" s="277"/>
      <c r="BIV11" s="277"/>
      <c r="BIW11" s="277"/>
      <c r="BIX11" s="277"/>
      <c r="BIY11" s="277"/>
      <c r="BIZ11" s="277"/>
      <c r="BJA11" s="277"/>
      <c r="BJB11" s="277"/>
      <c r="BJC11" s="277"/>
      <c r="BJD11" s="277"/>
      <c r="BJE11" s="277"/>
      <c r="BJF11" s="277"/>
      <c r="BJG11" s="277"/>
      <c r="BJH11" s="277"/>
      <c r="BJI11" s="277"/>
      <c r="BJJ11" s="277"/>
      <c r="BJK11" s="277"/>
      <c r="BJL11" s="277"/>
      <c r="BJM11" s="277"/>
      <c r="BJN11" s="277"/>
      <c r="BJO11" s="277"/>
      <c r="BJP11" s="277"/>
      <c r="BJQ11" s="277"/>
      <c r="BJR11" s="277"/>
      <c r="BJS11" s="277"/>
      <c r="BJT11" s="277"/>
      <c r="BJU11" s="277"/>
      <c r="BJV11" s="277"/>
      <c r="BJW11" s="277"/>
      <c r="BJX11" s="277"/>
      <c r="BJY11" s="277"/>
      <c r="BJZ11" s="277"/>
      <c r="BKA11" s="277"/>
      <c r="BKB11" s="277"/>
      <c r="BKC11" s="277"/>
      <c r="BKD11" s="277"/>
      <c r="BKE11" s="277"/>
      <c r="BKF11" s="277"/>
      <c r="BKG11" s="277"/>
      <c r="BKH11" s="277"/>
      <c r="BKI11" s="277"/>
      <c r="BKJ11" s="277"/>
      <c r="BKK11" s="277"/>
      <c r="BKL11" s="277"/>
      <c r="BKM11" s="277"/>
      <c r="BKN11" s="277"/>
      <c r="BKO11" s="277"/>
      <c r="BKP11" s="277"/>
      <c r="BKQ11" s="277"/>
      <c r="BKR11" s="277"/>
      <c r="BKS11" s="277"/>
      <c r="BKT11" s="277"/>
      <c r="BKU11" s="277"/>
      <c r="BKV11" s="277"/>
      <c r="BKW11" s="277"/>
      <c r="BKX11" s="277"/>
      <c r="BKY11" s="277"/>
      <c r="BKZ11" s="277"/>
      <c r="BLA11" s="277"/>
      <c r="BLB11" s="277"/>
      <c r="BLC11" s="277"/>
      <c r="BLD11" s="277"/>
      <c r="BLE11" s="277"/>
      <c r="BLF11" s="277"/>
      <c r="BLG11" s="277"/>
      <c r="BLH11" s="277"/>
      <c r="BLI11" s="277"/>
      <c r="BLJ11" s="277"/>
      <c r="BLK11" s="277"/>
      <c r="BLL11" s="277"/>
      <c r="BLM11" s="277"/>
      <c r="BLN11" s="277"/>
      <c r="BLO11" s="277"/>
      <c r="BLP11" s="277"/>
      <c r="BLQ11" s="277"/>
      <c r="BLR11" s="277"/>
      <c r="BLS11" s="277"/>
      <c r="BLT11" s="277"/>
      <c r="BLU11" s="277"/>
      <c r="BLV11" s="277"/>
      <c r="BLW11" s="277"/>
      <c r="BLX11" s="277"/>
      <c r="BLY11" s="277"/>
      <c r="BLZ11" s="277"/>
      <c r="BMA11" s="277"/>
      <c r="BMB11" s="277"/>
      <c r="BMC11" s="277"/>
      <c r="BMD11" s="277"/>
      <c r="BME11" s="277"/>
      <c r="BMF11" s="277"/>
      <c r="BMG11" s="277"/>
      <c r="BMH11" s="277"/>
      <c r="BMI11" s="277"/>
      <c r="BMJ11" s="277"/>
      <c r="BMK11" s="277"/>
      <c r="BML11" s="277"/>
      <c r="BMM11" s="277"/>
      <c r="BMN11" s="277"/>
      <c r="BMO11" s="277"/>
      <c r="BMP11" s="277"/>
      <c r="BMQ11" s="277"/>
      <c r="BMR11" s="277"/>
      <c r="BMS11" s="277"/>
      <c r="BMT11" s="277"/>
      <c r="BMU11" s="277"/>
      <c r="BMV11" s="277"/>
      <c r="BMW11" s="277"/>
      <c r="BMX11" s="277"/>
      <c r="BMY11" s="277"/>
      <c r="BMZ11" s="277"/>
      <c r="BNA11" s="277"/>
      <c r="BNB11" s="277"/>
      <c r="BNC11" s="277"/>
      <c r="BND11" s="277"/>
      <c r="BNE11" s="277"/>
      <c r="BNF11" s="277"/>
      <c r="BNG11" s="277"/>
      <c r="BNH11" s="277"/>
      <c r="BNI11" s="277"/>
      <c r="BNJ11" s="277"/>
      <c r="BNK11" s="277"/>
      <c r="BNL11" s="277"/>
      <c r="BNM11" s="277"/>
      <c r="BNN11" s="277"/>
      <c r="BNO11" s="277"/>
      <c r="BNP11" s="277"/>
      <c r="BNQ11" s="277"/>
      <c r="BNR11" s="277"/>
      <c r="BNS11" s="277"/>
      <c r="BNT11" s="277"/>
      <c r="BNU11" s="277"/>
      <c r="BNV11" s="277"/>
      <c r="BNW11" s="277"/>
      <c r="BNX11" s="277"/>
      <c r="BNY11" s="277"/>
      <c r="BNZ11" s="277"/>
      <c r="BOA11" s="277"/>
      <c r="BOB11" s="277"/>
      <c r="BOC11" s="277"/>
      <c r="BOD11" s="277"/>
      <c r="BOE11" s="277"/>
      <c r="BOF11" s="277"/>
      <c r="BOG11" s="277"/>
      <c r="BOH11" s="277"/>
      <c r="BOI11" s="277"/>
      <c r="BOJ11" s="277"/>
      <c r="BOK11" s="277"/>
      <c r="BOL11" s="277"/>
      <c r="BOM11" s="277"/>
      <c r="BON11" s="277"/>
      <c r="BOO11" s="277"/>
      <c r="BOP11" s="277"/>
      <c r="BOQ11" s="277"/>
      <c r="BOR11" s="277"/>
      <c r="BOS11" s="277"/>
      <c r="BOT11" s="277"/>
      <c r="BOU11" s="277"/>
      <c r="BOV11" s="277"/>
      <c r="BOW11" s="277"/>
      <c r="BOX11" s="277"/>
      <c r="BOY11" s="277"/>
      <c r="BOZ11" s="277"/>
      <c r="BPA11" s="277"/>
      <c r="BPB11" s="277"/>
      <c r="BPC11" s="277"/>
      <c r="BPD11" s="277"/>
      <c r="BPE11" s="277"/>
      <c r="BPF11" s="277"/>
      <c r="BPG11" s="277"/>
      <c r="BPH11" s="277"/>
      <c r="BPI11" s="277"/>
      <c r="BPJ11" s="277"/>
      <c r="BPK11" s="277"/>
      <c r="BPL11" s="277"/>
      <c r="BPM11" s="277"/>
      <c r="BPN11" s="277"/>
      <c r="BPO11" s="277"/>
      <c r="BPP11" s="277"/>
      <c r="BPQ11" s="277"/>
      <c r="BPR11" s="277"/>
      <c r="BPS11" s="277"/>
      <c r="BPT11" s="277"/>
      <c r="BPU11" s="277"/>
      <c r="BPV11" s="277"/>
      <c r="BPW11" s="277"/>
      <c r="BPX11" s="277"/>
      <c r="BPY11" s="277"/>
      <c r="BPZ11" s="277"/>
      <c r="BQA11" s="277"/>
      <c r="BQB11" s="277"/>
      <c r="BQC11" s="277"/>
      <c r="BQD11" s="277"/>
      <c r="BQE11" s="277"/>
      <c r="BQF11" s="277"/>
      <c r="BQG11" s="277"/>
      <c r="BQH11" s="277"/>
      <c r="BQI11" s="277"/>
      <c r="BQJ11" s="277"/>
      <c r="BQK11" s="277"/>
      <c r="BQL11" s="277"/>
      <c r="BQM11" s="277"/>
      <c r="BQN11" s="277"/>
      <c r="BQO11" s="277"/>
      <c r="BQP11" s="277"/>
      <c r="BQQ11" s="277"/>
      <c r="BQR11" s="277"/>
      <c r="BQS11" s="277"/>
      <c r="BQT11" s="277"/>
      <c r="BQU11" s="277"/>
      <c r="BQV11" s="277"/>
      <c r="BQW11" s="277"/>
      <c r="BQX11" s="277"/>
      <c r="BQY11" s="277"/>
      <c r="BQZ11" s="277"/>
      <c r="BRA11" s="277"/>
      <c r="BRB11" s="277"/>
      <c r="BRC11" s="277"/>
      <c r="BRD11" s="277"/>
      <c r="BRE11" s="277"/>
      <c r="BRF11" s="277"/>
      <c r="BRG11" s="277"/>
      <c r="BRH11" s="277"/>
      <c r="BRI11" s="277"/>
      <c r="BRJ11" s="277"/>
      <c r="BRK11" s="277"/>
      <c r="BRL11" s="277"/>
      <c r="BRM11" s="277"/>
      <c r="BRN11" s="277"/>
      <c r="BRO11" s="277"/>
      <c r="BRP11" s="277"/>
      <c r="BRQ11" s="277"/>
      <c r="BRR11" s="277"/>
      <c r="BRS11" s="277"/>
      <c r="BRT11" s="277"/>
      <c r="BRU11" s="277"/>
      <c r="BRV11" s="277"/>
      <c r="BRW11" s="277"/>
      <c r="BRX11" s="277"/>
      <c r="BRY11" s="277"/>
      <c r="BRZ11" s="277"/>
      <c r="BSA11" s="277"/>
      <c r="BSB11" s="277"/>
      <c r="BSC11" s="277"/>
      <c r="BSD11" s="277"/>
      <c r="BSE11" s="277"/>
      <c r="BSF11" s="277"/>
      <c r="BSG11" s="277"/>
      <c r="BSH11" s="277"/>
      <c r="BSI11" s="277"/>
      <c r="BSJ11" s="277"/>
      <c r="BSK11" s="277"/>
      <c r="BSL11" s="277"/>
      <c r="BSM11" s="277"/>
      <c r="BSN11" s="277"/>
      <c r="BSO11" s="277"/>
      <c r="BSP11" s="277"/>
      <c r="BSQ11" s="277"/>
      <c r="BSR11" s="277"/>
      <c r="BSS11" s="277"/>
      <c r="BST11" s="277"/>
      <c r="BSU11" s="277"/>
      <c r="BSV11" s="277"/>
      <c r="BSW11" s="277"/>
      <c r="BSX11" s="277"/>
      <c r="BSY11" s="277"/>
      <c r="BSZ11" s="277"/>
      <c r="BTA11" s="277"/>
      <c r="BTB11" s="277"/>
      <c r="BTC11" s="277"/>
      <c r="BTD11" s="277"/>
      <c r="BTE11" s="277"/>
      <c r="BTF11" s="277"/>
      <c r="BTG11" s="277"/>
      <c r="BTH11" s="277"/>
      <c r="BTI11" s="277"/>
      <c r="BTJ11" s="277"/>
      <c r="BTK11" s="277"/>
      <c r="BTL11" s="277"/>
      <c r="BTM11" s="277"/>
      <c r="BTN11" s="277"/>
      <c r="BTO11" s="277"/>
      <c r="BTP11" s="277"/>
      <c r="BTQ11" s="277"/>
      <c r="BTR11" s="277"/>
      <c r="BTS11" s="277"/>
      <c r="BTT11" s="277"/>
      <c r="BTU11" s="277"/>
      <c r="BTV11" s="277"/>
      <c r="BTW11" s="277"/>
      <c r="BTX11" s="277"/>
      <c r="BTY11" s="277"/>
      <c r="BTZ11" s="277"/>
      <c r="BUA11" s="277"/>
      <c r="BUB11" s="277"/>
      <c r="BUC11" s="277"/>
      <c r="BUD11" s="277"/>
      <c r="BUE11" s="277"/>
      <c r="BUF11" s="277"/>
      <c r="BUG11" s="277"/>
      <c r="BUH11" s="277"/>
      <c r="BUI11" s="277"/>
      <c r="BUJ11" s="277"/>
      <c r="BUK11" s="277"/>
      <c r="BUL11" s="277"/>
      <c r="BUM11" s="277"/>
      <c r="BUN11" s="277"/>
      <c r="BUO11" s="277"/>
      <c r="BUP11" s="277"/>
      <c r="BUQ11" s="277"/>
      <c r="BUR11" s="277"/>
      <c r="BUS11" s="277"/>
      <c r="BUT11" s="277"/>
      <c r="BUU11" s="277"/>
      <c r="BUV11" s="277"/>
      <c r="BUW11" s="277"/>
      <c r="BUX11" s="277"/>
      <c r="BUY11" s="277"/>
      <c r="BUZ11" s="277"/>
      <c r="BVA11" s="277"/>
      <c r="BVB11" s="277"/>
      <c r="BVC11" s="277"/>
      <c r="BVD11" s="277"/>
      <c r="BVE11" s="277"/>
      <c r="BVF11" s="277"/>
      <c r="BVG11" s="277"/>
      <c r="BVH11" s="277"/>
      <c r="BVI11" s="277"/>
      <c r="BVJ11" s="277"/>
      <c r="BVK11" s="277"/>
      <c r="BVL11" s="277"/>
      <c r="BVM11" s="277"/>
      <c r="BVN11" s="277"/>
      <c r="BVO11" s="277"/>
      <c r="BVP11" s="277"/>
      <c r="BVQ11" s="277"/>
      <c r="BVR11" s="277"/>
      <c r="BVS11" s="277"/>
      <c r="BVT11" s="277"/>
      <c r="BVU11" s="277"/>
      <c r="BVV11" s="277"/>
      <c r="BVW11" s="277"/>
      <c r="BVX11" s="277"/>
      <c r="BVY11" s="277"/>
      <c r="BVZ11" s="277"/>
      <c r="BWA11" s="277"/>
      <c r="BWB11" s="277"/>
      <c r="BWC11" s="277"/>
      <c r="BWD11" s="277"/>
      <c r="BWE11" s="277"/>
      <c r="BWF11" s="277"/>
      <c r="BWG11" s="277"/>
      <c r="BWH11" s="277"/>
      <c r="BWI11" s="277"/>
      <c r="BWJ11" s="277"/>
      <c r="BWK11" s="277"/>
      <c r="BWL11" s="277"/>
      <c r="BWM11" s="277"/>
      <c r="BWN11" s="277"/>
      <c r="BWO11" s="277"/>
      <c r="BWP11" s="277"/>
      <c r="BWQ11" s="277"/>
      <c r="BWR11" s="277"/>
      <c r="BWS11" s="277"/>
      <c r="BWT11" s="277"/>
      <c r="BWU11" s="277"/>
      <c r="BWV11" s="277"/>
      <c r="BWW11" s="277"/>
      <c r="BWX11" s="277"/>
      <c r="BWY11" s="277"/>
      <c r="BWZ11" s="277"/>
      <c r="BXA11" s="277"/>
      <c r="BXB11" s="277"/>
      <c r="BXC11" s="277"/>
      <c r="BXD11" s="277"/>
      <c r="BXE11" s="277"/>
      <c r="BXF11" s="277"/>
      <c r="BXG11" s="277"/>
      <c r="BXH11" s="277"/>
      <c r="BXI11" s="277"/>
      <c r="BXJ11" s="277"/>
      <c r="BXK11" s="277"/>
      <c r="BXL11" s="277"/>
      <c r="BXM11" s="277"/>
      <c r="BXN11" s="277"/>
      <c r="BXO11" s="277"/>
      <c r="BXP11" s="277"/>
      <c r="BXQ11" s="277"/>
      <c r="BXR11" s="277"/>
      <c r="BXS11" s="277"/>
      <c r="BXT11" s="277"/>
      <c r="BXU11" s="277"/>
      <c r="BXV11" s="277"/>
      <c r="BXW11" s="277"/>
      <c r="BXX11" s="277"/>
      <c r="BXY11" s="277"/>
      <c r="BXZ11" s="277"/>
      <c r="BYA11" s="277"/>
      <c r="BYB11" s="277"/>
      <c r="BYC11" s="277"/>
      <c r="BYD11" s="277"/>
      <c r="BYE11" s="277"/>
      <c r="BYF11" s="277"/>
      <c r="BYG11" s="277"/>
      <c r="BYH11" s="277"/>
      <c r="BYI11" s="277"/>
      <c r="BYJ11" s="277"/>
      <c r="BYK11" s="277"/>
      <c r="BYL11" s="277"/>
      <c r="BYM11" s="277"/>
      <c r="BYN11" s="277"/>
      <c r="BYO11" s="277"/>
      <c r="BYP11" s="277"/>
      <c r="BYQ11" s="277"/>
      <c r="BYR11" s="277"/>
      <c r="BYS11" s="277"/>
      <c r="BYT11" s="277"/>
      <c r="BYU11" s="277"/>
      <c r="BYV11" s="277"/>
      <c r="BYW11" s="277"/>
      <c r="BYX11" s="277"/>
      <c r="BYY11" s="277"/>
      <c r="BYZ11" s="277"/>
      <c r="BZA11" s="277"/>
      <c r="BZB11" s="277"/>
      <c r="BZC11" s="277"/>
      <c r="BZD11" s="277"/>
      <c r="BZE11" s="277"/>
      <c r="BZF11" s="277"/>
      <c r="BZG11" s="277"/>
      <c r="BZH11" s="277"/>
      <c r="BZI11" s="277"/>
      <c r="BZJ11" s="277"/>
      <c r="BZK11" s="277"/>
      <c r="BZL11" s="277"/>
      <c r="BZM11" s="277"/>
      <c r="BZN11" s="277"/>
      <c r="BZO11" s="277"/>
      <c r="BZP11" s="277"/>
      <c r="BZQ11" s="277"/>
      <c r="BZR11" s="277"/>
      <c r="BZS11" s="277"/>
      <c r="BZT11" s="277"/>
      <c r="BZU11" s="277"/>
      <c r="BZV11" s="277"/>
      <c r="BZW11" s="277"/>
      <c r="BZX11" s="277"/>
      <c r="BZY11" s="277"/>
      <c r="BZZ11" s="277"/>
      <c r="CAA11" s="277"/>
      <c r="CAB11" s="277"/>
      <c r="CAC11" s="277"/>
      <c r="CAD11" s="277"/>
      <c r="CAE11" s="277"/>
      <c r="CAF11" s="277"/>
      <c r="CAG11" s="277"/>
      <c r="CAH11" s="277"/>
      <c r="CAI11" s="277"/>
      <c r="CAJ11" s="277"/>
      <c r="CAK11" s="277"/>
      <c r="CAL11" s="277"/>
      <c r="CAM11" s="277"/>
      <c r="CAN11" s="277"/>
      <c r="CAO11" s="277"/>
      <c r="CAP11" s="277"/>
      <c r="CAQ11" s="277"/>
      <c r="CAR11" s="277"/>
      <c r="CAS11" s="277"/>
      <c r="CAT11" s="277"/>
      <c r="CAU11" s="277"/>
      <c r="CAV11" s="277"/>
      <c r="CAW11" s="277"/>
      <c r="CAX11" s="277"/>
      <c r="CAY11" s="277"/>
      <c r="CAZ11" s="277"/>
      <c r="CBA11" s="277"/>
      <c r="CBB11" s="277"/>
      <c r="CBC11" s="277"/>
      <c r="CBD11" s="277"/>
      <c r="CBE11" s="277"/>
      <c r="CBF11" s="277"/>
      <c r="CBG11" s="277"/>
      <c r="CBH11" s="277"/>
      <c r="CBI11" s="277"/>
      <c r="CBJ11" s="277"/>
      <c r="CBK11" s="277"/>
      <c r="CBL11" s="277"/>
      <c r="CBM11" s="277"/>
      <c r="CBN11" s="277"/>
      <c r="CBO11" s="277"/>
      <c r="CBP11" s="277"/>
      <c r="CBQ11" s="277"/>
      <c r="CBR11" s="277"/>
      <c r="CBS11" s="277"/>
      <c r="CBT11" s="277"/>
      <c r="CBU11" s="277"/>
      <c r="CBV11" s="277"/>
      <c r="CBW11" s="277"/>
      <c r="CBX11" s="277"/>
      <c r="CBY11" s="277"/>
      <c r="CBZ11" s="277"/>
      <c r="CCA11" s="277"/>
      <c r="CCB11" s="277"/>
      <c r="CCC11" s="277"/>
      <c r="CCD11" s="277"/>
      <c r="CCE11" s="277"/>
      <c r="CCF11" s="277"/>
      <c r="CCG11" s="277"/>
      <c r="CCH11" s="277"/>
      <c r="CCI11" s="277"/>
      <c r="CCJ11" s="277"/>
      <c r="CCK11" s="277"/>
      <c r="CCL11" s="277"/>
      <c r="CCM11" s="277"/>
      <c r="CCN11" s="277"/>
      <c r="CCO11" s="277"/>
      <c r="CCP11" s="277"/>
      <c r="CCQ11" s="277"/>
      <c r="CCR11" s="277"/>
      <c r="CCS11" s="277"/>
      <c r="CCT11" s="277"/>
      <c r="CCU11" s="277"/>
      <c r="CCV11" s="277"/>
      <c r="CCW11" s="277"/>
      <c r="VEX11" s="222"/>
      <c r="VST11" s="221"/>
      <c r="VTB11" s="221"/>
    </row>
    <row r="12" spans="1:2129 15008:15070 15386:15394" s="220" customFormat="1" ht="16.149999999999999" customHeight="1" x14ac:dyDescent="0.25">
      <c r="A12" s="250" t="s">
        <v>65</v>
      </c>
      <c r="B12" s="250">
        <v>7</v>
      </c>
      <c r="C12" s="250"/>
      <c r="D12" s="250"/>
      <c r="E12" s="250"/>
      <c r="F12" s="250"/>
      <c r="G12" s="251" t="s">
        <v>206</v>
      </c>
      <c r="H12" s="252" t="s">
        <v>239</v>
      </c>
      <c r="I12" s="252"/>
      <c r="J12" s="253"/>
      <c r="K12" s="254"/>
      <c r="L12" s="254"/>
      <c r="M12" s="255"/>
      <c r="N12" s="254">
        <v>43017</v>
      </c>
      <c r="O12" s="254">
        <v>43045</v>
      </c>
      <c r="P12" s="255">
        <v>25</v>
      </c>
      <c r="Q12" s="256">
        <v>0</v>
      </c>
      <c r="R12" s="254"/>
      <c r="S12" s="254"/>
      <c r="T12" s="255"/>
      <c r="U12" s="257"/>
      <c r="V12" s="257"/>
      <c r="W12" s="257"/>
      <c r="X12" s="258"/>
      <c r="Y12" s="259"/>
      <c r="Z12" s="259"/>
      <c r="AA12" s="260"/>
      <c r="AB12" s="259"/>
      <c r="AC12" s="261"/>
      <c r="AD12" s="261"/>
      <c r="AE12" s="261"/>
      <c r="AF12" s="261"/>
      <c r="AG12" s="261"/>
      <c r="AH12" s="261"/>
      <c r="AI12" s="261"/>
      <c r="AJ12" s="261"/>
      <c r="AK12" s="261"/>
      <c r="AL12" s="261"/>
      <c r="AM12" s="261"/>
      <c r="AN12" s="261"/>
      <c r="AO12" s="261"/>
      <c r="AP12" s="261"/>
      <c r="AQ12" s="261"/>
      <c r="AR12" s="261"/>
      <c r="AS12" s="261"/>
      <c r="AT12" s="261"/>
      <c r="AU12" s="261"/>
      <c r="AV12" s="261"/>
      <c r="AW12" s="261"/>
      <c r="AX12" s="261"/>
      <c r="AY12" s="261"/>
      <c r="AZ12" s="261"/>
      <c r="BA12" s="261"/>
      <c r="BB12" s="261"/>
      <c r="BC12" s="261"/>
      <c r="BD12" s="261"/>
      <c r="BE12" s="261"/>
      <c r="BF12" s="261"/>
      <c r="BG12" s="261"/>
      <c r="BH12" s="261"/>
      <c r="BI12" s="261"/>
      <c r="BJ12" s="261"/>
      <c r="BK12" s="261"/>
      <c r="BL12" s="261"/>
      <c r="BM12" s="261"/>
      <c r="BN12" s="261"/>
      <c r="BO12" s="261"/>
      <c r="BP12" s="261"/>
      <c r="BQ12" s="261"/>
      <c r="BR12" s="261"/>
      <c r="BS12" s="261"/>
      <c r="BT12" s="261"/>
      <c r="BU12" s="261"/>
      <c r="BV12" s="261"/>
      <c r="BW12" s="261"/>
      <c r="BX12" s="261"/>
      <c r="BY12" s="261"/>
      <c r="BZ12" s="261"/>
      <c r="CA12" s="261"/>
      <c r="CB12" s="261"/>
      <c r="CC12" s="261"/>
      <c r="CD12" s="261"/>
      <c r="CE12" s="261"/>
      <c r="CF12" s="261"/>
      <c r="CG12" s="262"/>
      <c r="CH12" s="262"/>
      <c r="CI12" s="262"/>
      <c r="CJ12" s="262"/>
      <c r="CK12" s="262"/>
      <c r="CL12" s="262"/>
      <c r="CM12" s="262"/>
      <c r="CN12" s="262"/>
      <c r="CO12" s="262"/>
      <c r="CP12" s="262"/>
      <c r="CQ12" s="262"/>
      <c r="CR12" s="262"/>
      <c r="CS12" s="262"/>
      <c r="CT12" s="262"/>
      <c r="CU12" s="262"/>
      <c r="CV12" s="262"/>
      <c r="CW12" s="262"/>
      <c r="CX12" s="262"/>
      <c r="CY12" s="262"/>
      <c r="CZ12" s="262"/>
      <c r="DA12" s="262"/>
      <c r="DB12" s="262"/>
      <c r="DC12" s="262"/>
      <c r="DD12" s="262"/>
      <c r="DE12" s="262"/>
      <c r="DF12" s="262"/>
      <c r="DG12" s="262"/>
      <c r="DH12" s="262"/>
      <c r="DI12" s="262"/>
      <c r="DJ12" s="262"/>
      <c r="DK12" s="262"/>
      <c r="DL12" s="262"/>
      <c r="DM12" s="262"/>
      <c r="DN12" s="262"/>
      <c r="DO12" s="262"/>
      <c r="DP12" s="262"/>
      <c r="DQ12" s="262"/>
      <c r="DR12" s="262"/>
      <c r="DS12" s="262"/>
      <c r="DT12" s="262"/>
      <c r="DU12" s="262"/>
      <c r="DV12" s="262"/>
      <c r="DW12" s="262"/>
      <c r="DX12" s="262"/>
      <c r="DY12" s="262"/>
      <c r="DZ12" s="262"/>
      <c r="EA12" s="262"/>
      <c r="EB12" s="262"/>
      <c r="EC12" s="262"/>
      <c r="ED12" s="262"/>
      <c r="EE12" s="262"/>
      <c r="EF12" s="262"/>
      <c r="EG12" s="262"/>
      <c r="EH12" s="262"/>
      <c r="EI12" s="262"/>
      <c r="EJ12" s="262"/>
      <c r="EK12" s="262"/>
      <c r="EL12" s="262"/>
      <c r="EM12" s="262"/>
      <c r="EN12" s="262"/>
      <c r="EO12" s="262"/>
      <c r="EP12" s="262"/>
      <c r="EQ12" s="262"/>
      <c r="ER12" s="262"/>
      <c r="ES12" s="262"/>
      <c r="ET12" s="262"/>
      <c r="EU12" s="262"/>
      <c r="EV12" s="262"/>
      <c r="EW12" s="262"/>
      <c r="EX12" s="262"/>
      <c r="EY12" s="262"/>
      <c r="EZ12" s="262"/>
      <c r="FA12" s="262"/>
      <c r="FB12" s="262"/>
      <c r="FC12" s="262"/>
      <c r="FD12" s="262"/>
      <c r="FE12" s="262"/>
      <c r="FF12" s="262"/>
      <c r="FG12" s="262"/>
      <c r="FH12" s="262"/>
      <c r="FI12" s="262"/>
      <c r="FJ12" s="262"/>
      <c r="FK12" s="262"/>
      <c r="FL12" s="262"/>
      <c r="FM12" s="262"/>
      <c r="FN12" s="262"/>
      <c r="FO12" s="262"/>
      <c r="FP12" s="262"/>
      <c r="FQ12" s="262"/>
      <c r="FR12" s="262"/>
      <c r="FS12" s="262"/>
      <c r="FT12" s="262"/>
      <c r="FU12" s="262"/>
      <c r="FV12" s="262"/>
      <c r="FW12" s="262"/>
      <c r="FX12" s="262"/>
      <c r="FY12" s="262"/>
      <c r="FZ12" s="262"/>
      <c r="GA12" s="262"/>
      <c r="GB12" s="262"/>
      <c r="GC12" s="262"/>
      <c r="GD12" s="262"/>
      <c r="GE12" s="262"/>
      <c r="GF12" s="262"/>
      <c r="GG12" s="262"/>
      <c r="GH12" s="262"/>
      <c r="GI12" s="262"/>
      <c r="GJ12" s="262"/>
      <c r="GK12" s="262"/>
      <c r="GL12" s="262"/>
      <c r="GM12" s="262"/>
      <c r="GN12" s="262"/>
      <c r="GO12" s="262"/>
      <c r="GP12" s="262"/>
      <c r="GQ12" s="262"/>
      <c r="GR12" s="262"/>
      <c r="GS12" s="262"/>
      <c r="GT12" s="262"/>
      <c r="GU12" s="262"/>
      <c r="GV12" s="262"/>
      <c r="GW12" s="262"/>
      <c r="GX12" s="262"/>
      <c r="GY12" s="262"/>
      <c r="GZ12" s="262"/>
      <c r="HA12" s="262"/>
      <c r="HB12" s="262"/>
      <c r="HC12" s="262"/>
      <c r="HD12" s="262"/>
      <c r="HE12" s="262"/>
      <c r="HF12" s="262"/>
      <c r="HG12" s="262"/>
      <c r="HH12" s="262"/>
      <c r="HI12" s="262"/>
      <c r="HJ12" s="262"/>
      <c r="HK12" s="262"/>
      <c r="HL12" s="262"/>
      <c r="HM12" s="262"/>
      <c r="HN12" s="262"/>
      <c r="HO12" s="262"/>
      <c r="HP12" s="262"/>
      <c r="HQ12" s="262"/>
      <c r="HR12" s="262"/>
      <c r="HS12" s="262"/>
      <c r="HT12" s="262"/>
      <c r="HU12" s="262"/>
      <c r="HV12" s="262"/>
      <c r="HW12" s="262"/>
      <c r="HX12" s="262"/>
      <c r="HY12" s="262"/>
      <c r="HZ12" s="262"/>
      <c r="IA12" s="262"/>
      <c r="IB12" s="262"/>
      <c r="IC12" s="262"/>
      <c r="ID12" s="262"/>
      <c r="IE12" s="262"/>
      <c r="IF12" s="262"/>
      <c r="IG12" s="262"/>
      <c r="IH12" s="262"/>
      <c r="II12" s="262"/>
      <c r="IJ12" s="262"/>
      <c r="IK12" s="262"/>
      <c r="IL12" s="262"/>
      <c r="IM12" s="262"/>
      <c r="IN12" s="262"/>
      <c r="IO12" s="262"/>
      <c r="IP12" s="262"/>
      <c r="IQ12" s="262"/>
      <c r="IR12" s="262"/>
      <c r="IS12" s="262"/>
      <c r="IT12" s="262"/>
      <c r="IU12" s="262"/>
      <c r="IV12" s="262"/>
      <c r="IW12" s="262"/>
      <c r="IX12" s="262"/>
      <c r="IY12" s="262"/>
      <c r="IZ12" s="262"/>
      <c r="JA12" s="262"/>
      <c r="JB12" s="262"/>
      <c r="JC12" s="262"/>
      <c r="JD12" s="262"/>
      <c r="JE12" s="262"/>
      <c r="JF12" s="262"/>
      <c r="JG12" s="262"/>
      <c r="JH12" s="262"/>
      <c r="JI12" s="262"/>
      <c r="JJ12" s="262"/>
      <c r="JK12" s="262"/>
      <c r="JL12" s="262"/>
      <c r="JM12" s="262"/>
      <c r="JN12" s="262"/>
      <c r="JO12" s="262"/>
      <c r="JP12" s="262"/>
      <c r="JQ12" s="262"/>
      <c r="JR12" s="262"/>
      <c r="JS12" s="262"/>
      <c r="JT12" s="262"/>
      <c r="JU12" s="262"/>
      <c r="JV12" s="262"/>
      <c r="JW12" s="262"/>
      <c r="JX12" s="262"/>
      <c r="JY12" s="262"/>
      <c r="JZ12" s="262"/>
      <c r="KA12" s="262"/>
      <c r="KB12" s="262"/>
      <c r="KC12" s="262"/>
      <c r="KD12" s="262"/>
      <c r="KE12" s="262"/>
      <c r="KF12" s="262"/>
      <c r="KG12" s="262"/>
      <c r="KH12" s="262"/>
      <c r="KI12" s="262"/>
      <c r="KJ12" s="262"/>
      <c r="KK12" s="262"/>
      <c r="KL12" s="262"/>
      <c r="KM12" s="262"/>
      <c r="KN12" s="262"/>
      <c r="KO12" s="262"/>
      <c r="KP12" s="262"/>
      <c r="KQ12" s="262"/>
      <c r="KR12" s="262"/>
      <c r="KS12" s="262"/>
      <c r="KT12" s="262"/>
      <c r="KU12" s="262"/>
      <c r="KV12" s="262"/>
      <c r="KW12" s="262"/>
      <c r="KX12" s="262"/>
      <c r="KY12" s="262"/>
      <c r="KZ12" s="262"/>
      <c r="LA12" s="262"/>
      <c r="LB12" s="262"/>
      <c r="LC12" s="262"/>
      <c r="LD12" s="262"/>
      <c r="LE12" s="262"/>
      <c r="LF12" s="262"/>
      <c r="LG12" s="262"/>
      <c r="LH12" s="262"/>
      <c r="LI12" s="262"/>
      <c r="LJ12" s="262"/>
      <c r="LK12" s="262"/>
      <c r="LL12" s="262"/>
      <c r="LM12" s="262"/>
      <c r="LN12" s="262"/>
      <c r="LO12" s="262"/>
      <c r="LP12" s="262"/>
      <c r="LQ12" s="262"/>
      <c r="LR12" s="262"/>
      <c r="LS12" s="262"/>
      <c r="LT12" s="262"/>
      <c r="LU12" s="262"/>
      <c r="LV12" s="262"/>
      <c r="LW12" s="262"/>
      <c r="LX12" s="262"/>
      <c r="LY12" s="262"/>
      <c r="LZ12" s="262"/>
      <c r="MA12" s="262"/>
      <c r="MB12" s="262"/>
      <c r="MC12" s="262"/>
      <c r="MD12" s="262"/>
      <c r="ME12" s="262"/>
      <c r="MF12" s="262"/>
      <c r="MG12" s="262"/>
      <c r="MH12" s="262"/>
      <c r="MI12" s="262"/>
      <c r="MJ12" s="262"/>
      <c r="MK12" s="262"/>
      <c r="ML12" s="262"/>
      <c r="MM12" s="262"/>
      <c r="MN12" s="262"/>
      <c r="MO12" s="262"/>
      <c r="MP12" s="262"/>
      <c r="MQ12" s="262"/>
      <c r="MR12" s="262"/>
      <c r="MS12" s="262"/>
      <c r="MT12" s="262"/>
      <c r="MU12" s="262"/>
      <c r="MV12" s="263"/>
      <c r="MW12" s="262"/>
      <c r="MX12" s="262"/>
      <c r="MY12" s="262"/>
      <c r="MZ12" s="262"/>
      <c r="NA12" s="262"/>
      <c r="NB12" s="262"/>
      <c r="NC12" s="262"/>
      <c r="ND12" s="262"/>
      <c r="NE12" s="262"/>
      <c r="NF12" s="262"/>
      <c r="NG12" s="262"/>
      <c r="NH12" s="262"/>
      <c r="NI12" s="262"/>
      <c r="NJ12" s="262"/>
      <c r="NK12" s="262"/>
      <c r="NL12" s="262"/>
      <c r="NM12" s="262"/>
      <c r="NN12" s="262"/>
      <c r="NO12" s="262"/>
      <c r="NP12" s="262"/>
      <c r="NQ12" s="262"/>
      <c r="NR12" s="262"/>
      <c r="NS12" s="262"/>
      <c r="NT12" s="262"/>
      <c r="NU12" s="262"/>
      <c r="NV12" s="262"/>
      <c r="NW12" s="262"/>
      <c r="NX12" s="262"/>
      <c r="NY12" s="262"/>
      <c r="NZ12" s="262"/>
      <c r="OA12" s="262"/>
      <c r="OB12" s="262"/>
      <c r="OC12" s="262"/>
      <c r="OD12" s="262"/>
      <c r="OE12" s="262"/>
      <c r="OF12" s="262"/>
      <c r="OG12" s="262"/>
      <c r="OH12" s="262"/>
      <c r="OI12" s="262"/>
      <c r="OJ12" s="262"/>
      <c r="OK12" s="262"/>
      <c r="OL12" s="262"/>
      <c r="OM12" s="262"/>
      <c r="ON12" s="262"/>
      <c r="OO12" s="262"/>
      <c r="OP12" s="262"/>
      <c r="OQ12" s="262"/>
      <c r="OR12" s="262"/>
      <c r="OS12" s="262"/>
      <c r="OT12" s="262"/>
      <c r="OU12" s="262"/>
      <c r="OV12" s="262"/>
      <c r="OW12" s="262"/>
      <c r="OX12" s="262"/>
      <c r="OY12" s="262"/>
      <c r="OZ12" s="262"/>
      <c r="PA12" s="262"/>
      <c r="PB12" s="262"/>
      <c r="PC12" s="262"/>
      <c r="PD12" s="262"/>
      <c r="PE12" s="262"/>
      <c r="PF12" s="262"/>
      <c r="PG12" s="262"/>
      <c r="PH12" s="262"/>
      <c r="PI12" s="262"/>
      <c r="PJ12" s="262"/>
      <c r="PK12" s="262"/>
      <c r="PL12" s="262"/>
      <c r="PM12" s="262"/>
      <c r="PN12" s="262"/>
      <c r="PO12" s="262"/>
      <c r="PP12" s="262"/>
      <c r="PQ12" s="262"/>
      <c r="PR12" s="262"/>
      <c r="PS12" s="262"/>
      <c r="PT12" s="262"/>
      <c r="PU12" s="262"/>
      <c r="PV12" s="262"/>
      <c r="PW12" s="262"/>
      <c r="PX12" s="262"/>
      <c r="PY12" s="262"/>
      <c r="PZ12" s="262"/>
      <c r="QA12" s="262"/>
      <c r="QB12" s="262"/>
      <c r="QC12" s="262"/>
      <c r="QD12" s="262"/>
      <c r="QE12" s="262"/>
      <c r="QF12" s="262"/>
      <c r="QG12" s="262"/>
      <c r="QH12" s="262"/>
      <c r="QI12" s="262"/>
      <c r="QJ12" s="262"/>
      <c r="QK12" s="262"/>
      <c r="QL12" s="262"/>
      <c r="QM12" s="262"/>
      <c r="QN12" s="262"/>
      <c r="QO12" s="262"/>
      <c r="QP12" s="262"/>
      <c r="QQ12" s="262"/>
      <c r="QR12" s="262"/>
      <c r="QS12" s="262"/>
      <c r="QT12" s="262"/>
      <c r="QU12" s="262"/>
      <c r="QV12" s="262"/>
      <c r="QW12" s="262"/>
      <c r="QX12" s="262"/>
      <c r="QY12" s="262"/>
      <c r="QZ12" s="262"/>
      <c r="RA12" s="262"/>
      <c r="RB12" s="262"/>
      <c r="RC12" s="262"/>
      <c r="RD12" s="262"/>
      <c r="RE12" s="262"/>
      <c r="RF12" s="262"/>
      <c r="RG12" s="262"/>
      <c r="RH12" s="262"/>
      <c r="RI12" s="262"/>
      <c r="RJ12" s="262"/>
      <c r="RK12" s="262"/>
      <c r="RL12" s="262"/>
      <c r="RM12" s="262"/>
      <c r="RN12" s="262"/>
      <c r="RO12" s="262"/>
      <c r="RP12" s="262"/>
      <c r="RQ12" s="262"/>
      <c r="RR12" s="262"/>
      <c r="RS12" s="262"/>
      <c r="RT12" s="262"/>
      <c r="RU12" s="262"/>
      <c r="RV12" s="262"/>
      <c r="RW12" s="262"/>
      <c r="RX12" s="262"/>
      <c r="RY12" s="262"/>
      <c r="RZ12" s="262"/>
      <c r="SA12" s="262"/>
      <c r="SB12" s="262"/>
      <c r="SC12" s="262"/>
      <c r="SD12" s="262"/>
      <c r="SE12" s="262"/>
      <c r="SF12" s="262"/>
      <c r="SG12" s="262"/>
      <c r="SH12" s="262"/>
      <c r="SI12" s="262"/>
      <c r="SJ12" s="262"/>
      <c r="SK12" s="262"/>
      <c r="SL12" s="262"/>
      <c r="SM12" s="262"/>
      <c r="SN12" s="262"/>
      <c r="SO12" s="262"/>
      <c r="SP12" s="262"/>
      <c r="SQ12" s="262"/>
      <c r="SR12" s="262"/>
      <c r="SS12" s="262"/>
      <c r="ST12" s="262"/>
      <c r="SU12" s="262"/>
      <c r="SV12" s="262"/>
      <c r="SW12" s="262"/>
      <c r="SX12" s="262"/>
      <c r="SY12" s="262"/>
      <c r="SZ12" s="262"/>
      <c r="TA12" s="262"/>
      <c r="TB12" s="262"/>
      <c r="TC12" s="262"/>
      <c r="TD12" s="262"/>
      <c r="TE12" s="262"/>
      <c r="TF12" s="262"/>
      <c r="TG12" s="262"/>
      <c r="TH12" s="262"/>
      <c r="TI12" s="262"/>
      <c r="TJ12" s="262"/>
      <c r="TK12" s="262"/>
      <c r="TL12" s="262"/>
      <c r="TM12" s="262"/>
      <c r="TN12" s="262"/>
      <c r="TO12" s="262"/>
      <c r="TP12" s="262"/>
      <c r="TQ12" s="262"/>
      <c r="TR12" s="262"/>
      <c r="TS12" s="262"/>
      <c r="TT12" s="262"/>
      <c r="TU12" s="262"/>
      <c r="TV12" s="262"/>
      <c r="TW12" s="262"/>
      <c r="TX12" s="262"/>
      <c r="TY12" s="262"/>
      <c r="TZ12" s="262"/>
      <c r="UA12" s="262"/>
      <c r="UB12" s="262"/>
      <c r="UC12" s="262"/>
      <c r="UD12" s="262"/>
      <c r="UE12" s="262"/>
      <c r="UF12" s="262"/>
      <c r="UG12" s="262"/>
      <c r="UH12" s="262"/>
      <c r="UI12" s="262"/>
      <c r="UJ12" s="262"/>
      <c r="UK12" s="262"/>
      <c r="UL12" s="262"/>
      <c r="UM12" s="262"/>
      <c r="UN12" s="262"/>
      <c r="UO12" s="262"/>
      <c r="UP12" s="262"/>
      <c r="UQ12" s="262"/>
      <c r="UR12" s="262"/>
      <c r="US12" s="262"/>
      <c r="UT12" s="262"/>
      <c r="UU12" s="262"/>
      <c r="UV12" s="262"/>
      <c r="UW12" s="262"/>
      <c r="UX12" s="262"/>
      <c r="UY12" s="262"/>
      <c r="UZ12" s="262"/>
      <c r="VA12" s="262"/>
      <c r="VB12" s="262"/>
      <c r="VC12" s="262"/>
      <c r="VD12" s="262"/>
      <c r="VE12" s="262"/>
      <c r="VF12" s="262"/>
      <c r="VG12" s="262"/>
      <c r="VH12" s="262"/>
      <c r="VI12" s="262"/>
      <c r="VJ12" s="262"/>
      <c r="VK12" s="262"/>
      <c r="VL12" s="262"/>
      <c r="VM12" s="262"/>
      <c r="VN12" s="262"/>
      <c r="VO12" s="262"/>
      <c r="VP12" s="262"/>
      <c r="VQ12" s="262"/>
      <c r="VR12" s="262"/>
      <c r="VS12" s="262"/>
      <c r="VT12" s="262"/>
      <c r="VU12" s="262"/>
      <c r="VV12" s="262"/>
      <c r="VW12" s="262"/>
      <c r="VX12" s="262"/>
      <c r="VY12" s="262"/>
      <c r="VZ12" s="262"/>
      <c r="WA12" s="262"/>
      <c r="WB12" s="262"/>
      <c r="WC12" s="262"/>
      <c r="WD12" s="262"/>
      <c r="WE12" s="262"/>
      <c r="WF12" s="262"/>
      <c r="WG12" s="262"/>
      <c r="WH12" s="262"/>
      <c r="WI12" s="262"/>
      <c r="WJ12" s="262"/>
      <c r="WK12" s="262"/>
      <c r="WL12" s="262"/>
      <c r="WM12" s="262"/>
      <c r="WN12" s="262"/>
      <c r="WO12" s="262"/>
      <c r="WP12" s="262"/>
      <c r="WQ12" s="262"/>
      <c r="WR12" s="262"/>
      <c r="WS12" s="262"/>
      <c r="WT12" s="262"/>
      <c r="WU12" s="262"/>
      <c r="WV12" s="262"/>
      <c r="WW12" s="262"/>
      <c r="WX12" s="262"/>
      <c r="WY12" s="262"/>
      <c r="WZ12" s="262"/>
      <c r="XA12" s="262"/>
      <c r="XB12" s="262"/>
      <c r="XC12" s="262"/>
      <c r="XD12" s="262"/>
      <c r="XE12" s="262"/>
      <c r="XF12" s="262"/>
      <c r="XG12" s="262"/>
      <c r="XH12" s="262"/>
      <c r="XI12" s="262"/>
      <c r="XJ12" s="262"/>
      <c r="XK12" s="262"/>
      <c r="XL12" s="262"/>
      <c r="XM12" s="262"/>
      <c r="XN12" s="262"/>
      <c r="XO12" s="262"/>
      <c r="XP12" s="262"/>
      <c r="XQ12" s="262"/>
      <c r="XR12" s="262"/>
      <c r="XS12" s="262"/>
      <c r="XT12" s="262"/>
      <c r="XU12" s="262"/>
      <c r="XV12" s="262"/>
      <c r="XW12" s="262"/>
      <c r="XX12" s="262"/>
      <c r="XY12" s="262"/>
      <c r="XZ12" s="262"/>
      <c r="YA12" s="262"/>
      <c r="YB12" s="262"/>
      <c r="YC12" s="262"/>
      <c r="YD12" s="262"/>
      <c r="YE12" s="262"/>
      <c r="YF12" s="262"/>
      <c r="YG12" s="262"/>
      <c r="YH12" s="262"/>
      <c r="YI12" s="262"/>
      <c r="YJ12" s="262"/>
      <c r="YK12" s="262"/>
      <c r="YL12" s="262"/>
      <c r="YM12" s="262"/>
      <c r="YN12" s="262"/>
      <c r="YO12" s="262"/>
      <c r="YP12" s="262"/>
      <c r="YQ12" s="262"/>
      <c r="YR12" s="262"/>
      <c r="YS12" s="262"/>
      <c r="YT12" s="262"/>
      <c r="YU12" s="262"/>
      <c r="YV12" s="262"/>
      <c r="YW12" s="262"/>
      <c r="YX12" s="262"/>
      <c r="YY12" s="262"/>
      <c r="YZ12" s="262"/>
      <c r="ZA12" s="262"/>
      <c r="ZB12" s="262"/>
      <c r="ZC12" s="262"/>
      <c r="ZD12" s="262"/>
      <c r="ZE12" s="262"/>
      <c r="ZF12" s="262"/>
      <c r="ZG12" s="262"/>
      <c r="ZH12" s="262"/>
      <c r="ZI12" s="262"/>
      <c r="ZJ12" s="262"/>
      <c r="ZK12" s="262"/>
      <c r="ZL12" s="262"/>
      <c r="ZM12" s="262"/>
      <c r="ZN12" s="262"/>
      <c r="ZO12" s="262"/>
      <c r="ZP12" s="262"/>
      <c r="ZQ12" s="262"/>
      <c r="ZR12" s="262"/>
      <c r="ZS12" s="262"/>
      <c r="ZT12" s="262"/>
      <c r="ZU12" s="262"/>
      <c r="ZV12" s="262"/>
      <c r="ZW12" s="262"/>
      <c r="ZX12" s="262"/>
      <c r="ZY12" s="262"/>
      <c r="ZZ12" s="262"/>
      <c r="AAA12" s="262"/>
      <c r="AAB12" s="262"/>
      <c r="AAC12" s="262"/>
      <c r="AAD12" s="262"/>
      <c r="AAE12" s="262"/>
      <c r="AAF12" s="262"/>
      <c r="AAG12" s="262"/>
      <c r="AAH12" s="262"/>
      <c r="AAI12" s="262"/>
      <c r="AAJ12" s="262"/>
      <c r="AAK12" s="262"/>
      <c r="AAL12" s="262"/>
      <c r="AAM12" s="262"/>
      <c r="AAN12" s="262"/>
      <c r="AAO12" s="262"/>
      <c r="AAP12" s="262"/>
      <c r="AAQ12" s="262"/>
      <c r="AAR12" s="262"/>
      <c r="AAS12" s="262"/>
      <c r="AAT12" s="262"/>
      <c r="AAU12" s="262"/>
      <c r="AAV12" s="262"/>
      <c r="AAW12" s="262"/>
      <c r="AAX12" s="262"/>
      <c r="AAY12" s="262"/>
      <c r="AAZ12" s="262"/>
      <c r="ABA12" s="262"/>
      <c r="ABB12" s="262"/>
      <c r="ABC12" s="262"/>
      <c r="ABD12" s="262"/>
      <c r="ABE12" s="262"/>
      <c r="ABF12" s="262"/>
      <c r="ABG12" s="262"/>
      <c r="ABH12" s="262"/>
      <c r="ABI12" s="262"/>
      <c r="ABJ12" s="262"/>
      <c r="ABK12" s="262"/>
      <c r="ABL12" s="262"/>
      <c r="ABM12" s="262"/>
      <c r="ABN12" s="262"/>
      <c r="ABO12" s="262"/>
      <c r="ABP12" s="262"/>
      <c r="ABQ12" s="262"/>
      <c r="ABR12" s="262"/>
      <c r="ABS12" s="262"/>
      <c r="ABT12" s="262"/>
      <c r="ABU12" s="262"/>
      <c r="ABV12" s="262"/>
      <c r="ABW12" s="262"/>
      <c r="ABX12" s="262"/>
      <c r="ABY12" s="262"/>
      <c r="ABZ12" s="262"/>
      <c r="ACA12" s="262"/>
      <c r="ACB12" s="262"/>
      <c r="ACC12" s="262"/>
      <c r="ACD12" s="262"/>
      <c r="ACE12" s="262"/>
      <c r="ACF12" s="262"/>
      <c r="ACG12" s="262"/>
      <c r="ACH12" s="262"/>
      <c r="ACI12" s="262"/>
      <c r="ACJ12" s="262"/>
      <c r="ACK12" s="262"/>
      <c r="ACL12" s="262"/>
      <c r="ACM12" s="262"/>
      <c r="ACN12" s="262"/>
      <c r="ACO12" s="262"/>
      <c r="ACP12" s="262"/>
      <c r="ACQ12" s="262"/>
      <c r="ACR12" s="262"/>
      <c r="ACS12" s="262"/>
      <c r="ACT12" s="262"/>
      <c r="ACU12" s="262"/>
      <c r="ACV12" s="262"/>
      <c r="ACW12" s="262"/>
      <c r="ACX12" s="262"/>
      <c r="ACY12" s="262"/>
      <c r="ACZ12" s="262"/>
      <c r="ADA12" s="262"/>
      <c r="ADB12" s="262"/>
      <c r="ADC12" s="262"/>
      <c r="ADD12" s="262"/>
      <c r="ADE12" s="262"/>
      <c r="ADF12" s="262"/>
      <c r="ADG12" s="262"/>
      <c r="ADH12" s="262"/>
      <c r="ADI12" s="262"/>
      <c r="ADJ12" s="262"/>
      <c r="ADK12" s="262"/>
      <c r="ADL12" s="262"/>
      <c r="ADM12" s="262"/>
      <c r="ADN12" s="262"/>
      <c r="ADO12" s="262"/>
      <c r="ADP12" s="262"/>
      <c r="ADQ12" s="262"/>
      <c r="ADR12" s="262"/>
      <c r="ADS12" s="262"/>
      <c r="ADT12" s="262"/>
      <c r="ADU12" s="262"/>
      <c r="ADV12" s="262"/>
      <c r="ADW12" s="262"/>
      <c r="ADX12" s="262"/>
      <c r="ADY12" s="262"/>
      <c r="ADZ12" s="262"/>
      <c r="AEA12" s="262"/>
      <c r="AEB12" s="262"/>
      <c r="AEC12" s="262"/>
      <c r="AED12" s="262"/>
      <c r="AEE12" s="262"/>
      <c r="AEF12" s="262"/>
      <c r="AEG12" s="262"/>
      <c r="AEH12" s="262"/>
      <c r="AEI12" s="262"/>
      <c r="AEJ12" s="262"/>
      <c r="AEK12" s="262"/>
      <c r="AEL12" s="262"/>
      <c r="AEM12" s="262"/>
      <c r="AEN12" s="262"/>
      <c r="AEO12" s="262"/>
      <c r="AEP12" s="262"/>
      <c r="AEQ12" s="262"/>
      <c r="AER12" s="262"/>
      <c r="AES12" s="262"/>
      <c r="AET12" s="262"/>
      <c r="AEU12" s="262"/>
      <c r="AEV12" s="262"/>
      <c r="AEW12" s="262"/>
      <c r="AEX12" s="262"/>
      <c r="AEY12" s="262"/>
      <c r="AEZ12" s="262"/>
      <c r="AFA12" s="262"/>
      <c r="AFB12" s="262"/>
      <c r="AFC12" s="262"/>
      <c r="AFD12" s="262"/>
      <c r="AFE12" s="262"/>
      <c r="AFF12" s="262"/>
      <c r="AFG12" s="262"/>
      <c r="AFH12" s="262"/>
      <c r="AFI12" s="262"/>
      <c r="AFJ12" s="262"/>
      <c r="AFK12" s="262"/>
      <c r="AFL12" s="262"/>
      <c r="AFM12" s="262"/>
      <c r="AFN12" s="262"/>
      <c r="AFO12" s="262"/>
      <c r="AFP12" s="262"/>
      <c r="AFQ12" s="262"/>
      <c r="AFR12" s="262"/>
      <c r="AFS12" s="262"/>
      <c r="AFT12" s="262"/>
      <c r="AFU12" s="262"/>
      <c r="AFV12" s="262"/>
      <c r="AFW12" s="262"/>
      <c r="AFX12" s="262"/>
      <c r="AFY12" s="262"/>
      <c r="AFZ12" s="262"/>
      <c r="AGA12" s="262"/>
      <c r="AGB12" s="262"/>
      <c r="AGC12" s="262"/>
      <c r="AGD12" s="262"/>
      <c r="AGE12" s="262"/>
      <c r="AGF12" s="262"/>
      <c r="AGG12" s="262"/>
      <c r="AGH12" s="262"/>
      <c r="AGI12" s="262"/>
      <c r="AGJ12" s="262"/>
      <c r="AGK12" s="262"/>
      <c r="AGL12" s="262"/>
      <c r="AGM12" s="262"/>
      <c r="AGN12" s="262"/>
      <c r="AGO12" s="262"/>
      <c r="AGP12" s="262"/>
      <c r="AGQ12" s="262"/>
      <c r="AGR12" s="262"/>
      <c r="AGS12" s="262"/>
      <c r="AGT12" s="262"/>
      <c r="AGU12" s="262"/>
      <c r="AGV12" s="262"/>
      <c r="AGW12" s="262"/>
      <c r="AGX12" s="262"/>
      <c r="AGY12" s="262"/>
      <c r="AGZ12" s="262"/>
      <c r="AHA12" s="262"/>
      <c r="AHB12" s="262"/>
      <c r="AHC12" s="262"/>
      <c r="AHD12" s="262"/>
      <c r="AHE12" s="262"/>
      <c r="AHF12" s="262"/>
      <c r="AHG12" s="262"/>
      <c r="AHH12" s="262"/>
      <c r="AHI12" s="262"/>
      <c r="AHJ12" s="262"/>
      <c r="AHK12" s="262"/>
      <c r="AHL12" s="262"/>
      <c r="AHM12" s="262"/>
      <c r="AHN12" s="262"/>
      <c r="AHO12" s="262"/>
      <c r="AHP12" s="262"/>
      <c r="AHQ12" s="262"/>
      <c r="AHR12" s="262"/>
      <c r="AHS12" s="262"/>
      <c r="AHT12" s="262"/>
      <c r="AHU12" s="262"/>
      <c r="AHV12" s="262"/>
      <c r="AHW12" s="262"/>
      <c r="AHX12" s="262"/>
      <c r="AHY12" s="262"/>
      <c r="AHZ12" s="262"/>
      <c r="AIA12" s="262"/>
      <c r="AIB12" s="262"/>
      <c r="AIC12" s="262"/>
      <c r="AID12" s="262"/>
      <c r="AIE12" s="262"/>
      <c r="AIF12" s="262"/>
      <c r="AIG12" s="262"/>
      <c r="AIH12" s="262"/>
      <c r="AII12" s="262"/>
      <c r="AIJ12" s="262"/>
      <c r="AIK12" s="262"/>
      <c r="AIL12" s="262"/>
      <c r="AIM12" s="262"/>
      <c r="AIN12" s="262"/>
      <c r="AIO12" s="262"/>
      <c r="AIP12" s="262"/>
      <c r="AIQ12" s="262"/>
      <c r="AIR12" s="262"/>
      <c r="AIS12" s="262"/>
      <c r="AIT12" s="262"/>
      <c r="AIU12" s="262"/>
      <c r="AIV12" s="262"/>
      <c r="AIW12" s="262"/>
      <c r="AIX12" s="262"/>
      <c r="AIY12" s="262"/>
      <c r="AIZ12" s="262"/>
      <c r="AJA12" s="262"/>
      <c r="AJB12" s="262"/>
      <c r="AJC12" s="262"/>
      <c r="AJD12" s="262"/>
      <c r="AJE12" s="262"/>
      <c r="AJF12" s="262"/>
      <c r="AJG12" s="262"/>
      <c r="AJH12" s="262"/>
      <c r="AJI12" s="262"/>
      <c r="AJJ12" s="262"/>
      <c r="AJK12" s="262"/>
      <c r="AJL12" s="262"/>
      <c r="AJM12" s="262"/>
      <c r="AJN12" s="262"/>
      <c r="AJO12" s="262"/>
      <c r="AJP12" s="262"/>
      <c r="AJQ12" s="262"/>
      <c r="AJR12" s="262"/>
      <c r="AJS12" s="262"/>
      <c r="AJT12" s="262"/>
      <c r="AJU12" s="262"/>
      <c r="AJV12" s="262"/>
      <c r="AJW12" s="262"/>
      <c r="AJX12" s="262"/>
      <c r="AJY12" s="262"/>
      <c r="AJZ12" s="262"/>
      <c r="AKA12" s="262"/>
      <c r="AKB12" s="262"/>
      <c r="AKC12" s="262"/>
      <c r="AKD12" s="262"/>
      <c r="AKE12" s="262"/>
      <c r="AKF12" s="262"/>
      <c r="AKG12" s="262"/>
      <c r="AKH12" s="262"/>
      <c r="AKI12" s="262"/>
      <c r="AKJ12" s="262"/>
      <c r="AKK12" s="262"/>
      <c r="AKL12" s="262"/>
      <c r="AKM12" s="262"/>
      <c r="AKN12" s="262"/>
      <c r="AKO12" s="262"/>
      <c r="AKP12" s="262"/>
      <c r="AKQ12" s="262"/>
      <c r="AKR12" s="262"/>
      <c r="AKS12" s="262"/>
      <c r="AKT12" s="262"/>
      <c r="AKU12" s="262"/>
      <c r="AKV12" s="262"/>
      <c r="AKW12" s="262"/>
      <c r="AKX12" s="262"/>
      <c r="AKY12" s="262"/>
      <c r="AKZ12" s="262"/>
      <c r="ALA12" s="262"/>
      <c r="ALB12" s="262"/>
      <c r="ALC12" s="262"/>
      <c r="ALD12" s="262"/>
      <c r="ALE12" s="262"/>
      <c r="ALF12" s="262"/>
      <c r="ALG12" s="262"/>
      <c r="ALH12" s="262"/>
      <c r="ALI12" s="262"/>
      <c r="ALJ12" s="262"/>
      <c r="ALK12" s="262"/>
      <c r="ALL12" s="262"/>
      <c r="ALM12" s="262"/>
      <c r="ALN12" s="262"/>
      <c r="ALO12" s="262"/>
      <c r="ALP12" s="262"/>
      <c r="ALQ12" s="262"/>
      <c r="ALR12" s="262"/>
      <c r="ALS12" s="262"/>
      <c r="ALT12" s="262"/>
      <c r="ALU12" s="262"/>
      <c r="ALV12" s="262"/>
      <c r="ALW12" s="262"/>
      <c r="ALX12" s="262"/>
      <c r="ALY12" s="262"/>
      <c r="ALZ12" s="262"/>
      <c r="AMA12" s="262"/>
      <c r="AMB12" s="262"/>
      <c r="AMC12" s="262"/>
      <c r="AMD12" s="262"/>
      <c r="AME12" s="262"/>
      <c r="AMF12" s="262"/>
      <c r="AMG12" s="262"/>
      <c r="AMH12" s="262"/>
      <c r="AMI12" s="262"/>
      <c r="AMJ12" s="262"/>
      <c r="AMK12" s="262"/>
      <c r="AML12" s="262"/>
      <c r="AMM12" s="262"/>
      <c r="AMN12" s="262"/>
      <c r="AMO12" s="262"/>
      <c r="AMP12" s="262"/>
      <c r="AMQ12" s="262"/>
      <c r="AMR12" s="262"/>
      <c r="AMS12" s="262"/>
      <c r="AMT12" s="262"/>
      <c r="AMU12" s="262"/>
      <c r="AMV12" s="262"/>
      <c r="AMW12" s="262"/>
      <c r="AMX12" s="262"/>
      <c r="AMY12" s="262"/>
      <c r="AMZ12" s="262"/>
      <c r="ANA12" s="262"/>
      <c r="ANB12" s="262"/>
      <c r="ANC12" s="262"/>
      <c r="AND12" s="262"/>
      <c r="ANE12" s="262"/>
      <c r="ANF12" s="262"/>
      <c r="ANG12" s="262"/>
      <c r="ANH12" s="262"/>
      <c r="ANI12" s="262"/>
      <c r="ANJ12" s="262"/>
      <c r="ANK12" s="262"/>
      <c r="ANL12" s="262"/>
      <c r="ANM12" s="262"/>
      <c r="ANN12" s="262"/>
      <c r="ANO12" s="262"/>
      <c r="ANP12" s="262"/>
      <c r="ANQ12" s="262"/>
      <c r="ANR12" s="262"/>
      <c r="ANS12" s="262"/>
      <c r="ANT12" s="262"/>
      <c r="ANU12" s="262"/>
      <c r="ANV12" s="262"/>
      <c r="ANW12" s="262"/>
      <c r="ANX12" s="262"/>
      <c r="ANY12" s="262"/>
      <c r="ANZ12" s="262"/>
      <c r="AOA12" s="262"/>
      <c r="AOB12" s="262"/>
      <c r="AOC12" s="262"/>
      <c r="AOD12" s="262"/>
      <c r="AOE12" s="262"/>
      <c r="AOF12" s="262"/>
      <c r="AOG12" s="262"/>
      <c r="AOH12" s="262"/>
      <c r="AOI12" s="262"/>
      <c r="AOJ12" s="262"/>
      <c r="AOK12" s="262"/>
      <c r="AOL12" s="262"/>
      <c r="AOM12" s="262"/>
      <c r="AON12" s="262"/>
      <c r="AOO12" s="262"/>
      <c r="AOP12" s="262"/>
      <c r="AOQ12" s="262"/>
      <c r="AOR12" s="262"/>
      <c r="AOS12" s="262"/>
      <c r="AOT12" s="262"/>
      <c r="AOU12" s="262"/>
      <c r="AOV12" s="262"/>
      <c r="AOW12" s="262"/>
      <c r="AOX12" s="262"/>
      <c r="AOY12" s="262"/>
      <c r="AOZ12" s="262"/>
      <c r="APA12" s="262"/>
      <c r="APB12" s="262"/>
      <c r="APC12" s="262"/>
      <c r="APD12" s="262"/>
      <c r="APE12" s="262"/>
      <c r="APF12" s="262"/>
      <c r="APG12" s="262"/>
      <c r="APH12" s="262"/>
      <c r="API12" s="262"/>
      <c r="APJ12" s="262"/>
      <c r="APK12" s="262"/>
      <c r="APL12" s="262"/>
      <c r="APM12" s="262"/>
      <c r="APN12" s="262"/>
      <c r="APO12" s="262"/>
      <c r="APP12" s="262"/>
      <c r="APQ12" s="262"/>
      <c r="APR12" s="262"/>
      <c r="APS12" s="262"/>
      <c r="APT12" s="262"/>
      <c r="APU12" s="262"/>
      <c r="APV12" s="262"/>
      <c r="APW12" s="262"/>
      <c r="APX12" s="262"/>
      <c r="APY12" s="262"/>
      <c r="APZ12" s="262"/>
      <c r="AQA12" s="262"/>
      <c r="AQB12" s="262"/>
      <c r="AQC12" s="262"/>
      <c r="AQD12" s="262"/>
      <c r="AQE12" s="262"/>
      <c r="AQF12" s="262"/>
      <c r="AQG12" s="262"/>
      <c r="AQH12" s="262"/>
      <c r="AQI12" s="262"/>
      <c r="AQJ12" s="262"/>
      <c r="AQK12" s="262"/>
      <c r="AQL12" s="262"/>
      <c r="AQM12" s="262"/>
      <c r="AQN12" s="262"/>
      <c r="AQO12" s="262"/>
      <c r="AQP12" s="262"/>
      <c r="AQQ12" s="262"/>
      <c r="AQR12" s="262"/>
      <c r="AQS12" s="262"/>
      <c r="AQT12" s="262"/>
      <c r="AQU12" s="262"/>
      <c r="AQV12" s="262"/>
      <c r="AQW12" s="262"/>
      <c r="AQX12" s="262"/>
      <c r="AQY12" s="262"/>
      <c r="AQZ12" s="262"/>
      <c r="ARA12" s="262"/>
      <c r="ARB12" s="262"/>
      <c r="ARC12" s="262"/>
      <c r="ARD12" s="262"/>
      <c r="ARE12" s="262"/>
      <c r="ARF12" s="262"/>
      <c r="ARG12" s="262"/>
      <c r="ARH12" s="262"/>
      <c r="ARI12" s="262"/>
      <c r="ARJ12" s="262"/>
      <c r="ARK12" s="262"/>
      <c r="ARL12" s="262"/>
      <c r="ARM12" s="262"/>
      <c r="ARN12" s="262"/>
      <c r="ARO12" s="262"/>
      <c r="ARP12" s="262"/>
      <c r="ARQ12" s="262"/>
      <c r="ARR12" s="262"/>
      <c r="ARS12" s="262"/>
      <c r="ART12" s="262"/>
      <c r="ARU12" s="262"/>
      <c r="ARV12" s="262"/>
      <c r="ARW12" s="262"/>
      <c r="ARX12" s="262"/>
      <c r="ARY12" s="262"/>
      <c r="ARZ12" s="262"/>
      <c r="ASA12" s="262"/>
      <c r="ASB12" s="262"/>
      <c r="ASC12" s="262"/>
      <c r="ASD12" s="262"/>
      <c r="ASE12" s="262"/>
      <c r="ASF12" s="262"/>
      <c r="ASG12" s="262"/>
      <c r="ASH12" s="262"/>
      <c r="ASI12" s="262"/>
      <c r="ASJ12" s="262"/>
      <c r="ASK12" s="262"/>
      <c r="ASL12" s="262"/>
      <c r="ASM12" s="262"/>
      <c r="ASN12" s="262"/>
      <c r="ASO12" s="262"/>
      <c r="ASP12" s="262"/>
      <c r="ASQ12" s="262"/>
      <c r="ASR12" s="262"/>
      <c r="ASS12" s="262"/>
      <c r="AST12" s="262"/>
      <c r="ASU12" s="262"/>
      <c r="ASV12" s="262"/>
      <c r="ASW12" s="262"/>
      <c r="ASX12" s="262"/>
      <c r="ASY12" s="262"/>
      <c r="ASZ12" s="262"/>
      <c r="ATA12" s="262"/>
      <c r="ATB12" s="262"/>
      <c r="ATC12" s="262"/>
      <c r="ATD12" s="262"/>
      <c r="ATE12" s="262"/>
      <c r="ATF12" s="262"/>
      <c r="ATG12" s="262"/>
      <c r="ATH12" s="262"/>
      <c r="ATI12" s="262"/>
      <c r="ATJ12" s="262"/>
      <c r="ATK12" s="262"/>
      <c r="ATL12" s="262"/>
      <c r="ATM12" s="262"/>
      <c r="ATN12" s="262"/>
      <c r="ATO12" s="262"/>
      <c r="ATP12" s="262"/>
      <c r="ATQ12" s="262"/>
      <c r="ATR12" s="262"/>
      <c r="ATS12" s="262"/>
      <c r="ATT12" s="262"/>
      <c r="ATU12" s="262"/>
      <c r="ATV12" s="262"/>
      <c r="ATW12" s="262"/>
      <c r="ATX12" s="262"/>
      <c r="ATY12" s="262"/>
      <c r="ATZ12" s="262"/>
      <c r="AUA12" s="262"/>
      <c r="AUB12" s="262"/>
      <c r="AUC12" s="262"/>
      <c r="AUD12" s="262"/>
      <c r="AUE12" s="262"/>
      <c r="AUF12" s="262"/>
      <c r="AUG12" s="262"/>
      <c r="AUH12" s="262"/>
      <c r="AUI12" s="262"/>
      <c r="AUJ12" s="262"/>
      <c r="AUK12" s="262"/>
      <c r="AUL12" s="262"/>
      <c r="AUM12" s="262"/>
      <c r="AUN12" s="262"/>
      <c r="AUO12" s="262"/>
      <c r="AUP12" s="262"/>
      <c r="AUQ12" s="262"/>
      <c r="AUR12" s="262"/>
      <c r="AUS12" s="262"/>
      <c r="AUT12" s="262"/>
      <c r="AUU12" s="262"/>
      <c r="AUV12" s="262"/>
      <c r="AUW12" s="262"/>
      <c r="AUX12" s="262"/>
      <c r="AUY12" s="262"/>
      <c r="AUZ12" s="262"/>
      <c r="AVA12" s="262"/>
      <c r="AVB12" s="262"/>
      <c r="AVC12" s="262"/>
      <c r="AVD12" s="262"/>
      <c r="AVE12" s="262"/>
      <c r="AVF12" s="262"/>
      <c r="AVG12" s="262"/>
      <c r="AVH12" s="262"/>
      <c r="AVI12" s="262"/>
      <c r="AVJ12" s="262"/>
      <c r="AVK12" s="262"/>
      <c r="AVL12" s="262"/>
      <c r="AVM12" s="262"/>
      <c r="AVN12" s="262"/>
      <c r="AVO12" s="262"/>
      <c r="AVP12" s="262"/>
      <c r="AVQ12" s="262"/>
      <c r="AVR12" s="262"/>
      <c r="AVS12" s="262"/>
      <c r="AVT12" s="262"/>
      <c r="AVU12" s="262"/>
      <c r="AVV12" s="262"/>
      <c r="AVW12" s="262"/>
      <c r="AVX12" s="262"/>
      <c r="AVY12" s="262"/>
      <c r="AVZ12" s="262"/>
      <c r="AWA12" s="262"/>
      <c r="AWB12" s="262"/>
      <c r="AWC12" s="262"/>
      <c r="AWD12" s="262"/>
      <c r="AWE12" s="262"/>
      <c r="AWF12" s="262"/>
      <c r="AWG12" s="262"/>
      <c r="AWH12" s="262"/>
      <c r="AWI12" s="262"/>
      <c r="AWJ12" s="262"/>
      <c r="AWK12" s="262"/>
      <c r="AWL12" s="262"/>
      <c r="AWM12" s="262"/>
      <c r="AWN12" s="262"/>
      <c r="AWO12" s="262"/>
      <c r="AWP12" s="262"/>
      <c r="AWQ12" s="262"/>
      <c r="AWR12" s="262"/>
      <c r="AWS12" s="262"/>
      <c r="AWT12" s="262"/>
      <c r="AWU12" s="262"/>
      <c r="AWV12" s="262"/>
      <c r="AWW12" s="262"/>
      <c r="AWX12" s="262"/>
      <c r="AWY12" s="262"/>
      <c r="AWZ12" s="262"/>
      <c r="AXA12" s="262"/>
      <c r="AXB12" s="262"/>
      <c r="AXC12" s="262"/>
      <c r="AXD12" s="262"/>
      <c r="AXE12" s="262"/>
      <c r="AXF12" s="262"/>
      <c r="AXG12" s="262"/>
      <c r="AXH12" s="262"/>
      <c r="AXI12" s="262"/>
      <c r="AXJ12" s="262"/>
      <c r="AXK12" s="262"/>
      <c r="AXL12" s="262"/>
      <c r="AXM12" s="262"/>
      <c r="AXN12" s="262"/>
      <c r="AXO12" s="262"/>
      <c r="AXP12" s="262"/>
      <c r="AXQ12" s="262"/>
      <c r="AXR12" s="262"/>
      <c r="AXS12" s="262"/>
      <c r="AXT12" s="262"/>
      <c r="AXU12" s="262"/>
      <c r="AXV12" s="262"/>
      <c r="AXW12" s="262"/>
      <c r="AXX12" s="262"/>
      <c r="AXY12" s="262"/>
      <c r="AXZ12" s="262"/>
      <c r="AYA12" s="262"/>
      <c r="AYB12" s="262"/>
      <c r="AYC12" s="262"/>
      <c r="AYD12" s="262"/>
      <c r="AYE12" s="262"/>
      <c r="AYF12" s="262"/>
      <c r="AYG12" s="262"/>
      <c r="AYH12" s="262"/>
      <c r="AYI12" s="262"/>
      <c r="AYJ12" s="262"/>
      <c r="AYK12" s="262"/>
      <c r="AYL12" s="262"/>
      <c r="AYM12" s="262"/>
      <c r="AYN12" s="262"/>
      <c r="AYO12" s="262"/>
      <c r="AYP12" s="262"/>
      <c r="AYQ12" s="262"/>
      <c r="AYR12" s="262"/>
      <c r="AYS12" s="262"/>
      <c r="AYT12" s="262"/>
      <c r="AYU12" s="262"/>
      <c r="AYV12" s="262"/>
      <c r="AYW12" s="262"/>
      <c r="AYX12" s="262"/>
      <c r="AYY12" s="262"/>
      <c r="AYZ12" s="262"/>
      <c r="AZA12" s="262"/>
      <c r="AZB12" s="262"/>
      <c r="AZC12" s="262"/>
      <c r="AZD12" s="262"/>
      <c r="AZE12" s="262"/>
      <c r="AZF12" s="262"/>
      <c r="AZG12" s="262"/>
      <c r="AZH12" s="262"/>
      <c r="AZI12" s="262"/>
      <c r="AZJ12" s="262"/>
      <c r="AZK12" s="262"/>
      <c r="AZL12" s="262"/>
      <c r="AZM12" s="262"/>
      <c r="AZN12" s="262"/>
      <c r="AZO12" s="262"/>
      <c r="AZP12" s="262"/>
      <c r="AZQ12" s="262"/>
      <c r="AZR12" s="262"/>
      <c r="AZS12" s="262"/>
      <c r="AZT12" s="262"/>
      <c r="AZU12" s="262"/>
      <c r="AZV12" s="262"/>
      <c r="AZW12" s="262"/>
      <c r="AZX12" s="262"/>
      <c r="AZY12" s="262"/>
      <c r="AZZ12" s="262"/>
      <c r="BAA12" s="262"/>
      <c r="BAB12" s="262"/>
      <c r="BAC12" s="262"/>
      <c r="BAD12" s="262"/>
      <c r="BAE12" s="262"/>
      <c r="BAF12" s="262"/>
      <c r="BAG12" s="262"/>
      <c r="BAH12" s="262"/>
      <c r="BAI12" s="262"/>
      <c r="BAJ12" s="262"/>
      <c r="BAK12" s="262"/>
      <c r="BAL12" s="262"/>
      <c r="BAM12" s="262"/>
      <c r="BAN12" s="262"/>
      <c r="BAO12" s="262"/>
      <c r="BAP12" s="262"/>
      <c r="BAQ12" s="262"/>
      <c r="BAR12" s="262"/>
      <c r="BAS12" s="262"/>
      <c r="BAT12" s="262"/>
      <c r="BAU12" s="262"/>
      <c r="BAV12" s="262"/>
      <c r="BAW12" s="262"/>
      <c r="BAX12" s="262"/>
      <c r="BAY12" s="262"/>
      <c r="BAZ12" s="262"/>
      <c r="BBA12" s="262"/>
      <c r="BBB12" s="262"/>
      <c r="BBC12" s="262"/>
      <c r="BBD12" s="262"/>
      <c r="BBE12" s="262"/>
      <c r="BBF12" s="262"/>
      <c r="BBG12" s="262"/>
      <c r="BBH12" s="262"/>
      <c r="BBI12" s="262"/>
      <c r="BBJ12" s="262"/>
      <c r="BBK12" s="262"/>
      <c r="BBL12" s="262"/>
      <c r="BBM12" s="262"/>
      <c r="BBN12" s="262"/>
      <c r="BBO12" s="262"/>
      <c r="BBP12" s="262"/>
      <c r="BBQ12" s="262"/>
      <c r="BBR12" s="262"/>
      <c r="BBS12" s="262"/>
      <c r="BBT12" s="262"/>
      <c r="BBU12" s="262"/>
      <c r="BBV12" s="262"/>
      <c r="BBW12" s="262"/>
      <c r="BBX12" s="262"/>
      <c r="BBY12" s="262"/>
      <c r="BBZ12" s="262"/>
      <c r="BCA12" s="262"/>
      <c r="BCB12" s="262"/>
      <c r="BCC12" s="262"/>
      <c r="BCD12" s="262"/>
      <c r="BCE12" s="262"/>
      <c r="BCF12" s="262"/>
      <c r="BCG12" s="262"/>
      <c r="BCH12" s="262"/>
      <c r="BCI12" s="262"/>
      <c r="BCJ12" s="262"/>
      <c r="BCK12" s="262"/>
      <c r="BCL12" s="262"/>
      <c r="BCM12" s="262"/>
      <c r="BCN12" s="262"/>
      <c r="BCO12" s="262"/>
      <c r="BCP12" s="262"/>
      <c r="BCQ12" s="262"/>
      <c r="BCR12" s="262"/>
      <c r="BCS12" s="262"/>
      <c r="BCT12" s="262"/>
      <c r="BCU12" s="262"/>
      <c r="BCV12" s="262"/>
      <c r="BCW12" s="262"/>
      <c r="BCX12" s="262"/>
      <c r="BCY12" s="262"/>
      <c r="BCZ12" s="262"/>
      <c r="BDA12" s="262"/>
      <c r="BDB12" s="262"/>
      <c r="BDC12" s="262"/>
      <c r="BDD12" s="262"/>
      <c r="BDE12" s="262"/>
      <c r="BDF12" s="262"/>
      <c r="BDG12" s="262"/>
      <c r="BDH12" s="262"/>
      <c r="BDI12" s="262"/>
      <c r="BDJ12" s="262"/>
      <c r="BDK12" s="262"/>
      <c r="BDL12" s="262"/>
      <c r="BDM12" s="262"/>
      <c r="BDN12" s="262"/>
      <c r="BDO12" s="262"/>
      <c r="BDP12" s="262"/>
      <c r="BDQ12" s="262"/>
      <c r="BDR12" s="262"/>
      <c r="BDS12" s="262"/>
      <c r="BDT12" s="262"/>
      <c r="BDU12" s="262"/>
      <c r="BDV12" s="262"/>
      <c r="BDW12" s="262"/>
      <c r="BDX12" s="262"/>
      <c r="BDY12" s="262"/>
      <c r="BDZ12" s="262"/>
      <c r="BEA12" s="262"/>
      <c r="BEB12" s="262"/>
      <c r="BEC12" s="262"/>
      <c r="BED12" s="262"/>
      <c r="BEE12" s="262"/>
      <c r="BEF12" s="262"/>
      <c r="BEG12" s="262"/>
      <c r="BEH12" s="262"/>
      <c r="BEI12" s="262"/>
      <c r="BEJ12" s="262"/>
      <c r="BEK12" s="262"/>
      <c r="BEL12" s="262"/>
      <c r="BEM12" s="262"/>
      <c r="BEN12" s="262"/>
      <c r="BEO12" s="262"/>
      <c r="BEP12" s="262"/>
      <c r="BEQ12" s="262"/>
      <c r="BER12" s="262"/>
      <c r="BES12" s="262"/>
      <c r="BET12" s="262"/>
      <c r="BEU12" s="262"/>
      <c r="BEV12" s="262"/>
      <c r="BEW12" s="262"/>
      <c r="BEX12" s="262"/>
      <c r="BEY12" s="262"/>
      <c r="BEZ12" s="262"/>
      <c r="BFA12" s="262"/>
      <c r="BFB12" s="262"/>
      <c r="BFC12" s="262"/>
      <c r="BFD12" s="262"/>
      <c r="BFE12" s="262"/>
      <c r="BFF12" s="262"/>
      <c r="BFG12" s="262"/>
      <c r="BFH12" s="262"/>
      <c r="BFI12" s="262"/>
      <c r="BFJ12" s="262"/>
      <c r="BFK12" s="262"/>
      <c r="BFL12" s="262"/>
      <c r="BFM12" s="262"/>
      <c r="BFN12" s="262"/>
      <c r="BFO12" s="262"/>
      <c r="BFP12" s="262"/>
      <c r="BFQ12" s="262"/>
      <c r="BFR12" s="262"/>
      <c r="BFS12" s="262"/>
      <c r="BFT12" s="262"/>
      <c r="BFU12" s="262"/>
      <c r="BFV12" s="262"/>
      <c r="BFW12" s="262"/>
      <c r="BFX12" s="262"/>
      <c r="BFY12" s="262"/>
      <c r="BFZ12" s="262"/>
      <c r="BGA12" s="262"/>
      <c r="BGB12" s="262"/>
      <c r="BGC12" s="262"/>
      <c r="BGD12" s="262"/>
      <c r="BGE12" s="262"/>
      <c r="BGF12" s="262"/>
      <c r="BGG12" s="262"/>
      <c r="BGH12" s="262"/>
      <c r="BGI12" s="262"/>
      <c r="BGJ12" s="262"/>
      <c r="BGK12" s="262"/>
      <c r="BGL12" s="262"/>
      <c r="BGM12" s="262"/>
      <c r="BGN12" s="262"/>
      <c r="BGO12" s="262"/>
      <c r="BGP12" s="262"/>
      <c r="BGQ12" s="262"/>
      <c r="BGR12" s="262"/>
      <c r="BGS12" s="262"/>
      <c r="BGT12" s="262"/>
      <c r="BGU12" s="262"/>
      <c r="BGV12" s="262"/>
      <c r="BGW12" s="262"/>
      <c r="BGX12" s="262"/>
      <c r="BGY12" s="262"/>
      <c r="BGZ12" s="262"/>
      <c r="BHA12" s="262"/>
      <c r="BHB12" s="262"/>
      <c r="BHC12" s="262"/>
      <c r="BHD12" s="262"/>
      <c r="BHE12" s="262"/>
      <c r="BHF12" s="262"/>
      <c r="BHG12" s="262"/>
      <c r="BHH12" s="262"/>
      <c r="BHI12" s="262"/>
      <c r="BHJ12" s="262"/>
      <c r="BHK12" s="262"/>
      <c r="BHL12" s="262"/>
      <c r="BHM12" s="262"/>
      <c r="BHN12" s="262"/>
      <c r="BHO12" s="262"/>
      <c r="BHP12" s="262"/>
      <c r="BHQ12" s="262"/>
      <c r="BHR12" s="262"/>
      <c r="BHS12" s="262"/>
      <c r="BHT12" s="262"/>
      <c r="BHU12" s="262"/>
      <c r="BHV12" s="262"/>
      <c r="BHW12" s="262"/>
      <c r="BHX12" s="262"/>
      <c r="BHY12" s="262"/>
      <c r="BHZ12" s="262"/>
      <c r="BIA12" s="262"/>
      <c r="BIB12" s="262"/>
      <c r="BIC12" s="262"/>
      <c r="BID12" s="262"/>
      <c r="BIE12" s="262"/>
      <c r="BIF12" s="262"/>
      <c r="BIG12" s="262"/>
      <c r="BIH12" s="262"/>
      <c r="BII12" s="262"/>
      <c r="BIJ12" s="262"/>
      <c r="BIK12" s="262"/>
      <c r="BIL12" s="262"/>
      <c r="BIM12" s="262"/>
      <c r="BIN12" s="262"/>
      <c r="BIO12" s="262"/>
      <c r="BIP12" s="262"/>
      <c r="BIQ12" s="262"/>
      <c r="BIR12" s="262"/>
      <c r="BIS12" s="262"/>
      <c r="BIT12" s="262"/>
      <c r="BIU12" s="262"/>
      <c r="BIV12" s="262"/>
      <c r="BIW12" s="262"/>
      <c r="BIX12" s="262"/>
      <c r="BIY12" s="262"/>
      <c r="BIZ12" s="262"/>
      <c r="BJA12" s="262"/>
      <c r="BJB12" s="262"/>
      <c r="BJC12" s="262"/>
      <c r="BJD12" s="262"/>
      <c r="BJE12" s="262"/>
      <c r="BJF12" s="262"/>
      <c r="BJG12" s="262"/>
      <c r="BJH12" s="262"/>
      <c r="BJI12" s="262"/>
      <c r="BJJ12" s="262"/>
      <c r="BJK12" s="262"/>
      <c r="BJL12" s="262"/>
      <c r="BJM12" s="262"/>
      <c r="BJN12" s="262"/>
      <c r="BJO12" s="262"/>
      <c r="BJP12" s="262"/>
      <c r="BJQ12" s="262"/>
      <c r="BJR12" s="262"/>
      <c r="BJS12" s="262"/>
      <c r="BJT12" s="262"/>
      <c r="BJU12" s="262"/>
      <c r="BJV12" s="262"/>
      <c r="BJW12" s="262"/>
      <c r="BJX12" s="262"/>
      <c r="BJY12" s="262"/>
      <c r="BJZ12" s="262"/>
      <c r="BKA12" s="262"/>
      <c r="BKB12" s="262"/>
      <c r="BKC12" s="262"/>
      <c r="BKD12" s="262"/>
      <c r="BKE12" s="262"/>
      <c r="BKF12" s="262"/>
      <c r="BKG12" s="262"/>
      <c r="BKH12" s="262"/>
      <c r="BKI12" s="262"/>
      <c r="BKJ12" s="262"/>
      <c r="BKK12" s="262"/>
      <c r="BKL12" s="262"/>
      <c r="BKM12" s="262"/>
      <c r="BKN12" s="262"/>
      <c r="BKO12" s="262"/>
      <c r="BKP12" s="262"/>
      <c r="BKQ12" s="262"/>
      <c r="BKR12" s="262"/>
      <c r="BKS12" s="262"/>
      <c r="BKT12" s="262"/>
      <c r="BKU12" s="262"/>
      <c r="BKV12" s="262"/>
      <c r="BKW12" s="262"/>
      <c r="BKX12" s="262"/>
      <c r="BKY12" s="262"/>
      <c r="BKZ12" s="262"/>
      <c r="BLA12" s="262"/>
      <c r="BLB12" s="262"/>
      <c r="BLC12" s="262"/>
      <c r="BLD12" s="262"/>
      <c r="BLE12" s="262"/>
      <c r="BLF12" s="262"/>
      <c r="BLG12" s="262"/>
      <c r="BLH12" s="262"/>
      <c r="BLI12" s="262"/>
      <c r="BLJ12" s="262"/>
      <c r="BLK12" s="262"/>
      <c r="BLL12" s="262"/>
      <c r="BLM12" s="262"/>
      <c r="BLN12" s="262"/>
      <c r="BLO12" s="262"/>
      <c r="BLP12" s="262"/>
      <c r="BLQ12" s="262"/>
      <c r="BLR12" s="262"/>
      <c r="BLS12" s="262"/>
      <c r="BLT12" s="262"/>
      <c r="BLU12" s="262"/>
      <c r="BLV12" s="262"/>
      <c r="BLW12" s="262"/>
      <c r="BLX12" s="262"/>
      <c r="BLY12" s="262"/>
      <c r="BLZ12" s="262"/>
      <c r="BMA12" s="262"/>
      <c r="BMB12" s="262"/>
      <c r="BMC12" s="262"/>
      <c r="BMD12" s="262"/>
      <c r="BME12" s="262"/>
      <c r="BMF12" s="262"/>
      <c r="BMG12" s="262"/>
      <c r="BMH12" s="262"/>
      <c r="BMI12" s="262"/>
      <c r="BMJ12" s="262"/>
      <c r="BMK12" s="262"/>
      <c r="BML12" s="262"/>
      <c r="BMM12" s="262"/>
      <c r="BMN12" s="262"/>
      <c r="BMO12" s="262"/>
      <c r="BMP12" s="262"/>
      <c r="BMQ12" s="262"/>
      <c r="BMR12" s="262"/>
      <c r="BMS12" s="262"/>
      <c r="BMT12" s="262"/>
      <c r="BMU12" s="262"/>
      <c r="BMV12" s="262"/>
      <c r="BMW12" s="262"/>
      <c r="BMX12" s="262"/>
      <c r="BMY12" s="262"/>
      <c r="BMZ12" s="262"/>
      <c r="BNA12" s="262"/>
      <c r="BNB12" s="262"/>
      <c r="BNC12" s="262"/>
      <c r="BND12" s="262"/>
      <c r="BNE12" s="262"/>
      <c r="BNF12" s="262"/>
      <c r="BNG12" s="262"/>
      <c r="BNH12" s="262"/>
      <c r="BNI12" s="262"/>
      <c r="BNJ12" s="262"/>
      <c r="BNK12" s="262"/>
      <c r="BNL12" s="262"/>
      <c r="BNM12" s="262"/>
      <c r="BNN12" s="262"/>
      <c r="BNO12" s="262"/>
      <c r="BNP12" s="262"/>
      <c r="BNQ12" s="262"/>
      <c r="BNR12" s="262"/>
      <c r="BNS12" s="262"/>
      <c r="BNT12" s="262"/>
      <c r="BNU12" s="262"/>
      <c r="BNV12" s="262"/>
      <c r="BNW12" s="262"/>
      <c r="BNX12" s="262"/>
      <c r="BNY12" s="262"/>
      <c r="BNZ12" s="262"/>
      <c r="BOA12" s="262"/>
      <c r="BOB12" s="262"/>
      <c r="BOC12" s="262"/>
      <c r="BOD12" s="262"/>
      <c r="BOE12" s="262"/>
      <c r="BOF12" s="262"/>
      <c r="BOG12" s="262"/>
      <c r="BOH12" s="262"/>
      <c r="BOI12" s="262"/>
      <c r="BOJ12" s="262"/>
      <c r="BOK12" s="262"/>
      <c r="BOL12" s="262"/>
      <c r="BOM12" s="262"/>
      <c r="BON12" s="262"/>
      <c r="BOO12" s="262"/>
      <c r="BOP12" s="262"/>
      <c r="BOQ12" s="262"/>
      <c r="BOR12" s="262"/>
      <c r="BOS12" s="262"/>
      <c r="BOT12" s="262"/>
      <c r="BOU12" s="262"/>
      <c r="BOV12" s="262"/>
      <c r="BOW12" s="262"/>
      <c r="BOX12" s="262"/>
      <c r="BOY12" s="262"/>
      <c r="BOZ12" s="262"/>
      <c r="BPA12" s="262"/>
      <c r="BPB12" s="262"/>
      <c r="BPC12" s="262"/>
      <c r="BPD12" s="262"/>
      <c r="BPE12" s="262"/>
      <c r="BPF12" s="262"/>
      <c r="BPG12" s="262"/>
      <c r="BPH12" s="262"/>
      <c r="BPI12" s="262"/>
      <c r="BPJ12" s="262"/>
      <c r="BPK12" s="262"/>
      <c r="BPL12" s="262"/>
      <c r="BPM12" s="262"/>
      <c r="BPN12" s="262"/>
      <c r="BPO12" s="262"/>
      <c r="BPP12" s="262"/>
      <c r="BPQ12" s="262"/>
      <c r="BPR12" s="262"/>
      <c r="BPS12" s="262"/>
      <c r="BPT12" s="262"/>
      <c r="BPU12" s="262"/>
      <c r="BPV12" s="262"/>
      <c r="BPW12" s="262"/>
      <c r="BPX12" s="262"/>
      <c r="BPY12" s="262"/>
      <c r="BPZ12" s="262"/>
      <c r="BQA12" s="262"/>
      <c r="BQB12" s="262"/>
      <c r="BQC12" s="262"/>
      <c r="BQD12" s="262"/>
      <c r="BQE12" s="262"/>
      <c r="BQF12" s="262"/>
      <c r="BQG12" s="262"/>
      <c r="BQH12" s="262"/>
      <c r="BQI12" s="262"/>
      <c r="BQJ12" s="262"/>
      <c r="BQK12" s="262"/>
      <c r="BQL12" s="262"/>
      <c r="BQM12" s="262"/>
      <c r="BQN12" s="262"/>
      <c r="BQO12" s="262"/>
      <c r="BQP12" s="262"/>
      <c r="BQQ12" s="262"/>
      <c r="BQR12" s="262"/>
      <c r="BQS12" s="262"/>
      <c r="BQT12" s="262"/>
      <c r="BQU12" s="262"/>
      <c r="BQV12" s="262"/>
      <c r="BQW12" s="262"/>
      <c r="BQX12" s="262"/>
      <c r="BQY12" s="262"/>
      <c r="BQZ12" s="262"/>
      <c r="BRA12" s="262"/>
      <c r="BRB12" s="262"/>
      <c r="BRC12" s="262"/>
      <c r="BRD12" s="262"/>
      <c r="BRE12" s="262"/>
      <c r="BRF12" s="262"/>
      <c r="BRG12" s="262"/>
      <c r="BRH12" s="262"/>
      <c r="BRI12" s="262"/>
      <c r="BRJ12" s="262"/>
      <c r="BRK12" s="262"/>
      <c r="BRL12" s="262"/>
      <c r="BRM12" s="262"/>
      <c r="BRN12" s="262"/>
      <c r="BRO12" s="262"/>
      <c r="BRP12" s="262"/>
      <c r="BRQ12" s="262"/>
      <c r="BRR12" s="262"/>
      <c r="BRS12" s="262"/>
      <c r="BRT12" s="262"/>
      <c r="BRU12" s="262"/>
      <c r="BRV12" s="262"/>
      <c r="BRW12" s="262"/>
      <c r="BRX12" s="262"/>
      <c r="BRY12" s="262"/>
      <c r="BRZ12" s="262"/>
      <c r="BSA12" s="262"/>
      <c r="BSB12" s="262"/>
      <c r="BSC12" s="262"/>
      <c r="BSD12" s="262"/>
      <c r="BSE12" s="262"/>
      <c r="BSF12" s="262"/>
      <c r="BSG12" s="262"/>
      <c r="BSH12" s="262"/>
      <c r="BSI12" s="262"/>
      <c r="BSJ12" s="262"/>
      <c r="BSK12" s="262"/>
      <c r="BSL12" s="262"/>
      <c r="BSM12" s="262"/>
      <c r="BSN12" s="262"/>
      <c r="BSO12" s="262"/>
      <c r="BSP12" s="262"/>
      <c r="BSQ12" s="262"/>
      <c r="BSR12" s="262"/>
      <c r="BSS12" s="262"/>
      <c r="BST12" s="262"/>
      <c r="BSU12" s="262"/>
      <c r="BSV12" s="262"/>
      <c r="BSW12" s="262"/>
      <c r="BSX12" s="262"/>
      <c r="BSY12" s="262"/>
      <c r="BSZ12" s="262"/>
      <c r="BTA12" s="262"/>
      <c r="BTB12" s="262"/>
      <c r="BTC12" s="262"/>
      <c r="BTD12" s="262"/>
      <c r="BTE12" s="262"/>
      <c r="BTF12" s="262"/>
      <c r="BTG12" s="262"/>
      <c r="BTH12" s="262"/>
      <c r="BTI12" s="262"/>
      <c r="BTJ12" s="262"/>
      <c r="BTK12" s="262"/>
      <c r="BTL12" s="262"/>
      <c r="BTM12" s="262"/>
      <c r="BTN12" s="262"/>
      <c r="BTO12" s="262"/>
      <c r="BTP12" s="262"/>
      <c r="BTQ12" s="262"/>
      <c r="BTR12" s="262"/>
      <c r="BTS12" s="262"/>
      <c r="BTT12" s="262"/>
      <c r="BTU12" s="262"/>
      <c r="BTV12" s="262"/>
      <c r="BTW12" s="262"/>
      <c r="BTX12" s="262"/>
      <c r="BTY12" s="262"/>
      <c r="BTZ12" s="262"/>
      <c r="BUA12" s="262"/>
      <c r="BUB12" s="262"/>
      <c r="BUC12" s="262"/>
      <c r="BUD12" s="262"/>
      <c r="BUE12" s="262"/>
      <c r="BUF12" s="262"/>
      <c r="BUG12" s="262"/>
      <c r="BUH12" s="262"/>
      <c r="BUI12" s="262"/>
      <c r="BUJ12" s="262"/>
      <c r="BUK12" s="262"/>
      <c r="BUL12" s="262"/>
      <c r="BUM12" s="262"/>
      <c r="BUN12" s="262"/>
      <c r="BUO12" s="262"/>
      <c r="BUP12" s="262"/>
      <c r="BUQ12" s="262"/>
      <c r="BUR12" s="262"/>
      <c r="BUS12" s="262"/>
      <c r="BUT12" s="262"/>
      <c r="BUU12" s="262"/>
      <c r="BUV12" s="262"/>
      <c r="BUW12" s="262"/>
      <c r="BUX12" s="262"/>
      <c r="BUY12" s="262"/>
      <c r="BUZ12" s="262"/>
      <c r="BVA12" s="262"/>
      <c r="BVB12" s="262"/>
      <c r="BVC12" s="262"/>
      <c r="BVD12" s="262"/>
      <c r="BVE12" s="262"/>
      <c r="BVF12" s="262"/>
      <c r="BVG12" s="262"/>
      <c r="BVH12" s="262"/>
      <c r="BVI12" s="262"/>
      <c r="BVJ12" s="262"/>
      <c r="BVK12" s="262"/>
      <c r="BVL12" s="262"/>
      <c r="BVM12" s="262"/>
      <c r="BVN12" s="262"/>
      <c r="BVO12" s="262"/>
      <c r="BVP12" s="262"/>
      <c r="BVQ12" s="262"/>
      <c r="BVR12" s="262"/>
      <c r="BVS12" s="262"/>
      <c r="BVT12" s="262"/>
      <c r="BVU12" s="262"/>
      <c r="BVV12" s="262"/>
      <c r="BVW12" s="262"/>
      <c r="BVX12" s="262"/>
      <c r="BVY12" s="262"/>
      <c r="BVZ12" s="262"/>
      <c r="BWA12" s="262"/>
      <c r="BWB12" s="262"/>
      <c r="BWC12" s="262"/>
      <c r="BWD12" s="262"/>
      <c r="BWE12" s="262"/>
      <c r="BWF12" s="262"/>
      <c r="BWG12" s="262"/>
      <c r="BWH12" s="262"/>
      <c r="BWI12" s="262"/>
      <c r="BWJ12" s="262"/>
      <c r="BWK12" s="262"/>
      <c r="BWL12" s="262"/>
      <c r="BWM12" s="262"/>
      <c r="BWN12" s="262"/>
      <c r="BWO12" s="262"/>
      <c r="BWP12" s="262"/>
      <c r="BWQ12" s="262"/>
      <c r="BWR12" s="262"/>
      <c r="BWS12" s="262"/>
      <c r="BWT12" s="262"/>
      <c r="BWU12" s="262"/>
      <c r="BWV12" s="262"/>
      <c r="BWW12" s="262"/>
      <c r="BWX12" s="262"/>
      <c r="BWY12" s="262"/>
      <c r="BWZ12" s="262"/>
      <c r="BXA12" s="262"/>
      <c r="BXB12" s="262"/>
      <c r="BXC12" s="262"/>
      <c r="BXD12" s="262"/>
      <c r="BXE12" s="262"/>
      <c r="BXF12" s="262"/>
      <c r="BXG12" s="262"/>
      <c r="BXH12" s="262"/>
      <c r="BXI12" s="262"/>
      <c r="BXJ12" s="262"/>
      <c r="BXK12" s="262"/>
      <c r="BXL12" s="262"/>
      <c r="BXM12" s="262"/>
      <c r="BXN12" s="262"/>
      <c r="BXO12" s="262"/>
      <c r="BXP12" s="262"/>
      <c r="BXQ12" s="262"/>
      <c r="BXR12" s="262"/>
      <c r="BXS12" s="262"/>
      <c r="BXT12" s="262"/>
      <c r="BXU12" s="262"/>
      <c r="BXV12" s="262"/>
      <c r="BXW12" s="262"/>
      <c r="BXX12" s="262"/>
      <c r="BXY12" s="262"/>
      <c r="BXZ12" s="262"/>
      <c r="BYA12" s="262"/>
      <c r="BYB12" s="262"/>
      <c r="BYC12" s="262"/>
      <c r="BYD12" s="262"/>
      <c r="BYE12" s="262"/>
      <c r="BYF12" s="262"/>
      <c r="BYG12" s="262"/>
      <c r="BYH12" s="262"/>
      <c r="BYI12" s="262"/>
      <c r="BYJ12" s="262"/>
      <c r="BYK12" s="262"/>
      <c r="BYL12" s="262"/>
      <c r="BYM12" s="262"/>
      <c r="BYN12" s="262"/>
      <c r="BYO12" s="262"/>
      <c r="BYP12" s="262"/>
      <c r="BYQ12" s="262"/>
      <c r="BYR12" s="262"/>
      <c r="BYS12" s="262"/>
      <c r="BYT12" s="262"/>
      <c r="BYU12" s="262"/>
      <c r="BYV12" s="262"/>
      <c r="BYW12" s="262"/>
      <c r="BYX12" s="262"/>
      <c r="BYY12" s="262"/>
      <c r="BYZ12" s="262"/>
      <c r="BZA12" s="262"/>
      <c r="BZB12" s="262"/>
      <c r="BZC12" s="262"/>
      <c r="BZD12" s="262"/>
      <c r="BZE12" s="262"/>
      <c r="BZF12" s="262"/>
      <c r="BZG12" s="262"/>
      <c r="BZH12" s="262"/>
      <c r="BZI12" s="262"/>
      <c r="BZJ12" s="262"/>
      <c r="BZK12" s="262"/>
      <c r="BZL12" s="262"/>
      <c r="BZM12" s="262"/>
      <c r="BZN12" s="262"/>
      <c r="BZO12" s="262"/>
      <c r="BZP12" s="262"/>
      <c r="BZQ12" s="262"/>
      <c r="BZR12" s="262"/>
      <c r="BZS12" s="262"/>
      <c r="BZT12" s="262"/>
      <c r="BZU12" s="262"/>
      <c r="BZV12" s="262"/>
      <c r="BZW12" s="262"/>
      <c r="BZX12" s="262"/>
      <c r="BZY12" s="262"/>
      <c r="BZZ12" s="262"/>
      <c r="CAA12" s="262"/>
      <c r="CAB12" s="262"/>
      <c r="CAC12" s="262"/>
      <c r="CAD12" s="262"/>
      <c r="CAE12" s="262"/>
      <c r="CAF12" s="262"/>
      <c r="CAG12" s="262"/>
      <c r="CAH12" s="262"/>
      <c r="CAI12" s="262"/>
      <c r="CAJ12" s="262"/>
      <c r="CAK12" s="262"/>
      <c r="CAL12" s="262"/>
      <c r="CAM12" s="262"/>
      <c r="CAN12" s="262"/>
      <c r="CAO12" s="262"/>
      <c r="CAP12" s="262"/>
      <c r="CAQ12" s="262"/>
      <c r="CAR12" s="262"/>
      <c r="CAS12" s="262"/>
      <c r="CAT12" s="262"/>
      <c r="CAU12" s="262"/>
      <c r="CAV12" s="262"/>
      <c r="CAW12" s="262"/>
      <c r="CAX12" s="262"/>
      <c r="CAY12" s="262"/>
      <c r="CAZ12" s="262"/>
      <c r="CBA12" s="262"/>
      <c r="CBB12" s="262"/>
      <c r="CBC12" s="262"/>
      <c r="CBD12" s="262"/>
      <c r="CBE12" s="262"/>
      <c r="CBF12" s="262"/>
      <c r="CBG12" s="262"/>
      <c r="CBH12" s="262"/>
      <c r="CBI12" s="262"/>
      <c r="CBJ12" s="262"/>
      <c r="CBK12" s="262"/>
      <c r="CBL12" s="262"/>
      <c r="CBM12" s="262"/>
      <c r="CBN12" s="262"/>
      <c r="CBO12" s="262"/>
      <c r="CBP12" s="262"/>
      <c r="CBQ12" s="262"/>
      <c r="CBR12" s="262"/>
      <c r="CBS12" s="262"/>
      <c r="CBT12" s="262"/>
      <c r="CBU12" s="262"/>
      <c r="CBV12" s="262"/>
      <c r="CBW12" s="262"/>
      <c r="CBX12" s="262"/>
      <c r="CBY12" s="262"/>
      <c r="CBZ12" s="262"/>
      <c r="CCA12" s="262"/>
      <c r="CCB12" s="262"/>
      <c r="CCC12" s="262"/>
      <c r="CCD12" s="262"/>
      <c r="CCE12" s="262"/>
      <c r="CCF12" s="262"/>
      <c r="CCG12" s="262"/>
      <c r="CCH12" s="262"/>
      <c r="CCI12" s="262"/>
      <c r="CCJ12" s="262"/>
      <c r="CCK12" s="262"/>
      <c r="CCL12" s="262"/>
      <c r="CCM12" s="262"/>
      <c r="CCN12" s="262"/>
      <c r="CCO12" s="262"/>
      <c r="CCP12" s="262"/>
      <c r="CCQ12" s="262"/>
      <c r="CCR12" s="262"/>
      <c r="CCS12" s="262"/>
      <c r="CCT12" s="262"/>
      <c r="CCU12" s="262"/>
      <c r="CCV12" s="262"/>
      <c r="CCW12" s="262"/>
      <c r="VEX12" s="222"/>
      <c r="VST12" s="221"/>
      <c r="VTB12" s="221"/>
    </row>
    <row r="13" spans="1:2129 15008:15070 15386:15394" s="220" customFormat="1" ht="16.149999999999999" customHeight="1" x14ac:dyDescent="0.25">
      <c r="A13" s="209" t="s">
        <v>65</v>
      </c>
      <c r="B13" s="209">
        <v>9</v>
      </c>
      <c r="C13" s="209"/>
      <c r="D13" s="209"/>
      <c r="E13" s="209"/>
      <c r="F13" s="209"/>
      <c r="G13" s="210" t="s">
        <v>218</v>
      </c>
      <c r="H13" s="211" t="s">
        <v>243</v>
      </c>
      <c r="I13" s="211"/>
      <c r="J13" s="212"/>
      <c r="K13" s="213"/>
      <c r="L13" s="213"/>
      <c r="M13" s="214"/>
      <c r="N13" s="213">
        <v>43066</v>
      </c>
      <c r="O13" s="213">
        <v>43091</v>
      </c>
      <c r="P13" s="214">
        <v>23</v>
      </c>
      <c r="Q13" s="215">
        <v>0</v>
      </c>
      <c r="R13" s="213"/>
      <c r="S13" s="213"/>
      <c r="T13" s="214"/>
      <c r="U13" s="216"/>
      <c r="V13" s="216"/>
      <c r="W13" s="216"/>
      <c r="X13" s="217"/>
      <c r="Y13" s="218"/>
      <c r="Z13" s="218"/>
      <c r="AA13" s="225"/>
      <c r="AB13" s="218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  <c r="BR13" s="219"/>
      <c r="BS13" s="219"/>
      <c r="BT13" s="219"/>
      <c r="BU13" s="219"/>
      <c r="BV13" s="219"/>
      <c r="BW13" s="219"/>
      <c r="BX13" s="219"/>
      <c r="BY13" s="219"/>
      <c r="BZ13" s="219"/>
      <c r="CA13" s="219"/>
      <c r="CB13" s="219"/>
      <c r="CC13" s="219"/>
      <c r="CD13" s="219"/>
      <c r="CE13" s="219"/>
      <c r="CF13" s="219"/>
      <c r="CG13" s="223"/>
      <c r="CH13" s="223"/>
      <c r="CI13" s="223"/>
      <c r="CJ13" s="223"/>
      <c r="CK13" s="223"/>
      <c r="CL13" s="223"/>
      <c r="CM13" s="223"/>
      <c r="CN13" s="223"/>
      <c r="CO13" s="223"/>
      <c r="CP13" s="223"/>
      <c r="CQ13" s="223"/>
      <c r="CR13" s="223"/>
      <c r="CS13" s="223"/>
      <c r="CT13" s="223"/>
      <c r="CU13" s="223"/>
      <c r="CV13" s="223"/>
      <c r="CW13" s="223"/>
      <c r="CX13" s="223"/>
      <c r="CY13" s="223"/>
      <c r="CZ13" s="223"/>
      <c r="DA13" s="223"/>
      <c r="DB13" s="223"/>
      <c r="DC13" s="223"/>
      <c r="DD13" s="223"/>
      <c r="DE13" s="223"/>
      <c r="DF13" s="223"/>
      <c r="DG13" s="223"/>
      <c r="DH13" s="223"/>
      <c r="DI13" s="223"/>
      <c r="DJ13" s="223"/>
      <c r="DK13" s="223"/>
      <c r="DL13" s="223"/>
      <c r="DM13" s="223"/>
      <c r="DN13" s="223"/>
      <c r="DO13" s="223"/>
      <c r="DP13" s="223"/>
      <c r="DQ13" s="223"/>
      <c r="DR13" s="223"/>
      <c r="DS13" s="223"/>
      <c r="DT13" s="223"/>
      <c r="DU13" s="223"/>
      <c r="DV13" s="223"/>
      <c r="DW13" s="223"/>
      <c r="DX13" s="223"/>
      <c r="DY13" s="223"/>
      <c r="DZ13" s="223"/>
      <c r="EA13" s="223"/>
      <c r="EB13" s="223"/>
      <c r="EC13" s="223"/>
      <c r="ED13" s="223"/>
      <c r="EE13" s="223"/>
      <c r="EF13" s="223"/>
      <c r="EG13" s="223"/>
      <c r="EH13" s="223"/>
      <c r="EI13" s="223"/>
      <c r="EJ13" s="223"/>
      <c r="EK13" s="223"/>
      <c r="EL13" s="223"/>
      <c r="EM13" s="223"/>
      <c r="EN13" s="223"/>
      <c r="EO13" s="223"/>
      <c r="EP13" s="223"/>
      <c r="EQ13" s="223"/>
      <c r="ER13" s="223"/>
      <c r="ES13" s="223"/>
      <c r="ET13" s="223"/>
      <c r="EU13" s="223"/>
      <c r="EV13" s="223"/>
      <c r="EW13" s="223"/>
      <c r="EX13" s="223"/>
      <c r="EY13" s="223"/>
      <c r="EZ13" s="223"/>
      <c r="FA13" s="223"/>
      <c r="FB13" s="223"/>
      <c r="FC13" s="223"/>
      <c r="FD13" s="223"/>
      <c r="FE13" s="223"/>
      <c r="FF13" s="223"/>
      <c r="FG13" s="223"/>
      <c r="FH13" s="223"/>
      <c r="FI13" s="223"/>
      <c r="FJ13" s="223"/>
      <c r="FK13" s="223"/>
      <c r="FL13" s="223"/>
      <c r="FM13" s="223"/>
      <c r="FN13" s="223"/>
      <c r="FO13" s="223"/>
      <c r="FP13" s="223"/>
      <c r="FQ13" s="223"/>
      <c r="FR13" s="223"/>
      <c r="FS13" s="223"/>
      <c r="FT13" s="223"/>
      <c r="FU13" s="223"/>
      <c r="FV13" s="223"/>
      <c r="FW13" s="223"/>
      <c r="FX13" s="223"/>
      <c r="FY13" s="223"/>
      <c r="FZ13" s="223"/>
      <c r="GA13" s="223"/>
      <c r="GB13" s="223"/>
      <c r="GC13" s="223"/>
      <c r="GD13" s="223"/>
      <c r="GE13" s="223"/>
      <c r="GF13" s="223"/>
      <c r="GG13" s="223"/>
      <c r="GH13" s="223"/>
      <c r="GI13" s="223"/>
      <c r="GJ13" s="223"/>
      <c r="GK13" s="223"/>
      <c r="GL13" s="223"/>
      <c r="GM13" s="223"/>
      <c r="GN13" s="223"/>
      <c r="GO13" s="223"/>
      <c r="GP13" s="223"/>
      <c r="GQ13" s="223"/>
      <c r="GR13" s="223"/>
      <c r="GS13" s="223"/>
      <c r="GT13" s="223"/>
      <c r="GU13" s="223"/>
      <c r="GV13" s="223"/>
      <c r="GW13" s="223"/>
      <c r="GX13" s="223"/>
      <c r="GY13" s="223"/>
      <c r="GZ13" s="223"/>
      <c r="HA13" s="223"/>
      <c r="HB13" s="223"/>
      <c r="HC13" s="223"/>
      <c r="HD13" s="223"/>
      <c r="HE13" s="223"/>
      <c r="HF13" s="223"/>
      <c r="HG13" s="223"/>
      <c r="HH13" s="223"/>
      <c r="HI13" s="223"/>
      <c r="HJ13" s="223"/>
      <c r="HK13" s="223"/>
      <c r="HL13" s="223"/>
      <c r="HM13" s="223"/>
      <c r="HN13" s="223"/>
      <c r="HO13" s="223"/>
      <c r="HP13" s="223"/>
      <c r="HQ13" s="223"/>
      <c r="HR13" s="223"/>
      <c r="HS13" s="223"/>
      <c r="HT13" s="223"/>
      <c r="HU13" s="223"/>
      <c r="HV13" s="223"/>
      <c r="HW13" s="223"/>
      <c r="HX13" s="223"/>
      <c r="HY13" s="223"/>
      <c r="HZ13" s="223"/>
      <c r="IA13" s="223"/>
      <c r="IB13" s="223"/>
      <c r="IC13" s="223"/>
      <c r="ID13" s="223"/>
      <c r="IE13" s="223"/>
      <c r="IF13" s="223"/>
      <c r="IG13" s="223"/>
      <c r="IH13" s="223"/>
      <c r="II13" s="223"/>
      <c r="IJ13" s="223"/>
      <c r="IK13" s="223"/>
      <c r="IL13" s="223"/>
      <c r="IM13" s="223"/>
      <c r="IN13" s="223"/>
      <c r="IO13" s="223"/>
      <c r="IP13" s="223"/>
      <c r="IQ13" s="223"/>
      <c r="IR13" s="223"/>
      <c r="IS13" s="223"/>
      <c r="IT13" s="223"/>
      <c r="IU13" s="223"/>
      <c r="IV13" s="223"/>
      <c r="IW13" s="223"/>
      <c r="IX13" s="223"/>
      <c r="IY13" s="223"/>
      <c r="IZ13" s="223"/>
      <c r="JA13" s="223"/>
      <c r="JB13" s="223"/>
      <c r="JC13" s="223"/>
      <c r="JD13" s="223"/>
      <c r="JE13" s="223"/>
      <c r="JF13" s="223"/>
      <c r="JG13" s="223"/>
      <c r="JH13" s="223"/>
      <c r="JI13" s="223"/>
      <c r="JJ13" s="223"/>
      <c r="JK13" s="223"/>
      <c r="JL13" s="223"/>
      <c r="JM13" s="223"/>
      <c r="JN13" s="223"/>
      <c r="JO13" s="223"/>
      <c r="JP13" s="223"/>
      <c r="JQ13" s="223"/>
      <c r="JR13" s="223"/>
      <c r="JS13" s="223"/>
      <c r="JT13" s="223"/>
      <c r="JU13" s="223"/>
      <c r="JV13" s="223"/>
      <c r="JW13" s="223"/>
      <c r="JX13" s="223"/>
      <c r="JY13" s="223"/>
      <c r="JZ13" s="223"/>
      <c r="KA13" s="223"/>
      <c r="KB13" s="223"/>
      <c r="KC13" s="223"/>
      <c r="KD13" s="223"/>
      <c r="KE13" s="223"/>
      <c r="KF13" s="223"/>
      <c r="KG13" s="223"/>
      <c r="KH13" s="223"/>
      <c r="KI13" s="223"/>
      <c r="KJ13" s="223"/>
      <c r="KK13" s="223"/>
      <c r="KL13" s="223"/>
      <c r="KM13" s="223"/>
      <c r="KN13" s="223"/>
      <c r="KO13" s="223"/>
      <c r="KP13" s="223"/>
      <c r="KQ13" s="223"/>
      <c r="KR13" s="223"/>
      <c r="KS13" s="223"/>
      <c r="KT13" s="223"/>
      <c r="KU13" s="223"/>
      <c r="KV13" s="223"/>
      <c r="KW13" s="223"/>
      <c r="KX13" s="223"/>
      <c r="KY13" s="223"/>
      <c r="KZ13" s="223"/>
      <c r="LA13" s="223"/>
      <c r="LB13" s="223"/>
      <c r="LC13" s="223"/>
      <c r="LD13" s="223"/>
      <c r="LE13" s="223"/>
      <c r="LF13" s="223"/>
      <c r="LG13" s="223"/>
      <c r="LH13" s="223"/>
      <c r="LI13" s="223"/>
      <c r="LJ13" s="223"/>
      <c r="LK13" s="223"/>
      <c r="LL13" s="223"/>
      <c r="LM13" s="223"/>
      <c r="LN13" s="223"/>
      <c r="LO13" s="223"/>
      <c r="LP13" s="223"/>
      <c r="LQ13" s="223"/>
      <c r="LR13" s="223"/>
      <c r="LS13" s="223"/>
      <c r="LT13" s="223"/>
      <c r="LU13" s="223"/>
      <c r="LV13" s="223"/>
      <c r="LW13" s="223"/>
      <c r="LX13" s="223"/>
      <c r="LY13" s="223"/>
      <c r="LZ13" s="223"/>
      <c r="MA13" s="223"/>
      <c r="MB13" s="223"/>
      <c r="MC13" s="223"/>
      <c r="MD13" s="223"/>
      <c r="ME13" s="223"/>
      <c r="MF13" s="223"/>
      <c r="MG13" s="223"/>
      <c r="MH13" s="223"/>
      <c r="MI13" s="223"/>
      <c r="MJ13" s="223"/>
      <c r="MK13" s="223"/>
      <c r="ML13" s="223"/>
      <c r="MM13" s="223"/>
      <c r="MN13" s="223"/>
      <c r="MO13" s="223"/>
      <c r="MP13" s="223"/>
      <c r="MQ13" s="223"/>
      <c r="MR13" s="223"/>
      <c r="MS13" s="223"/>
      <c r="MT13" s="223"/>
      <c r="MU13" s="223"/>
      <c r="MV13" s="224"/>
      <c r="MW13" s="223"/>
      <c r="MX13" s="223"/>
      <c r="MY13" s="223"/>
      <c r="MZ13" s="223"/>
      <c r="NA13" s="223"/>
      <c r="NB13" s="223"/>
      <c r="NC13" s="223"/>
      <c r="ND13" s="223"/>
      <c r="NE13" s="223"/>
      <c r="NF13" s="223"/>
      <c r="NG13" s="223"/>
      <c r="NH13" s="223"/>
      <c r="NI13" s="223"/>
      <c r="NJ13" s="223"/>
      <c r="NK13" s="223"/>
      <c r="NL13" s="223"/>
      <c r="NM13" s="223"/>
      <c r="NN13" s="223"/>
      <c r="NO13" s="223"/>
      <c r="NP13" s="223"/>
      <c r="NQ13" s="223"/>
      <c r="NR13" s="223"/>
      <c r="NS13" s="223"/>
      <c r="NT13" s="223"/>
      <c r="NU13" s="223"/>
      <c r="NV13" s="223"/>
      <c r="NW13" s="223"/>
      <c r="NX13" s="223"/>
      <c r="NY13" s="223"/>
      <c r="NZ13" s="223"/>
      <c r="OA13" s="223"/>
      <c r="OB13" s="223"/>
      <c r="OC13" s="223"/>
      <c r="OD13" s="223"/>
      <c r="OE13" s="223"/>
      <c r="OF13" s="223"/>
      <c r="OG13" s="223"/>
      <c r="OH13" s="223"/>
      <c r="OI13" s="223"/>
      <c r="OJ13" s="223"/>
      <c r="OK13" s="223"/>
      <c r="OL13" s="223"/>
      <c r="OM13" s="223"/>
      <c r="ON13" s="223"/>
      <c r="OO13" s="223"/>
      <c r="OP13" s="223"/>
      <c r="OQ13" s="223"/>
      <c r="OR13" s="223"/>
      <c r="OS13" s="223"/>
      <c r="OT13" s="223"/>
      <c r="OU13" s="223"/>
      <c r="OV13" s="223"/>
      <c r="OW13" s="223"/>
      <c r="OX13" s="223"/>
      <c r="OY13" s="223"/>
      <c r="OZ13" s="223"/>
      <c r="PA13" s="223"/>
      <c r="PB13" s="223"/>
      <c r="PC13" s="223"/>
      <c r="PD13" s="223"/>
      <c r="PE13" s="223"/>
      <c r="PF13" s="223"/>
      <c r="PG13" s="223"/>
      <c r="PH13" s="223"/>
      <c r="PI13" s="223"/>
      <c r="PJ13" s="223"/>
      <c r="PK13" s="223"/>
      <c r="PL13" s="223"/>
      <c r="PM13" s="223"/>
      <c r="PN13" s="223"/>
      <c r="PO13" s="223"/>
      <c r="PP13" s="223"/>
      <c r="PQ13" s="223"/>
      <c r="PR13" s="223"/>
      <c r="PS13" s="223"/>
      <c r="PT13" s="223"/>
      <c r="PU13" s="223"/>
      <c r="PV13" s="223"/>
      <c r="PW13" s="223"/>
      <c r="PX13" s="223"/>
      <c r="PY13" s="223"/>
      <c r="PZ13" s="223"/>
      <c r="QA13" s="223"/>
      <c r="QB13" s="223"/>
      <c r="QC13" s="223"/>
      <c r="QD13" s="223"/>
      <c r="QE13" s="223"/>
      <c r="QF13" s="223"/>
      <c r="QG13" s="223"/>
      <c r="QH13" s="223"/>
      <c r="QI13" s="223"/>
      <c r="QJ13" s="223"/>
      <c r="QK13" s="223"/>
      <c r="QL13" s="223"/>
      <c r="QM13" s="223"/>
      <c r="QN13" s="223"/>
      <c r="QO13" s="223"/>
      <c r="QP13" s="223"/>
      <c r="QQ13" s="223"/>
      <c r="QR13" s="223"/>
      <c r="QS13" s="223"/>
      <c r="QT13" s="223"/>
      <c r="QU13" s="223"/>
      <c r="QV13" s="223"/>
      <c r="QW13" s="223"/>
      <c r="QX13" s="223"/>
      <c r="QY13" s="223"/>
      <c r="QZ13" s="223"/>
      <c r="RA13" s="223"/>
      <c r="RB13" s="223"/>
      <c r="RC13" s="223"/>
      <c r="RD13" s="223"/>
      <c r="RE13" s="223"/>
      <c r="RF13" s="223"/>
      <c r="RG13" s="223"/>
      <c r="RH13" s="223"/>
      <c r="RI13" s="223"/>
      <c r="RJ13" s="223"/>
      <c r="RK13" s="223"/>
      <c r="RL13" s="223"/>
      <c r="RM13" s="223"/>
      <c r="RN13" s="223"/>
      <c r="RO13" s="223"/>
      <c r="RP13" s="223"/>
      <c r="RQ13" s="223"/>
      <c r="RR13" s="223"/>
      <c r="RS13" s="223"/>
      <c r="RT13" s="223"/>
      <c r="RU13" s="223"/>
      <c r="RV13" s="223"/>
      <c r="RW13" s="223"/>
      <c r="RX13" s="223"/>
      <c r="RY13" s="223"/>
      <c r="RZ13" s="223"/>
      <c r="SA13" s="223"/>
      <c r="SB13" s="223"/>
      <c r="SC13" s="223"/>
      <c r="SD13" s="223"/>
      <c r="SE13" s="223"/>
      <c r="SF13" s="223"/>
      <c r="SG13" s="223"/>
      <c r="SH13" s="223"/>
      <c r="SI13" s="223"/>
      <c r="SJ13" s="223"/>
      <c r="SK13" s="223"/>
      <c r="SL13" s="223"/>
      <c r="SM13" s="223"/>
      <c r="SN13" s="223"/>
      <c r="SO13" s="223"/>
      <c r="SP13" s="223"/>
      <c r="SQ13" s="223"/>
      <c r="SR13" s="223"/>
      <c r="SS13" s="223"/>
      <c r="ST13" s="223"/>
      <c r="SU13" s="223"/>
      <c r="SV13" s="223"/>
      <c r="SW13" s="223"/>
      <c r="SX13" s="223"/>
      <c r="SY13" s="223"/>
      <c r="SZ13" s="223"/>
      <c r="TA13" s="223"/>
      <c r="TB13" s="223"/>
      <c r="TC13" s="223"/>
      <c r="TD13" s="223"/>
      <c r="TE13" s="223"/>
      <c r="TF13" s="223"/>
      <c r="TG13" s="223"/>
      <c r="TH13" s="223"/>
      <c r="TI13" s="223"/>
      <c r="TJ13" s="223"/>
      <c r="TK13" s="223"/>
      <c r="TL13" s="223"/>
      <c r="TM13" s="223"/>
      <c r="TN13" s="223"/>
      <c r="TO13" s="223"/>
      <c r="TP13" s="223"/>
      <c r="TQ13" s="223"/>
      <c r="TR13" s="223"/>
      <c r="TS13" s="223"/>
      <c r="TT13" s="223"/>
      <c r="TU13" s="223"/>
      <c r="TV13" s="223"/>
      <c r="TW13" s="223"/>
      <c r="TX13" s="223"/>
      <c r="TY13" s="223"/>
      <c r="TZ13" s="223"/>
      <c r="UA13" s="223"/>
      <c r="UB13" s="223"/>
      <c r="UC13" s="223"/>
      <c r="UD13" s="223"/>
      <c r="UE13" s="223"/>
      <c r="UF13" s="223"/>
      <c r="UG13" s="223"/>
      <c r="UH13" s="223"/>
      <c r="UI13" s="223"/>
      <c r="UJ13" s="223"/>
      <c r="UK13" s="223"/>
      <c r="UL13" s="223"/>
      <c r="UM13" s="223"/>
      <c r="UN13" s="223"/>
      <c r="UO13" s="223"/>
      <c r="UP13" s="223"/>
      <c r="UQ13" s="223"/>
      <c r="UR13" s="223"/>
      <c r="US13" s="223"/>
      <c r="UT13" s="223"/>
      <c r="UU13" s="223"/>
      <c r="UV13" s="223"/>
      <c r="UW13" s="223"/>
      <c r="UX13" s="223"/>
      <c r="UY13" s="223"/>
      <c r="UZ13" s="223"/>
      <c r="VA13" s="223"/>
      <c r="VB13" s="223"/>
      <c r="VC13" s="223"/>
      <c r="VD13" s="223"/>
      <c r="VE13" s="223"/>
      <c r="VF13" s="223"/>
      <c r="VG13" s="223"/>
      <c r="VH13" s="223"/>
      <c r="VI13" s="223"/>
      <c r="VJ13" s="223"/>
      <c r="VK13" s="223"/>
      <c r="VL13" s="223"/>
      <c r="VM13" s="223"/>
      <c r="VN13" s="223"/>
      <c r="VO13" s="223"/>
      <c r="VP13" s="223"/>
      <c r="VQ13" s="223"/>
      <c r="VR13" s="223"/>
      <c r="VS13" s="223"/>
      <c r="VT13" s="223"/>
      <c r="VU13" s="223"/>
      <c r="VV13" s="223"/>
      <c r="VW13" s="223"/>
      <c r="VX13" s="223"/>
      <c r="VY13" s="223"/>
      <c r="VZ13" s="223"/>
      <c r="WA13" s="223"/>
      <c r="WB13" s="223"/>
      <c r="WC13" s="223"/>
      <c r="WD13" s="223"/>
      <c r="WE13" s="223"/>
      <c r="WF13" s="223"/>
      <c r="WG13" s="223"/>
      <c r="WH13" s="223"/>
      <c r="WI13" s="223"/>
      <c r="WJ13" s="223"/>
      <c r="WK13" s="223"/>
      <c r="WL13" s="223"/>
      <c r="WM13" s="223"/>
      <c r="WN13" s="223"/>
      <c r="WO13" s="223"/>
      <c r="WP13" s="223"/>
      <c r="WQ13" s="223"/>
      <c r="WR13" s="223"/>
      <c r="WS13" s="223"/>
      <c r="WT13" s="223"/>
      <c r="WU13" s="223"/>
      <c r="WV13" s="223"/>
      <c r="WW13" s="223"/>
      <c r="WX13" s="223"/>
      <c r="WY13" s="223"/>
      <c r="WZ13" s="223"/>
      <c r="XA13" s="223"/>
      <c r="XB13" s="223"/>
      <c r="XC13" s="223"/>
      <c r="XD13" s="223"/>
      <c r="XE13" s="223"/>
      <c r="XF13" s="223"/>
      <c r="XG13" s="223"/>
      <c r="XH13" s="223"/>
      <c r="XI13" s="223"/>
      <c r="XJ13" s="223"/>
      <c r="XK13" s="223"/>
      <c r="XL13" s="223"/>
      <c r="XM13" s="223"/>
      <c r="XN13" s="223"/>
      <c r="XO13" s="223"/>
      <c r="XP13" s="223"/>
      <c r="XQ13" s="223"/>
      <c r="XR13" s="223"/>
      <c r="XS13" s="223"/>
      <c r="XT13" s="223"/>
      <c r="XU13" s="223"/>
      <c r="XV13" s="223"/>
      <c r="XW13" s="223"/>
      <c r="XX13" s="223"/>
      <c r="XY13" s="223"/>
      <c r="XZ13" s="223"/>
      <c r="YA13" s="223"/>
      <c r="YB13" s="223"/>
      <c r="YC13" s="223"/>
      <c r="YD13" s="223"/>
      <c r="YE13" s="223"/>
      <c r="YF13" s="223"/>
      <c r="YG13" s="223"/>
      <c r="YH13" s="223"/>
      <c r="YI13" s="223"/>
      <c r="YJ13" s="223"/>
      <c r="YK13" s="223"/>
      <c r="YL13" s="223"/>
      <c r="YM13" s="223"/>
      <c r="YN13" s="223"/>
      <c r="YO13" s="223"/>
      <c r="YP13" s="223"/>
      <c r="YQ13" s="223"/>
      <c r="YR13" s="223"/>
      <c r="YS13" s="223"/>
      <c r="YT13" s="223"/>
      <c r="YU13" s="223"/>
      <c r="YV13" s="223"/>
      <c r="YW13" s="223"/>
      <c r="YX13" s="223"/>
      <c r="YY13" s="223"/>
      <c r="YZ13" s="223"/>
      <c r="ZA13" s="223"/>
      <c r="ZB13" s="223"/>
      <c r="ZC13" s="223"/>
      <c r="ZD13" s="223"/>
      <c r="ZE13" s="223"/>
      <c r="ZF13" s="223"/>
      <c r="ZG13" s="223"/>
      <c r="ZH13" s="223"/>
      <c r="ZI13" s="223"/>
      <c r="ZJ13" s="223"/>
      <c r="ZK13" s="223"/>
      <c r="ZL13" s="223"/>
      <c r="ZM13" s="223"/>
      <c r="ZN13" s="223"/>
      <c r="ZO13" s="223"/>
      <c r="ZP13" s="223"/>
      <c r="ZQ13" s="223"/>
      <c r="ZR13" s="223"/>
      <c r="ZS13" s="223"/>
      <c r="ZT13" s="223"/>
      <c r="ZU13" s="223"/>
      <c r="ZV13" s="223"/>
      <c r="ZW13" s="223"/>
      <c r="ZX13" s="223"/>
      <c r="ZY13" s="223"/>
      <c r="ZZ13" s="223"/>
      <c r="AAA13" s="223"/>
      <c r="AAB13" s="223"/>
      <c r="AAC13" s="223"/>
      <c r="AAD13" s="223"/>
      <c r="AAE13" s="223"/>
      <c r="AAF13" s="223"/>
      <c r="AAG13" s="223"/>
      <c r="AAH13" s="223"/>
      <c r="AAI13" s="223"/>
      <c r="AAJ13" s="223"/>
      <c r="AAK13" s="223"/>
      <c r="AAL13" s="223"/>
      <c r="AAM13" s="223"/>
      <c r="AAN13" s="223"/>
      <c r="AAO13" s="223"/>
      <c r="AAP13" s="223"/>
      <c r="AAQ13" s="223"/>
      <c r="AAR13" s="223"/>
      <c r="AAS13" s="223"/>
      <c r="AAT13" s="223"/>
      <c r="AAU13" s="223"/>
      <c r="AAV13" s="223"/>
      <c r="AAW13" s="223"/>
      <c r="AAX13" s="223"/>
      <c r="AAY13" s="223"/>
      <c r="AAZ13" s="223"/>
      <c r="ABA13" s="223"/>
      <c r="ABB13" s="223"/>
      <c r="ABC13" s="223"/>
      <c r="ABD13" s="223"/>
      <c r="ABE13" s="223"/>
      <c r="ABF13" s="223"/>
      <c r="ABG13" s="223"/>
      <c r="ABH13" s="223"/>
      <c r="ABI13" s="223"/>
      <c r="ABJ13" s="223"/>
      <c r="ABK13" s="223"/>
      <c r="ABL13" s="223"/>
      <c r="ABM13" s="223"/>
      <c r="ABN13" s="223"/>
      <c r="ABO13" s="223"/>
      <c r="ABP13" s="223"/>
      <c r="ABQ13" s="223"/>
      <c r="ABR13" s="223"/>
      <c r="ABS13" s="223"/>
      <c r="ABT13" s="223"/>
      <c r="ABU13" s="223"/>
      <c r="ABV13" s="223"/>
      <c r="ABW13" s="223"/>
      <c r="ABX13" s="223"/>
      <c r="ABY13" s="223"/>
      <c r="ABZ13" s="223"/>
      <c r="ACA13" s="223"/>
      <c r="ACB13" s="223"/>
      <c r="ACC13" s="223"/>
      <c r="ACD13" s="223"/>
      <c r="ACE13" s="223"/>
      <c r="ACF13" s="223"/>
      <c r="ACG13" s="223"/>
      <c r="ACH13" s="223"/>
      <c r="ACI13" s="223"/>
      <c r="ACJ13" s="223"/>
      <c r="ACK13" s="223"/>
      <c r="ACL13" s="223"/>
      <c r="ACM13" s="223"/>
      <c r="ACN13" s="223"/>
      <c r="ACO13" s="223"/>
      <c r="ACP13" s="223"/>
      <c r="ACQ13" s="223"/>
      <c r="ACR13" s="223"/>
      <c r="ACS13" s="223"/>
      <c r="ACT13" s="223"/>
      <c r="ACU13" s="223"/>
      <c r="ACV13" s="223"/>
      <c r="ACW13" s="223"/>
      <c r="ACX13" s="223"/>
      <c r="ACY13" s="223"/>
      <c r="ACZ13" s="223"/>
      <c r="ADA13" s="223"/>
      <c r="ADB13" s="223"/>
      <c r="ADC13" s="223"/>
      <c r="ADD13" s="223"/>
      <c r="ADE13" s="223"/>
      <c r="ADF13" s="223"/>
      <c r="ADG13" s="223"/>
      <c r="ADH13" s="223"/>
      <c r="ADI13" s="223"/>
      <c r="ADJ13" s="223"/>
      <c r="ADK13" s="223"/>
      <c r="ADL13" s="223"/>
      <c r="ADM13" s="223"/>
      <c r="ADN13" s="223"/>
      <c r="ADO13" s="223"/>
      <c r="ADP13" s="223"/>
      <c r="ADQ13" s="223"/>
      <c r="ADR13" s="223"/>
      <c r="ADS13" s="223"/>
      <c r="ADT13" s="223"/>
      <c r="ADU13" s="223"/>
      <c r="ADV13" s="223"/>
      <c r="ADW13" s="223"/>
      <c r="ADX13" s="223"/>
      <c r="ADY13" s="223"/>
      <c r="ADZ13" s="223"/>
      <c r="AEA13" s="223"/>
      <c r="AEB13" s="223"/>
      <c r="AEC13" s="223"/>
      <c r="AED13" s="223"/>
      <c r="AEE13" s="223"/>
      <c r="AEF13" s="223"/>
      <c r="AEG13" s="223"/>
      <c r="AEH13" s="223"/>
      <c r="AEI13" s="223"/>
      <c r="AEJ13" s="223"/>
      <c r="AEK13" s="223"/>
      <c r="AEL13" s="223"/>
      <c r="AEM13" s="223"/>
      <c r="AEN13" s="223"/>
      <c r="AEO13" s="223"/>
      <c r="AEP13" s="223"/>
      <c r="AEQ13" s="223"/>
      <c r="AER13" s="223"/>
      <c r="AES13" s="223"/>
      <c r="AET13" s="223"/>
      <c r="AEU13" s="223"/>
      <c r="AEV13" s="223"/>
      <c r="AEW13" s="223"/>
      <c r="AEX13" s="223"/>
      <c r="AEY13" s="223"/>
      <c r="AEZ13" s="223"/>
      <c r="AFA13" s="223"/>
      <c r="AFB13" s="223"/>
      <c r="AFC13" s="223"/>
      <c r="AFD13" s="223"/>
      <c r="AFE13" s="223"/>
      <c r="AFF13" s="223"/>
      <c r="AFG13" s="223"/>
      <c r="AFH13" s="223"/>
      <c r="AFI13" s="223"/>
      <c r="AFJ13" s="223"/>
      <c r="AFK13" s="223"/>
      <c r="AFL13" s="223"/>
      <c r="AFM13" s="223"/>
      <c r="AFN13" s="223"/>
      <c r="AFO13" s="223"/>
      <c r="AFP13" s="223"/>
      <c r="AFQ13" s="223"/>
      <c r="AFR13" s="223"/>
      <c r="AFS13" s="223"/>
      <c r="AFT13" s="223"/>
      <c r="AFU13" s="223"/>
      <c r="AFV13" s="223"/>
      <c r="AFW13" s="223"/>
      <c r="AFX13" s="223"/>
      <c r="AFY13" s="223"/>
      <c r="AFZ13" s="223"/>
      <c r="AGA13" s="223"/>
      <c r="AGB13" s="223"/>
      <c r="AGC13" s="223"/>
      <c r="AGD13" s="223"/>
      <c r="AGE13" s="223"/>
      <c r="AGF13" s="223"/>
      <c r="AGG13" s="223"/>
      <c r="AGH13" s="223"/>
      <c r="AGI13" s="223"/>
      <c r="AGJ13" s="223"/>
      <c r="AGK13" s="223"/>
      <c r="AGL13" s="223"/>
      <c r="AGM13" s="223"/>
      <c r="AGN13" s="223"/>
      <c r="AGO13" s="223"/>
      <c r="AGP13" s="223"/>
      <c r="AGQ13" s="223"/>
      <c r="AGR13" s="223"/>
      <c r="AGS13" s="223"/>
      <c r="AGT13" s="223"/>
      <c r="AGU13" s="223"/>
      <c r="AGV13" s="223"/>
      <c r="AGW13" s="223"/>
      <c r="AGX13" s="223"/>
      <c r="AGY13" s="223"/>
      <c r="AGZ13" s="223"/>
      <c r="AHA13" s="223"/>
      <c r="AHB13" s="223"/>
      <c r="AHC13" s="223"/>
      <c r="AHD13" s="223"/>
      <c r="AHE13" s="223"/>
      <c r="AHF13" s="223"/>
      <c r="AHG13" s="223"/>
      <c r="AHH13" s="223"/>
      <c r="AHI13" s="223"/>
      <c r="AHJ13" s="223"/>
      <c r="AHK13" s="223"/>
      <c r="AHL13" s="223"/>
      <c r="AHM13" s="223"/>
      <c r="AHN13" s="223"/>
      <c r="AHO13" s="223"/>
      <c r="AHP13" s="223"/>
      <c r="AHQ13" s="223"/>
      <c r="AHR13" s="223"/>
      <c r="AHS13" s="223"/>
      <c r="AHT13" s="223"/>
      <c r="AHU13" s="223"/>
      <c r="AHV13" s="223"/>
      <c r="AHW13" s="223"/>
      <c r="AHX13" s="223"/>
      <c r="AHY13" s="223"/>
      <c r="AHZ13" s="223"/>
      <c r="AIA13" s="223"/>
      <c r="AIB13" s="223"/>
      <c r="AIC13" s="223"/>
      <c r="AID13" s="223"/>
      <c r="AIE13" s="223"/>
      <c r="AIF13" s="223"/>
      <c r="AIG13" s="223"/>
      <c r="AIH13" s="223"/>
      <c r="AII13" s="223"/>
      <c r="AIJ13" s="223"/>
      <c r="AIK13" s="223"/>
      <c r="AIL13" s="223"/>
      <c r="AIM13" s="223"/>
      <c r="AIN13" s="223"/>
      <c r="AIO13" s="223"/>
      <c r="AIP13" s="223"/>
      <c r="AIQ13" s="223"/>
      <c r="AIR13" s="223"/>
      <c r="AIS13" s="223"/>
      <c r="AIT13" s="223"/>
      <c r="AIU13" s="223"/>
      <c r="AIV13" s="223"/>
      <c r="AIW13" s="223"/>
      <c r="AIX13" s="223"/>
      <c r="AIY13" s="223"/>
      <c r="AIZ13" s="223"/>
      <c r="AJA13" s="223"/>
      <c r="AJB13" s="223"/>
      <c r="AJC13" s="223"/>
      <c r="AJD13" s="223"/>
      <c r="AJE13" s="223"/>
      <c r="AJF13" s="223"/>
      <c r="AJG13" s="223"/>
      <c r="AJH13" s="223"/>
      <c r="AJI13" s="223"/>
      <c r="AJJ13" s="223"/>
      <c r="AJK13" s="223"/>
      <c r="AJL13" s="223"/>
      <c r="AJM13" s="223"/>
      <c r="AJN13" s="223"/>
      <c r="AJO13" s="223"/>
      <c r="AJP13" s="223"/>
      <c r="AJQ13" s="223"/>
      <c r="AJR13" s="223"/>
      <c r="AJS13" s="223"/>
      <c r="AJT13" s="223"/>
      <c r="AJU13" s="223"/>
      <c r="AJV13" s="223"/>
      <c r="AJW13" s="223"/>
      <c r="AJX13" s="223"/>
      <c r="AJY13" s="223"/>
      <c r="AJZ13" s="223"/>
      <c r="AKA13" s="223"/>
      <c r="AKB13" s="223"/>
      <c r="AKC13" s="223"/>
      <c r="AKD13" s="223"/>
      <c r="AKE13" s="223"/>
      <c r="AKF13" s="223"/>
      <c r="AKG13" s="223"/>
      <c r="AKH13" s="223"/>
      <c r="AKI13" s="223"/>
      <c r="AKJ13" s="223"/>
      <c r="AKK13" s="223"/>
      <c r="AKL13" s="223"/>
      <c r="AKM13" s="223"/>
      <c r="AKN13" s="223"/>
      <c r="AKO13" s="223"/>
      <c r="AKP13" s="223"/>
      <c r="AKQ13" s="223"/>
      <c r="AKR13" s="223"/>
      <c r="AKS13" s="223"/>
      <c r="AKT13" s="223"/>
      <c r="AKU13" s="223"/>
      <c r="AKV13" s="223"/>
      <c r="AKW13" s="223"/>
      <c r="AKX13" s="223"/>
      <c r="AKY13" s="223"/>
      <c r="AKZ13" s="223"/>
      <c r="ALA13" s="223"/>
      <c r="ALB13" s="223"/>
      <c r="ALC13" s="223"/>
      <c r="ALD13" s="223"/>
      <c r="ALE13" s="223"/>
      <c r="ALF13" s="223"/>
      <c r="ALG13" s="223"/>
      <c r="ALH13" s="223"/>
      <c r="ALI13" s="223"/>
      <c r="ALJ13" s="223"/>
      <c r="ALK13" s="223"/>
      <c r="ALL13" s="223"/>
      <c r="ALM13" s="223"/>
      <c r="ALN13" s="223"/>
      <c r="ALO13" s="223"/>
      <c r="ALP13" s="223"/>
      <c r="ALQ13" s="223"/>
      <c r="ALR13" s="223"/>
      <c r="ALS13" s="223"/>
      <c r="ALT13" s="223"/>
      <c r="ALU13" s="223"/>
      <c r="ALV13" s="223"/>
      <c r="ALW13" s="223"/>
      <c r="ALX13" s="223"/>
      <c r="ALY13" s="223"/>
      <c r="ALZ13" s="223"/>
      <c r="AMA13" s="223"/>
      <c r="AMB13" s="223"/>
      <c r="AMC13" s="223"/>
      <c r="AMD13" s="223"/>
      <c r="AME13" s="223"/>
      <c r="AMF13" s="223"/>
      <c r="AMG13" s="223"/>
      <c r="AMH13" s="223"/>
      <c r="AMI13" s="223"/>
      <c r="AMJ13" s="223"/>
      <c r="AMK13" s="223"/>
      <c r="AML13" s="223"/>
      <c r="AMM13" s="223"/>
      <c r="AMN13" s="223"/>
      <c r="AMO13" s="223"/>
      <c r="AMP13" s="223"/>
      <c r="AMQ13" s="223"/>
      <c r="AMR13" s="223"/>
      <c r="AMS13" s="223"/>
      <c r="AMT13" s="223"/>
      <c r="AMU13" s="223"/>
      <c r="AMV13" s="223"/>
      <c r="AMW13" s="223"/>
      <c r="AMX13" s="223"/>
      <c r="AMY13" s="223"/>
      <c r="AMZ13" s="223"/>
      <c r="ANA13" s="223"/>
      <c r="ANB13" s="223"/>
      <c r="ANC13" s="223"/>
      <c r="AND13" s="223"/>
      <c r="ANE13" s="223"/>
      <c r="ANF13" s="223"/>
      <c r="ANG13" s="223"/>
      <c r="ANH13" s="223"/>
      <c r="ANI13" s="223"/>
      <c r="ANJ13" s="223"/>
      <c r="ANK13" s="223"/>
      <c r="ANL13" s="223"/>
      <c r="ANM13" s="223"/>
      <c r="ANN13" s="223"/>
      <c r="ANO13" s="223"/>
      <c r="ANP13" s="223"/>
      <c r="ANQ13" s="223"/>
      <c r="ANR13" s="223"/>
      <c r="ANS13" s="223"/>
      <c r="ANT13" s="223"/>
      <c r="ANU13" s="223"/>
      <c r="ANV13" s="223"/>
      <c r="ANW13" s="223"/>
      <c r="ANX13" s="223"/>
      <c r="ANY13" s="223"/>
      <c r="ANZ13" s="223"/>
      <c r="AOA13" s="223"/>
      <c r="AOB13" s="223"/>
      <c r="AOC13" s="223"/>
      <c r="AOD13" s="223"/>
      <c r="AOE13" s="223"/>
      <c r="AOF13" s="223"/>
      <c r="AOG13" s="223"/>
      <c r="AOH13" s="223"/>
      <c r="AOI13" s="223"/>
      <c r="AOJ13" s="223"/>
      <c r="AOK13" s="223"/>
      <c r="AOL13" s="223"/>
      <c r="AOM13" s="223"/>
      <c r="AON13" s="223"/>
      <c r="AOO13" s="223"/>
      <c r="AOP13" s="223"/>
      <c r="AOQ13" s="223"/>
      <c r="AOR13" s="223"/>
      <c r="AOS13" s="223"/>
      <c r="AOT13" s="223"/>
      <c r="AOU13" s="223"/>
      <c r="AOV13" s="223"/>
      <c r="AOW13" s="223"/>
      <c r="AOX13" s="223"/>
      <c r="AOY13" s="223"/>
      <c r="AOZ13" s="223"/>
      <c r="APA13" s="223"/>
      <c r="APB13" s="223"/>
      <c r="APC13" s="223"/>
      <c r="APD13" s="223"/>
      <c r="APE13" s="223"/>
      <c r="APF13" s="223"/>
      <c r="APG13" s="223"/>
      <c r="APH13" s="223"/>
      <c r="API13" s="223"/>
      <c r="APJ13" s="223"/>
      <c r="APK13" s="223"/>
      <c r="APL13" s="223"/>
      <c r="APM13" s="223"/>
      <c r="APN13" s="223"/>
      <c r="APO13" s="223"/>
      <c r="APP13" s="223"/>
      <c r="APQ13" s="223"/>
      <c r="APR13" s="223"/>
      <c r="APS13" s="223"/>
      <c r="APT13" s="223"/>
      <c r="APU13" s="223"/>
      <c r="APV13" s="223"/>
      <c r="APW13" s="223"/>
      <c r="APX13" s="223"/>
      <c r="APY13" s="223"/>
      <c r="APZ13" s="223"/>
      <c r="AQA13" s="223"/>
      <c r="AQB13" s="223"/>
      <c r="AQC13" s="223"/>
      <c r="AQD13" s="223"/>
      <c r="AQE13" s="223"/>
      <c r="AQF13" s="223"/>
      <c r="AQG13" s="223"/>
      <c r="AQH13" s="223"/>
      <c r="AQI13" s="223"/>
      <c r="AQJ13" s="223"/>
      <c r="AQK13" s="223"/>
      <c r="AQL13" s="223"/>
      <c r="AQM13" s="223"/>
      <c r="AQN13" s="223"/>
      <c r="AQO13" s="223"/>
      <c r="AQP13" s="223"/>
      <c r="AQQ13" s="223"/>
      <c r="AQR13" s="223"/>
      <c r="AQS13" s="223"/>
      <c r="AQT13" s="223"/>
      <c r="AQU13" s="223"/>
      <c r="AQV13" s="223"/>
      <c r="AQW13" s="223"/>
      <c r="AQX13" s="223"/>
      <c r="AQY13" s="223"/>
      <c r="AQZ13" s="223"/>
      <c r="ARA13" s="223"/>
      <c r="ARB13" s="223"/>
      <c r="ARC13" s="223"/>
      <c r="ARD13" s="223"/>
      <c r="ARE13" s="223"/>
      <c r="ARF13" s="223"/>
      <c r="ARG13" s="223"/>
      <c r="ARH13" s="223"/>
      <c r="ARI13" s="223"/>
      <c r="ARJ13" s="223"/>
      <c r="ARK13" s="223"/>
      <c r="ARL13" s="223"/>
      <c r="ARM13" s="223"/>
      <c r="ARN13" s="223"/>
      <c r="ARO13" s="223"/>
      <c r="ARP13" s="223"/>
      <c r="ARQ13" s="223"/>
      <c r="ARR13" s="223"/>
      <c r="ARS13" s="223"/>
      <c r="ART13" s="223"/>
      <c r="ARU13" s="223"/>
      <c r="ARV13" s="223"/>
      <c r="ARW13" s="223"/>
      <c r="ARX13" s="223"/>
      <c r="ARY13" s="223"/>
      <c r="ARZ13" s="223"/>
      <c r="ASA13" s="223"/>
      <c r="ASB13" s="223"/>
      <c r="ASC13" s="223"/>
      <c r="ASD13" s="223"/>
      <c r="ASE13" s="223"/>
      <c r="ASF13" s="223"/>
      <c r="ASG13" s="223"/>
      <c r="ASH13" s="223"/>
      <c r="ASI13" s="223"/>
      <c r="ASJ13" s="223"/>
      <c r="ASK13" s="223"/>
      <c r="ASL13" s="223"/>
      <c r="ASM13" s="223"/>
      <c r="ASN13" s="223"/>
      <c r="ASO13" s="223"/>
      <c r="ASP13" s="223"/>
      <c r="ASQ13" s="223"/>
      <c r="ASR13" s="223"/>
      <c r="ASS13" s="223"/>
      <c r="AST13" s="223"/>
      <c r="ASU13" s="223"/>
      <c r="ASV13" s="223"/>
      <c r="ASW13" s="223"/>
      <c r="ASX13" s="223"/>
      <c r="ASY13" s="223"/>
      <c r="ASZ13" s="223"/>
      <c r="ATA13" s="223"/>
      <c r="ATB13" s="223"/>
      <c r="ATC13" s="223"/>
      <c r="ATD13" s="223"/>
      <c r="ATE13" s="223"/>
      <c r="ATF13" s="223"/>
      <c r="ATG13" s="223"/>
      <c r="ATH13" s="223"/>
      <c r="ATI13" s="223"/>
      <c r="ATJ13" s="223"/>
      <c r="ATK13" s="223"/>
      <c r="ATL13" s="223"/>
      <c r="ATM13" s="223"/>
      <c r="ATN13" s="223"/>
      <c r="ATO13" s="223"/>
      <c r="ATP13" s="223"/>
      <c r="ATQ13" s="223"/>
      <c r="ATR13" s="223"/>
      <c r="ATS13" s="223"/>
      <c r="ATT13" s="223"/>
      <c r="ATU13" s="223"/>
      <c r="ATV13" s="223"/>
      <c r="ATW13" s="223"/>
      <c r="ATX13" s="223"/>
      <c r="ATY13" s="223"/>
      <c r="ATZ13" s="223"/>
      <c r="AUA13" s="223"/>
      <c r="AUB13" s="223"/>
      <c r="AUC13" s="223"/>
      <c r="AUD13" s="223"/>
      <c r="AUE13" s="223"/>
      <c r="AUF13" s="223"/>
      <c r="AUG13" s="223"/>
      <c r="AUH13" s="223"/>
      <c r="AUI13" s="223"/>
      <c r="AUJ13" s="223"/>
      <c r="AUK13" s="223"/>
      <c r="AUL13" s="223"/>
      <c r="AUM13" s="223"/>
      <c r="AUN13" s="223"/>
      <c r="AUO13" s="223"/>
      <c r="AUP13" s="223"/>
      <c r="AUQ13" s="223"/>
      <c r="AUR13" s="223"/>
      <c r="AUS13" s="223"/>
      <c r="AUT13" s="223"/>
      <c r="AUU13" s="223"/>
      <c r="AUV13" s="223"/>
      <c r="AUW13" s="223"/>
      <c r="AUX13" s="223"/>
      <c r="AUY13" s="223"/>
      <c r="AUZ13" s="223"/>
      <c r="AVA13" s="223"/>
      <c r="AVB13" s="223"/>
      <c r="AVC13" s="223"/>
      <c r="AVD13" s="223"/>
      <c r="AVE13" s="223"/>
      <c r="AVF13" s="223"/>
      <c r="AVG13" s="223"/>
      <c r="AVH13" s="223"/>
      <c r="AVI13" s="223"/>
      <c r="AVJ13" s="223"/>
      <c r="AVK13" s="223"/>
      <c r="AVL13" s="223"/>
      <c r="AVM13" s="223"/>
      <c r="AVN13" s="223"/>
      <c r="AVO13" s="223"/>
      <c r="AVP13" s="223"/>
      <c r="AVQ13" s="223"/>
      <c r="AVR13" s="223"/>
      <c r="AVS13" s="223"/>
      <c r="AVT13" s="223"/>
      <c r="AVU13" s="223"/>
      <c r="AVV13" s="223"/>
      <c r="AVW13" s="223"/>
      <c r="AVX13" s="223"/>
      <c r="AVY13" s="223"/>
      <c r="AVZ13" s="223"/>
      <c r="AWA13" s="223"/>
      <c r="AWB13" s="223"/>
      <c r="AWC13" s="223"/>
      <c r="AWD13" s="223"/>
      <c r="AWE13" s="223"/>
      <c r="AWF13" s="223"/>
      <c r="AWG13" s="223"/>
      <c r="AWH13" s="223"/>
      <c r="AWI13" s="223"/>
      <c r="AWJ13" s="223"/>
      <c r="AWK13" s="223"/>
      <c r="AWL13" s="223"/>
      <c r="AWM13" s="223"/>
      <c r="AWN13" s="223"/>
      <c r="AWO13" s="223"/>
      <c r="AWP13" s="223"/>
      <c r="AWQ13" s="223"/>
      <c r="AWR13" s="223"/>
      <c r="AWS13" s="223"/>
      <c r="AWT13" s="223"/>
      <c r="AWU13" s="223"/>
      <c r="AWV13" s="223"/>
      <c r="AWW13" s="223"/>
      <c r="AWX13" s="223"/>
      <c r="AWY13" s="223"/>
      <c r="AWZ13" s="223"/>
      <c r="AXA13" s="223"/>
      <c r="AXB13" s="223"/>
      <c r="AXC13" s="223"/>
      <c r="AXD13" s="223"/>
      <c r="AXE13" s="223"/>
      <c r="AXF13" s="223"/>
      <c r="AXG13" s="223"/>
      <c r="AXH13" s="223"/>
      <c r="AXI13" s="223"/>
      <c r="AXJ13" s="223"/>
      <c r="AXK13" s="223"/>
      <c r="AXL13" s="223"/>
      <c r="AXM13" s="223"/>
      <c r="AXN13" s="223"/>
      <c r="AXO13" s="223"/>
      <c r="AXP13" s="223"/>
      <c r="AXQ13" s="223"/>
      <c r="AXR13" s="223"/>
      <c r="AXS13" s="223"/>
      <c r="AXT13" s="223"/>
      <c r="AXU13" s="223"/>
      <c r="AXV13" s="223"/>
      <c r="AXW13" s="223"/>
      <c r="AXX13" s="223"/>
      <c r="AXY13" s="223"/>
      <c r="AXZ13" s="223"/>
      <c r="AYA13" s="223"/>
      <c r="AYB13" s="223"/>
      <c r="AYC13" s="223"/>
      <c r="AYD13" s="223"/>
      <c r="AYE13" s="223"/>
      <c r="AYF13" s="223"/>
      <c r="AYG13" s="223"/>
      <c r="AYH13" s="223"/>
      <c r="AYI13" s="223"/>
      <c r="AYJ13" s="223"/>
      <c r="AYK13" s="223"/>
      <c r="AYL13" s="223"/>
      <c r="AYM13" s="223"/>
      <c r="AYN13" s="223"/>
      <c r="AYO13" s="223"/>
      <c r="AYP13" s="223"/>
      <c r="AYQ13" s="223"/>
      <c r="AYR13" s="223"/>
      <c r="AYS13" s="223"/>
      <c r="AYT13" s="223"/>
      <c r="AYU13" s="223"/>
      <c r="AYV13" s="223"/>
      <c r="AYW13" s="223"/>
      <c r="AYX13" s="223"/>
      <c r="AYY13" s="223"/>
      <c r="AYZ13" s="223"/>
      <c r="AZA13" s="223"/>
      <c r="AZB13" s="223"/>
      <c r="AZC13" s="223"/>
      <c r="AZD13" s="223"/>
      <c r="AZE13" s="223"/>
      <c r="AZF13" s="223"/>
      <c r="AZG13" s="223"/>
      <c r="AZH13" s="223"/>
      <c r="AZI13" s="223"/>
      <c r="AZJ13" s="223"/>
      <c r="AZK13" s="223"/>
      <c r="AZL13" s="223"/>
      <c r="AZM13" s="223"/>
      <c r="AZN13" s="223"/>
      <c r="AZO13" s="223"/>
      <c r="AZP13" s="223"/>
      <c r="AZQ13" s="223"/>
      <c r="AZR13" s="223"/>
      <c r="AZS13" s="223"/>
      <c r="AZT13" s="223"/>
      <c r="AZU13" s="223"/>
      <c r="AZV13" s="223"/>
      <c r="AZW13" s="223"/>
      <c r="AZX13" s="223"/>
      <c r="AZY13" s="223"/>
      <c r="AZZ13" s="223"/>
      <c r="BAA13" s="223"/>
      <c r="BAB13" s="223"/>
      <c r="BAC13" s="223"/>
      <c r="BAD13" s="223"/>
      <c r="BAE13" s="223"/>
      <c r="BAF13" s="223"/>
      <c r="BAG13" s="223"/>
      <c r="BAH13" s="223"/>
      <c r="BAI13" s="223"/>
      <c r="BAJ13" s="223"/>
      <c r="BAK13" s="223"/>
      <c r="BAL13" s="223"/>
      <c r="BAM13" s="223"/>
      <c r="BAN13" s="223"/>
      <c r="BAO13" s="223"/>
      <c r="BAP13" s="223"/>
      <c r="BAQ13" s="223"/>
      <c r="BAR13" s="223"/>
      <c r="BAS13" s="223"/>
      <c r="BAT13" s="223"/>
      <c r="BAU13" s="223"/>
      <c r="BAV13" s="223"/>
      <c r="BAW13" s="223"/>
      <c r="BAX13" s="223"/>
      <c r="BAY13" s="223"/>
      <c r="BAZ13" s="223"/>
      <c r="BBA13" s="223"/>
      <c r="BBB13" s="223"/>
      <c r="BBC13" s="223"/>
      <c r="BBD13" s="223"/>
      <c r="BBE13" s="223"/>
      <c r="BBF13" s="223"/>
      <c r="BBG13" s="223"/>
      <c r="BBH13" s="223"/>
      <c r="BBI13" s="223"/>
      <c r="BBJ13" s="223"/>
      <c r="BBK13" s="223"/>
      <c r="BBL13" s="223"/>
      <c r="BBM13" s="223"/>
      <c r="BBN13" s="223"/>
      <c r="BBO13" s="223"/>
      <c r="BBP13" s="223"/>
      <c r="BBQ13" s="223"/>
      <c r="BBR13" s="223"/>
      <c r="BBS13" s="223"/>
      <c r="BBT13" s="223"/>
      <c r="BBU13" s="223"/>
      <c r="BBV13" s="223"/>
      <c r="BBW13" s="223"/>
      <c r="BBX13" s="223"/>
      <c r="BBY13" s="223"/>
      <c r="BBZ13" s="223"/>
      <c r="BCA13" s="223"/>
      <c r="BCB13" s="223"/>
      <c r="BCC13" s="223"/>
      <c r="BCD13" s="223"/>
      <c r="BCE13" s="223"/>
      <c r="BCF13" s="223"/>
      <c r="BCG13" s="223"/>
      <c r="BCH13" s="223"/>
      <c r="BCI13" s="223"/>
      <c r="BCJ13" s="223"/>
      <c r="BCK13" s="223"/>
      <c r="BCL13" s="223"/>
      <c r="BCM13" s="223"/>
      <c r="BCN13" s="223"/>
      <c r="BCO13" s="223"/>
      <c r="BCP13" s="223"/>
      <c r="BCQ13" s="223"/>
      <c r="BCR13" s="223"/>
      <c r="BCS13" s="223"/>
      <c r="BCT13" s="223"/>
      <c r="BCU13" s="223"/>
      <c r="BCV13" s="223"/>
      <c r="BCW13" s="223"/>
      <c r="BCX13" s="223"/>
      <c r="BCY13" s="223"/>
      <c r="BCZ13" s="223"/>
      <c r="BDA13" s="223"/>
      <c r="BDB13" s="223"/>
      <c r="BDC13" s="223"/>
      <c r="BDD13" s="223"/>
      <c r="BDE13" s="223"/>
      <c r="BDF13" s="223"/>
      <c r="BDG13" s="223"/>
      <c r="BDH13" s="223"/>
      <c r="BDI13" s="223"/>
      <c r="BDJ13" s="223"/>
      <c r="BDK13" s="223"/>
      <c r="BDL13" s="223"/>
      <c r="BDM13" s="223"/>
      <c r="BDN13" s="223"/>
      <c r="BDO13" s="223"/>
      <c r="BDP13" s="223"/>
      <c r="BDQ13" s="223"/>
      <c r="BDR13" s="223"/>
      <c r="BDS13" s="223"/>
      <c r="BDT13" s="223"/>
      <c r="BDU13" s="223"/>
      <c r="BDV13" s="223"/>
      <c r="BDW13" s="223"/>
      <c r="BDX13" s="223"/>
      <c r="BDY13" s="223"/>
      <c r="BDZ13" s="223"/>
      <c r="BEA13" s="223"/>
      <c r="BEB13" s="223"/>
      <c r="BEC13" s="223"/>
      <c r="BED13" s="223"/>
      <c r="BEE13" s="223"/>
      <c r="BEF13" s="223"/>
      <c r="BEG13" s="223"/>
      <c r="BEH13" s="223"/>
      <c r="BEI13" s="223"/>
      <c r="BEJ13" s="223"/>
      <c r="BEK13" s="223"/>
      <c r="BEL13" s="223"/>
      <c r="BEM13" s="223"/>
      <c r="BEN13" s="223"/>
      <c r="BEO13" s="223"/>
      <c r="BEP13" s="223"/>
      <c r="BEQ13" s="223"/>
      <c r="BER13" s="223"/>
      <c r="BES13" s="223"/>
      <c r="BET13" s="223"/>
      <c r="BEU13" s="223"/>
      <c r="BEV13" s="223"/>
      <c r="BEW13" s="223"/>
      <c r="BEX13" s="223"/>
      <c r="BEY13" s="223"/>
      <c r="BEZ13" s="223"/>
      <c r="BFA13" s="223"/>
      <c r="BFB13" s="223"/>
      <c r="BFC13" s="223"/>
      <c r="BFD13" s="223"/>
      <c r="BFE13" s="223"/>
      <c r="BFF13" s="223"/>
      <c r="BFG13" s="223"/>
      <c r="BFH13" s="223"/>
      <c r="BFI13" s="223"/>
      <c r="BFJ13" s="223"/>
      <c r="BFK13" s="223"/>
      <c r="BFL13" s="223"/>
      <c r="BFM13" s="223"/>
      <c r="BFN13" s="223"/>
      <c r="BFO13" s="223"/>
      <c r="BFP13" s="223"/>
      <c r="BFQ13" s="223"/>
      <c r="BFR13" s="223"/>
      <c r="BFS13" s="223"/>
      <c r="BFT13" s="223"/>
      <c r="BFU13" s="223"/>
      <c r="BFV13" s="223"/>
      <c r="BFW13" s="223"/>
      <c r="BFX13" s="223"/>
      <c r="BFY13" s="223"/>
      <c r="BFZ13" s="223"/>
      <c r="BGA13" s="223"/>
      <c r="BGB13" s="223"/>
      <c r="BGC13" s="223"/>
      <c r="BGD13" s="223"/>
      <c r="BGE13" s="223"/>
      <c r="BGF13" s="223"/>
      <c r="BGG13" s="223"/>
      <c r="BGH13" s="223"/>
      <c r="BGI13" s="223"/>
      <c r="BGJ13" s="223"/>
      <c r="BGK13" s="223"/>
      <c r="BGL13" s="223"/>
      <c r="BGM13" s="223"/>
      <c r="BGN13" s="223"/>
      <c r="BGO13" s="223"/>
      <c r="BGP13" s="223"/>
      <c r="BGQ13" s="223"/>
      <c r="BGR13" s="223"/>
      <c r="BGS13" s="223"/>
      <c r="BGT13" s="223"/>
      <c r="BGU13" s="223"/>
      <c r="BGV13" s="223"/>
      <c r="BGW13" s="223"/>
      <c r="BGX13" s="223"/>
      <c r="BGY13" s="223"/>
      <c r="BGZ13" s="223"/>
      <c r="BHA13" s="223"/>
      <c r="BHB13" s="223"/>
      <c r="BHC13" s="223"/>
      <c r="BHD13" s="223"/>
      <c r="BHE13" s="223"/>
      <c r="BHF13" s="223"/>
      <c r="BHG13" s="223"/>
      <c r="BHH13" s="223"/>
      <c r="BHI13" s="223"/>
      <c r="BHJ13" s="223"/>
      <c r="BHK13" s="223"/>
      <c r="BHL13" s="223"/>
      <c r="BHM13" s="223"/>
      <c r="BHN13" s="223"/>
      <c r="BHO13" s="223"/>
      <c r="BHP13" s="223"/>
      <c r="BHQ13" s="223"/>
      <c r="BHR13" s="223"/>
      <c r="BHS13" s="223"/>
      <c r="BHT13" s="223"/>
      <c r="BHU13" s="223"/>
      <c r="BHV13" s="223"/>
      <c r="BHW13" s="223"/>
      <c r="BHX13" s="223"/>
      <c r="BHY13" s="223"/>
      <c r="BHZ13" s="223"/>
      <c r="BIA13" s="223"/>
      <c r="BIB13" s="223"/>
      <c r="BIC13" s="223"/>
      <c r="BID13" s="223"/>
      <c r="BIE13" s="223"/>
      <c r="BIF13" s="223"/>
      <c r="BIG13" s="223"/>
      <c r="BIH13" s="223"/>
      <c r="BII13" s="223"/>
      <c r="BIJ13" s="223"/>
      <c r="BIK13" s="223"/>
      <c r="BIL13" s="223"/>
      <c r="BIM13" s="223"/>
      <c r="BIN13" s="223"/>
      <c r="BIO13" s="223"/>
      <c r="BIP13" s="223"/>
      <c r="BIQ13" s="223"/>
      <c r="BIR13" s="223"/>
      <c r="BIS13" s="223"/>
      <c r="BIT13" s="223"/>
      <c r="BIU13" s="223"/>
      <c r="BIV13" s="223"/>
      <c r="BIW13" s="223"/>
      <c r="BIX13" s="223"/>
      <c r="BIY13" s="223"/>
      <c r="BIZ13" s="223"/>
      <c r="BJA13" s="223"/>
      <c r="BJB13" s="223"/>
      <c r="BJC13" s="223"/>
      <c r="BJD13" s="223"/>
      <c r="BJE13" s="223"/>
      <c r="BJF13" s="223"/>
      <c r="BJG13" s="223"/>
      <c r="BJH13" s="223"/>
      <c r="BJI13" s="223"/>
      <c r="BJJ13" s="223"/>
      <c r="BJK13" s="223"/>
      <c r="BJL13" s="223"/>
      <c r="BJM13" s="223"/>
      <c r="BJN13" s="223"/>
      <c r="BJO13" s="223"/>
      <c r="BJP13" s="223"/>
      <c r="BJQ13" s="223"/>
      <c r="BJR13" s="223"/>
      <c r="BJS13" s="223"/>
      <c r="BJT13" s="223"/>
      <c r="BJU13" s="223"/>
      <c r="BJV13" s="223"/>
      <c r="BJW13" s="223"/>
      <c r="BJX13" s="223"/>
      <c r="BJY13" s="223"/>
      <c r="BJZ13" s="223"/>
      <c r="BKA13" s="223"/>
      <c r="BKB13" s="223"/>
      <c r="BKC13" s="223"/>
      <c r="BKD13" s="223"/>
      <c r="BKE13" s="223"/>
      <c r="BKF13" s="223"/>
      <c r="BKG13" s="223"/>
      <c r="BKH13" s="223"/>
      <c r="BKI13" s="223"/>
      <c r="BKJ13" s="223"/>
      <c r="BKK13" s="223"/>
      <c r="BKL13" s="223"/>
      <c r="BKM13" s="223"/>
      <c r="BKN13" s="223"/>
      <c r="BKO13" s="223"/>
      <c r="BKP13" s="223"/>
      <c r="BKQ13" s="223"/>
      <c r="BKR13" s="223"/>
      <c r="BKS13" s="223"/>
      <c r="BKT13" s="223"/>
      <c r="BKU13" s="223"/>
      <c r="BKV13" s="223"/>
      <c r="BKW13" s="223"/>
      <c r="BKX13" s="223"/>
      <c r="BKY13" s="223"/>
      <c r="BKZ13" s="223"/>
      <c r="BLA13" s="223"/>
      <c r="BLB13" s="223"/>
      <c r="BLC13" s="223"/>
      <c r="BLD13" s="223"/>
      <c r="BLE13" s="223"/>
      <c r="BLF13" s="223"/>
      <c r="BLG13" s="223"/>
      <c r="BLH13" s="223"/>
      <c r="BLI13" s="223"/>
      <c r="BLJ13" s="223"/>
      <c r="BLK13" s="223"/>
      <c r="BLL13" s="223"/>
      <c r="BLM13" s="223"/>
      <c r="BLN13" s="223"/>
      <c r="BLO13" s="223"/>
      <c r="BLP13" s="223"/>
      <c r="BLQ13" s="223"/>
      <c r="BLR13" s="223"/>
      <c r="BLS13" s="223"/>
      <c r="BLT13" s="223"/>
      <c r="BLU13" s="223"/>
      <c r="BLV13" s="223"/>
      <c r="BLW13" s="223"/>
      <c r="BLX13" s="223"/>
      <c r="BLY13" s="223"/>
      <c r="BLZ13" s="223"/>
      <c r="BMA13" s="223"/>
      <c r="BMB13" s="223"/>
      <c r="BMC13" s="223"/>
      <c r="BMD13" s="223"/>
      <c r="BME13" s="223"/>
      <c r="BMF13" s="223"/>
      <c r="BMG13" s="223"/>
      <c r="BMH13" s="223"/>
      <c r="BMI13" s="223"/>
      <c r="BMJ13" s="223"/>
      <c r="BMK13" s="223"/>
      <c r="BML13" s="223"/>
      <c r="BMM13" s="223"/>
      <c r="BMN13" s="223"/>
      <c r="BMO13" s="223"/>
      <c r="BMP13" s="223"/>
      <c r="BMQ13" s="223"/>
      <c r="BMR13" s="223"/>
      <c r="BMS13" s="223"/>
      <c r="BMT13" s="223"/>
      <c r="BMU13" s="223"/>
      <c r="BMV13" s="223"/>
      <c r="BMW13" s="223"/>
      <c r="BMX13" s="223"/>
      <c r="BMY13" s="223"/>
      <c r="BMZ13" s="223"/>
      <c r="BNA13" s="223"/>
      <c r="BNB13" s="223"/>
      <c r="BNC13" s="223"/>
      <c r="BND13" s="223"/>
      <c r="BNE13" s="223"/>
      <c r="BNF13" s="223"/>
      <c r="BNG13" s="223"/>
      <c r="BNH13" s="223"/>
      <c r="BNI13" s="223"/>
      <c r="BNJ13" s="223"/>
      <c r="BNK13" s="223"/>
      <c r="BNL13" s="223"/>
      <c r="BNM13" s="223"/>
      <c r="BNN13" s="223"/>
      <c r="BNO13" s="223"/>
      <c r="BNP13" s="223"/>
      <c r="BNQ13" s="223"/>
      <c r="BNR13" s="223"/>
      <c r="BNS13" s="223"/>
      <c r="BNT13" s="223"/>
      <c r="BNU13" s="223"/>
      <c r="BNV13" s="223"/>
      <c r="BNW13" s="223"/>
      <c r="BNX13" s="223"/>
      <c r="BNY13" s="223"/>
      <c r="BNZ13" s="223"/>
      <c r="BOA13" s="223"/>
      <c r="BOB13" s="223"/>
      <c r="BOC13" s="223"/>
      <c r="BOD13" s="223"/>
      <c r="BOE13" s="223"/>
      <c r="BOF13" s="223"/>
      <c r="BOG13" s="223"/>
      <c r="BOH13" s="223"/>
      <c r="BOI13" s="223"/>
      <c r="BOJ13" s="223"/>
      <c r="BOK13" s="223"/>
      <c r="BOL13" s="223"/>
      <c r="BOM13" s="223"/>
      <c r="BON13" s="223"/>
      <c r="BOO13" s="223"/>
      <c r="BOP13" s="223"/>
      <c r="BOQ13" s="223"/>
      <c r="BOR13" s="223"/>
      <c r="BOS13" s="223"/>
      <c r="BOT13" s="223"/>
      <c r="BOU13" s="223"/>
      <c r="BOV13" s="223"/>
      <c r="BOW13" s="223"/>
      <c r="BOX13" s="223"/>
      <c r="BOY13" s="223"/>
      <c r="BOZ13" s="223"/>
      <c r="BPA13" s="223"/>
      <c r="BPB13" s="223"/>
      <c r="BPC13" s="223"/>
      <c r="BPD13" s="223"/>
      <c r="BPE13" s="223"/>
      <c r="BPF13" s="223"/>
      <c r="BPG13" s="223"/>
      <c r="BPH13" s="223"/>
      <c r="BPI13" s="223"/>
      <c r="BPJ13" s="223"/>
      <c r="BPK13" s="223"/>
      <c r="BPL13" s="223"/>
      <c r="BPM13" s="223"/>
      <c r="BPN13" s="223"/>
      <c r="BPO13" s="223"/>
      <c r="BPP13" s="223"/>
      <c r="BPQ13" s="223"/>
      <c r="BPR13" s="223"/>
      <c r="BPS13" s="223"/>
      <c r="BPT13" s="223"/>
      <c r="BPU13" s="223"/>
      <c r="BPV13" s="223"/>
      <c r="BPW13" s="223"/>
      <c r="BPX13" s="223"/>
      <c r="BPY13" s="223"/>
      <c r="BPZ13" s="223"/>
      <c r="BQA13" s="223"/>
      <c r="BQB13" s="223"/>
      <c r="BQC13" s="223"/>
      <c r="BQD13" s="223"/>
      <c r="BQE13" s="223"/>
      <c r="BQF13" s="223"/>
      <c r="BQG13" s="223"/>
      <c r="BQH13" s="223"/>
      <c r="BQI13" s="223"/>
      <c r="BQJ13" s="223"/>
      <c r="BQK13" s="223"/>
      <c r="BQL13" s="223"/>
      <c r="BQM13" s="223"/>
      <c r="BQN13" s="223"/>
      <c r="BQO13" s="223"/>
      <c r="BQP13" s="223"/>
      <c r="BQQ13" s="223"/>
      <c r="BQR13" s="223"/>
      <c r="BQS13" s="223"/>
      <c r="BQT13" s="223"/>
      <c r="BQU13" s="223"/>
      <c r="BQV13" s="223"/>
      <c r="BQW13" s="223"/>
      <c r="BQX13" s="223"/>
      <c r="BQY13" s="223"/>
      <c r="BQZ13" s="223"/>
      <c r="BRA13" s="223"/>
      <c r="BRB13" s="223"/>
      <c r="BRC13" s="223"/>
      <c r="BRD13" s="223"/>
      <c r="BRE13" s="223"/>
      <c r="BRF13" s="223"/>
      <c r="BRG13" s="223"/>
      <c r="BRH13" s="223"/>
      <c r="BRI13" s="223"/>
      <c r="BRJ13" s="223"/>
      <c r="BRK13" s="223"/>
      <c r="BRL13" s="223"/>
      <c r="BRM13" s="223"/>
      <c r="BRN13" s="223"/>
      <c r="BRO13" s="223"/>
      <c r="BRP13" s="223"/>
      <c r="BRQ13" s="223"/>
      <c r="BRR13" s="223"/>
      <c r="BRS13" s="223"/>
      <c r="BRT13" s="223"/>
      <c r="BRU13" s="223"/>
      <c r="BRV13" s="223"/>
      <c r="BRW13" s="223"/>
      <c r="BRX13" s="223"/>
      <c r="BRY13" s="223"/>
      <c r="BRZ13" s="223"/>
      <c r="BSA13" s="223"/>
      <c r="BSB13" s="223"/>
      <c r="BSC13" s="223"/>
      <c r="BSD13" s="223"/>
      <c r="BSE13" s="223"/>
      <c r="BSF13" s="223"/>
      <c r="BSG13" s="223"/>
      <c r="BSH13" s="223"/>
      <c r="BSI13" s="223"/>
      <c r="BSJ13" s="223"/>
      <c r="BSK13" s="223"/>
      <c r="BSL13" s="223"/>
      <c r="BSM13" s="223"/>
      <c r="BSN13" s="223"/>
      <c r="BSO13" s="223"/>
      <c r="BSP13" s="223"/>
      <c r="BSQ13" s="223"/>
      <c r="BSR13" s="223"/>
      <c r="BSS13" s="223"/>
      <c r="BST13" s="223"/>
      <c r="BSU13" s="223"/>
      <c r="BSV13" s="223"/>
      <c r="BSW13" s="223"/>
      <c r="BSX13" s="223"/>
      <c r="BSY13" s="223"/>
      <c r="BSZ13" s="223"/>
      <c r="BTA13" s="223"/>
      <c r="BTB13" s="223"/>
      <c r="BTC13" s="223"/>
      <c r="BTD13" s="223"/>
      <c r="BTE13" s="223"/>
      <c r="BTF13" s="223"/>
      <c r="BTG13" s="223"/>
      <c r="BTH13" s="223"/>
      <c r="BTI13" s="223"/>
      <c r="BTJ13" s="223"/>
      <c r="BTK13" s="223"/>
      <c r="BTL13" s="223"/>
      <c r="BTM13" s="223"/>
      <c r="BTN13" s="223"/>
      <c r="BTO13" s="223"/>
      <c r="BTP13" s="223"/>
      <c r="BTQ13" s="223"/>
      <c r="BTR13" s="223"/>
      <c r="BTS13" s="223"/>
      <c r="BTT13" s="223"/>
      <c r="BTU13" s="223"/>
      <c r="BTV13" s="223"/>
      <c r="BTW13" s="223"/>
      <c r="BTX13" s="223"/>
      <c r="BTY13" s="223"/>
      <c r="BTZ13" s="223"/>
      <c r="BUA13" s="223"/>
      <c r="BUB13" s="223"/>
      <c r="BUC13" s="223"/>
      <c r="BUD13" s="223"/>
      <c r="BUE13" s="223"/>
      <c r="BUF13" s="223"/>
      <c r="BUG13" s="223"/>
      <c r="BUH13" s="223"/>
      <c r="BUI13" s="223"/>
      <c r="BUJ13" s="223"/>
      <c r="BUK13" s="223"/>
      <c r="BUL13" s="223"/>
      <c r="BUM13" s="223"/>
      <c r="BUN13" s="223"/>
      <c r="BUO13" s="223"/>
      <c r="BUP13" s="223"/>
      <c r="BUQ13" s="223"/>
      <c r="BUR13" s="223"/>
      <c r="BUS13" s="223"/>
      <c r="BUT13" s="223"/>
      <c r="BUU13" s="223"/>
      <c r="BUV13" s="223"/>
      <c r="BUW13" s="223"/>
      <c r="BUX13" s="223"/>
      <c r="BUY13" s="223"/>
      <c r="BUZ13" s="223"/>
      <c r="BVA13" s="223"/>
      <c r="BVB13" s="223"/>
      <c r="BVC13" s="223"/>
      <c r="BVD13" s="223"/>
      <c r="BVE13" s="223"/>
      <c r="BVF13" s="223"/>
      <c r="BVG13" s="223"/>
      <c r="BVH13" s="223"/>
      <c r="BVI13" s="223"/>
      <c r="BVJ13" s="223"/>
      <c r="BVK13" s="223"/>
      <c r="BVL13" s="223"/>
      <c r="BVM13" s="223"/>
      <c r="BVN13" s="223"/>
      <c r="BVO13" s="223"/>
      <c r="BVP13" s="223"/>
      <c r="BVQ13" s="223"/>
      <c r="BVR13" s="223"/>
      <c r="BVS13" s="223"/>
      <c r="BVT13" s="223"/>
      <c r="BVU13" s="223"/>
      <c r="BVV13" s="223"/>
      <c r="BVW13" s="223"/>
      <c r="BVX13" s="223"/>
      <c r="BVY13" s="223"/>
      <c r="BVZ13" s="223"/>
      <c r="BWA13" s="223"/>
      <c r="BWB13" s="223"/>
      <c r="BWC13" s="223"/>
      <c r="BWD13" s="223"/>
      <c r="BWE13" s="223"/>
      <c r="BWF13" s="223"/>
      <c r="BWG13" s="223"/>
      <c r="BWH13" s="223"/>
      <c r="BWI13" s="223"/>
      <c r="BWJ13" s="223"/>
      <c r="BWK13" s="223"/>
      <c r="BWL13" s="223"/>
      <c r="BWM13" s="223"/>
      <c r="BWN13" s="223"/>
      <c r="BWO13" s="223"/>
      <c r="BWP13" s="223"/>
      <c r="BWQ13" s="223"/>
      <c r="BWR13" s="223"/>
      <c r="BWS13" s="223"/>
      <c r="BWT13" s="223"/>
      <c r="BWU13" s="223"/>
      <c r="BWV13" s="223"/>
      <c r="BWW13" s="223"/>
      <c r="BWX13" s="223"/>
      <c r="BWY13" s="223"/>
      <c r="BWZ13" s="223"/>
      <c r="BXA13" s="223"/>
      <c r="BXB13" s="223"/>
      <c r="BXC13" s="223"/>
      <c r="BXD13" s="223"/>
      <c r="BXE13" s="223"/>
      <c r="BXF13" s="223"/>
      <c r="BXG13" s="223"/>
      <c r="BXH13" s="223"/>
      <c r="BXI13" s="223"/>
      <c r="BXJ13" s="223"/>
      <c r="BXK13" s="223"/>
      <c r="BXL13" s="223"/>
      <c r="BXM13" s="223"/>
      <c r="BXN13" s="223"/>
      <c r="BXO13" s="223"/>
      <c r="BXP13" s="223"/>
      <c r="BXQ13" s="223"/>
      <c r="BXR13" s="223"/>
      <c r="BXS13" s="223"/>
      <c r="BXT13" s="223"/>
      <c r="BXU13" s="223"/>
      <c r="BXV13" s="223"/>
      <c r="BXW13" s="223"/>
      <c r="BXX13" s="223"/>
      <c r="BXY13" s="223"/>
      <c r="BXZ13" s="223"/>
      <c r="BYA13" s="223"/>
      <c r="BYB13" s="223"/>
      <c r="BYC13" s="223"/>
      <c r="BYD13" s="223"/>
      <c r="BYE13" s="223"/>
      <c r="BYF13" s="223"/>
      <c r="BYG13" s="223"/>
      <c r="BYH13" s="223"/>
      <c r="BYI13" s="223"/>
      <c r="BYJ13" s="223"/>
      <c r="BYK13" s="223"/>
      <c r="BYL13" s="223"/>
      <c r="BYM13" s="223"/>
      <c r="BYN13" s="223"/>
      <c r="BYO13" s="223"/>
      <c r="BYP13" s="223"/>
      <c r="BYQ13" s="223"/>
      <c r="BYR13" s="223"/>
      <c r="BYS13" s="223"/>
      <c r="BYT13" s="223"/>
      <c r="BYU13" s="223"/>
      <c r="BYV13" s="223"/>
      <c r="BYW13" s="223"/>
      <c r="BYX13" s="223"/>
      <c r="BYY13" s="223"/>
      <c r="BYZ13" s="223"/>
      <c r="BZA13" s="223"/>
      <c r="BZB13" s="223"/>
      <c r="BZC13" s="223"/>
      <c r="BZD13" s="223"/>
      <c r="BZE13" s="223"/>
      <c r="BZF13" s="223"/>
      <c r="BZG13" s="223"/>
      <c r="BZH13" s="223"/>
      <c r="BZI13" s="223"/>
      <c r="BZJ13" s="223"/>
      <c r="BZK13" s="223"/>
      <c r="BZL13" s="223"/>
      <c r="BZM13" s="223"/>
      <c r="BZN13" s="223"/>
      <c r="BZO13" s="223"/>
      <c r="BZP13" s="223"/>
      <c r="BZQ13" s="223"/>
      <c r="BZR13" s="223"/>
      <c r="BZS13" s="223"/>
      <c r="BZT13" s="223"/>
      <c r="BZU13" s="223"/>
      <c r="BZV13" s="223"/>
      <c r="BZW13" s="223"/>
      <c r="BZX13" s="223"/>
      <c r="BZY13" s="223"/>
      <c r="BZZ13" s="223"/>
      <c r="CAA13" s="223"/>
      <c r="CAB13" s="223"/>
      <c r="CAC13" s="223"/>
      <c r="CAD13" s="223"/>
      <c r="CAE13" s="223"/>
      <c r="CAF13" s="223"/>
      <c r="CAG13" s="223"/>
      <c r="CAH13" s="223"/>
      <c r="CAI13" s="223"/>
      <c r="CAJ13" s="223"/>
      <c r="CAK13" s="223"/>
      <c r="CAL13" s="223"/>
      <c r="CAM13" s="223"/>
      <c r="CAN13" s="223"/>
      <c r="CAO13" s="223"/>
      <c r="CAP13" s="223"/>
      <c r="CAQ13" s="223"/>
      <c r="CAR13" s="223"/>
      <c r="CAS13" s="223"/>
      <c r="CAT13" s="223"/>
      <c r="CAU13" s="223"/>
      <c r="CAV13" s="223"/>
      <c r="CAW13" s="223"/>
      <c r="CAX13" s="223"/>
      <c r="CAY13" s="223"/>
      <c r="CAZ13" s="223"/>
      <c r="CBA13" s="223"/>
      <c r="CBB13" s="223"/>
      <c r="CBC13" s="223"/>
      <c r="CBD13" s="223"/>
      <c r="CBE13" s="223"/>
      <c r="CBF13" s="223"/>
      <c r="CBG13" s="223"/>
      <c r="CBH13" s="223"/>
      <c r="CBI13" s="223"/>
      <c r="CBJ13" s="223"/>
      <c r="CBK13" s="223"/>
      <c r="CBL13" s="223"/>
      <c r="CBM13" s="223"/>
      <c r="CBN13" s="223"/>
      <c r="CBO13" s="223"/>
      <c r="CBP13" s="223"/>
      <c r="CBQ13" s="223"/>
      <c r="CBR13" s="223"/>
      <c r="CBS13" s="223"/>
      <c r="CBT13" s="223"/>
      <c r="CBU13" s="223"/>
      <c r="CBV13" s="223"/>
      <c r="CBW13" s="223"/>
      <c r="CBX13" s="223"/>
      <c r="CBY13" s="223"/>
      <c r="CBZ13" s="223"/>
      <c r="CCA13" s="223"/>
      <c r="CCB13" s="223"/>
      <c r="CCC13" s="223"/>
      <c r="CCD13" s="223"/>
      <c r="CCE13" s="223"/>
      <c r="CCF13" s="223"/>
      <c r="CCG13" s="223"/>
      <c r="CCH13" s="223"/>
      <c r="CCI13" s="223"/>
      <c r="CCJ13" s="223"/>
      <c r="CCK13" s="223"/>
      <c r="CCL13" s="223"/>
      <c r="CCM13" s="223"/>
      <c r="CCN13" s="223"/>
      <c r="CCO13" s="223"/>
      <c r="CCP13" s="223"/>
      <c r="CCQ13" s="223"/>
      <c r="CCR13" s="223"/>
      <c r="CCS13" s="223"/>
      <c r="CCT13" s="223"/>
      <c r="CCU13" s="223"/>
      <c r="CCV13" s="223"/>
      <c r="CCW13" s="223"/>
      <c r="VEX13" s="222"/>
      <c r="VST13" s="221"/>
      <c r="VTB13" s="221"/>
    </row>
    <row r="14" spans="1:2129 15008:15070 15386:15394" s="220" customFormat="1" ht="16.149999999999999" customHeight="1" x14ac:dyDescent="0.25">
      <c r="A14" s="236" t="s">
        <v>65</v>
      </c>
      <c r="B14" s="236">
        <v>3</v>
      </c>
      <c r="C14" s="236"/>
      <c r="D14" s="236"/>
      <c r="E14" s="236"/>
      <c r="F14" s="236"/>
      <c r="G14" s="237" t="s">
        <v>238</v>
      </c>
      <c r="H14" s="238" t="s">
        <v>217</v>
      </c>
      <c r="I14" s="238"/>
      <c r="J14" s="239"/>
      <c r="K14" s="240"/>
      <c r="L14" s="240"/>
      <c r="M14" s="241"/>
      <c r="N14" s="240">
        <v>43003</v>
      </c>
      <c r="O14" s="240">
        <v>43003</v>
      </c>
      <c r="P14" s="241">
        <v>1</v>
      </c>
      <c r="Q14" s="242">
        <v>0</v>
      </c>
      <c r="R14" s="240"/>
      <c r="S14" s="240"/>
      <c r="T14" s="241"/>
      <c r="U14" s="243"/>
      <c r="V14" s="243"/>
      <c r="W14" s="243"/>
      <c r="X14" s="244"/>
      <c r="Y14" s="245"/>
      <c r="Z14" s="245"/>
      <c r="AA14" s="246"/>
      <c r="AB14" s="245"/>
      <c r="AC14" s="247"/>
      <c r="AD14" s="247"/>
      <c r="AE14" s="247"/>
      <c r="AF14" s="247"/>
      <c r="AG14" s="247"/>
      <c r="AH14" s="247"/>
      <c r="AI14" s="247"/>
      <c r="AJ14" s="247"/>
      <c r="AK14" s="247"/>
      <c r="AL14" s="247"/>
      <c r="AM14" s="247"/>
      <c r="AN14" s="247"/>
      <c r="AO14" s="247"/>
      <c r="AP14" s="247"/>
      <c r="AQ14" s="247"/>
      <c r="AR14" s="247"/>
      <c r="AS14" s="247"/>
      <c r="AT14" s="247"/>
      <c r="AU14" s="247"/>
      <c r="AV14" s="247"/>
      <c r="AW14" s="247"/>
      <c r="AX14" s="247"/>
      <c r="AY14" s="247"/>
      <c r="AZ14" s="247"/>
      <c r="BA14" s="247"/>
      <c r="BB14" s="247"/>
      <c r="BC14" s="247"/>
      <c r="BD14" s="247"/>
      <c r="BE14" s="247"/>
      <c r="BF14" s="247"/>
      <c r="BG14" s="247"/>
      <c r="BH14" s="247"/>
      <c r="BI14" s="247"/>
      <c r="BJ14" s="247"/>
      <c r="BK14" s="247"/>
      <c r="BL14" s="247"/>
      <c r="BM14" s="247"/>
      <c r="BN14" s="247"/>
      <c r="BO14" s="247"/>
      <c r="BP14" s="247"/>
      <c r="BQ14" s="247"/>
      <c r="BR14" s="247"/>
      <c r="BS14" s="247"/>
      <c r="BT14" s="247"/>
      <c r="BU14" s="247"/>
      <c r="BV14" s="247"/>
      <c r="BW14" s="247"/>
      <c r="BX14" s="247"/>
      <c r="BY14" s="247"/>
      <c r="BZ14" s="247"/>
      <c r="CA14" s="247"/>
      <c r="CB14" s="247"/>
      <c r="CC14" s="247"/>
      <c r="CD14" s="247"/>
      <c r="CE14" s="247"/>
      <c r="CF14" s="247"/>
      <c r="CG14" s="248"/>
      <c r="CH14" s="248"/>
      <c r="CI14" s="248"/>
      <c r="CJ14" s="248"/>
      <c r="CK14" s="248"/>
      <c r="CL14" s="248"/>
      <c r="CM14" s="248"/>
      <c r="CN14" s="248"/>
      <c r="CO14" s="248"/>
      <c r="CP14" s="248"/>
      <c r="CQ14" s="248"/>
      <c r="CR14" s="248"/>
      <c r="CS14" s="248"/>
      <c r="CT14" s="248"/>
      <c r="CU14" s="248"/>
      <c r="CV14" s="248"/>
      <c r="CW14" s="248"/>
      <c r="CX14" s="248"/>
      <c r="CY14" s="248"/>
      <c r="CZ14" s="248"/>
      <c r="DA14" s="248"/>
      <c r="DB14" s="248"/>
      <c r="DC14" s="248"/>
      <c r="DD14" s="248"/>
      <c r="DE14" s="248"/>
      <c r="DF14" s="248"/>
      <c r="DG14" s="248"/>
      <c r="DH14" s="248"/>
      <c r="DI14" s="248"/>
      <c r="DJ14" s="248"/>
      <c r="DK14" s="248"/>
      <c r="DL14" s="248"/>
      <c r="DM14" s="248"/>
      <c r="DN14" s="248"/>
      <c r="DO14" s="248"/>
      <c r="DP14" s="248"/>
      <c r="DQ14" s="248"/>
      <c r="DR14" s="248"/>
      <c r="DS14" s="248"/>
      <c r="DT14" s="248"/>
      <c r="DU14" s="248"/>
      <c r="DV14" s="248"/>
      <c r="DW14" s="248"/>
      <c r="DX14" s="248"/>
      <c r="DY14" s="248"/>
      <c r="DZ14" s="248"/>
      <c r="EA14" s="248"/>
      <c r="EB14" s="248"/>
      <c r="EC14" s="248"/>
      <c r="ED14" s="248"/>
      <c r="EE14" s="248"/>
      <c r="EF14" s="248"/>
      <c r="EG14" s="248"/>
      <c r="EH14" s="248"/>
      <c r="EI14" s="248"/>
      <c r="EJ14" s="248"/>
      <c r="EK14" s="248"/>
      <c r="EL14" s="248"/>
      <c r="EM14" s="248"/>
      <c r="EN14" s="248"/>
      <c r="EO14" s="248"/>
      <c r="EP14" s="248"/>
      <c r="EQ14" s="248"/>
      <c r="ER14" s="248"/>
      <c r="ES14" s="248"/>
      <c r="ET14" s="248"/>
      <c r="EU14" s="248"/>
      <c r="EV14" s="248"/>
      <c r="EW14" s="248"/>
      <c r="EX14" s="248"/>
      <c r="EY14" s="248"/>
      <c r="EZ14" s="248"/>
      <c r="FA14" s="248"/>
      <c r="FB14" s="248"/>
      <c r="FC14" s="248"/>
      <c r="FD14" s="248"/>
      <c r="FE14" s="248"/>
      <c r="FF14" s="248"/>
      <c r="FG14" s="248"/>
      <c r="FH14" s="248"/>
      <c r="FI14" s="248"/>
      <c r="FJ14" s="248"/>
      <c r="FK14" s="248"/>
      <c r="FL14" s="248"/>
      <c r="FM14" s="248"/>
      <c r="FN14" s="248"/>
      <c r="FO14" s="248"/>
      <c r="FP14" s="248"/>
      <c r="FQ14" s="248"/>
      <c r="FR14" s="248"/>
      <c r="FS14" s="248"/>
      <c r="FT14" s="248"/>
      <c r="FU14" s="248"/>
      <c r="FV14" s="248"/>
      <c r="FW14" s="248"/>
      <c r="FX14" s="248"/>
      <c r="FY14" s="248"/>
      <c r="FZ14" s="248"/>
      <c r="GA14" s="248"/>
      <c r="GB14" s="248"/>
      <c r="GC14" s="248"/>
      <c r="GD14" s="248"/>
      <c r="GE14" s="248"/>
      <c r="GF14" s="248"/>
      <c r="GG14" s="248"/>
      <c r="GH14" s="248"/>
      <c r="GI14" s="248"/>
      <c r="GJ14" s="248"/>
      <c r="GK14" s="248"/>
      <c r="GL14" s="248"/>
      <c r="GM14" s="248"/>
      <c r="GN14" s="248"/>
      <c r="GO14" s="248"/>
      <c r="GP14" s="248"/>
      <c r="GQ14" s="248"/>
      <c r="GR14" s="248"/>
      <c r="GS14" s="248"/>
      <c r="GT14" s="248"/>
      <c r="GU14" s="248"/>
      <c r="GV14" s="248"/>
      <c r="GW14" s="248"/>
      <c r="GX14" s="248"/>
      <c r="GY14" s="248"/>
      <c r="GZ14" s="248"/>
      <c r="HA14" s="248"/>
      <c r="HB14" s="248"/>
      <c r="HC14" s="248"/>
      <c r="HD14" s="248"/>
      <c r="HE14" s="248"/>
      <c r="HF14" s="248"/>
      <c r="HG14" s="248"/>
      <c r="HH14" s="248"/>
      <c r="HI14" s="248"/>
      <c r="HJ14" s="248"/>
      <c r="HK14" s="248"/>
      <c r="HL14" s="248"/>
      <c r="HM14" s="248"/>
      <c r="HN14" s="248"/>
      <c r="HO14" s="248"/>
      <c r="HP14" s="248"/>
      <c r="HQ14" s="248"/>
      <c r="HR14" s="248"/>
      <c r="HS14" s="248"/>
      <c r="HT14" s="248"/>
      <c r="HU14" s="248"/>
      <c r="HV14" s="248"/>
      <c r="HW14" s="248"/>
      <c r="HX14" s="248"/>
      <c r="HY14" s="248"/>
      <c r="HZ14" s="248"/>
      <c r="IA14" s="248"/>
      <c r="IB14" s="248"/>
      <c r="IC14" s="248"/>
      <c r="ID14" s="248"/>
      <c r="IE14" s="248"/>
      <c r="IF14" s="248"/>
      <c r="IG14" s="248"/>
      <c r="IH14" s="248"/>
      <c r="II14" s="248"/>
      <c r="IJ14" s="248"/>
      <c r="IK14" s="248"/>
      <c r="IL14" s="248"/>
      <c r="IM14" s="248"/>
      <c r="IN14" s="248"/>
      <c r="IO14" s="248"/>
      <c r="IP14" s="248"/>
      <c r="IQ14" s="248"/>
      <c r="IR14" s="248"/>
      <c r="IS14" s="248"/>
      <c r="IT14" s="248"/>
      <c r="IU14" s="248"/>
      <c r="IV14" s="248"/>
      <c r="IW14" s="248"/>
      <c r="IX14" s="248"/>
      <c r="IY14" s="248"/>
      <c r="IZ14" s="248"/>
      <c r="JA14" s="248"/>
      <c r="JB14" s="248"/>
      <c r="JC14" s="248"/>
      <c r="JD14" s="248"/>
      <c r="JE14" s="248"/>
      <c r="JF14" s="248"/>
      <c r="JG14" s="248"/>
      <c r="JH14" s="248"/>
      <c r="JI14" s="248"/>
      <c r="JJ14" s="248"/>
      <c r="JK14" s="248"/>
      <c r="JL14" s="248"/>
      <c r="JM14" s="248"/>
      <c r="JN14" s="248"/>
      <c r="JO14" s="248"/>
      <c r="JP14" s="248"/>
      <c r="JQ14" s="248"/>
      <c r="JR14" s="248"/>
      <c r="JS14" s="248"/>
      <c r="JT14" s="248"/>
      <c r="JU14" s="248"/>
      <c r="JV14" s="248"/>
      <c r="JW14" s="248"/>
      <c r="JX14" s="248"/>
      <c r="JY14" s="248"/>
      <c r="JZ14" s="248"/>
      <c r="KA14" s="248"/>
      <c r="KB14" s="248"/>
      <c r="KC14" s="248"/>
      <c r="KD14" s="248"/>
      <c r="KE14" s="248"/>
      <c r="KF14" s="248"/>
      <c r="KG14" s="248"/>
      <c r="KH14" s="248"/>
      <c r="KI14" s="248"/>
      <c r="KJ14" s="248"/>
      <c r="KK14" s="248"/>
      <c r="KL14" s="248"/>
      <c r="KM14" s="248"/>
      <c r="KN14" s="248"/>
      <c r="KO14" s="248"/>
      <c r="KP14" s="248"/>
      <c r="KQ14" s="248"/>
      <c r="KR14" s="248"/>
      <c r="KS14" s="248"/>
      <c r="KT14" s="248"/>
      <c r="KU14" s="248"/>
      <c r="KV14" s="248"/>
      <c r="KW14" s="248"/>
      <c r="KX14" s="248"/>
      <c r="KY14" s="248"/>
      <c r="KZ14" s="248"/>
      <c r="LA14" s="248"/>
      <c r="LB14" s="248"/>
      <c r="LC14" s="248"/>
      <c r="LD14" s="248"/>
      <c r="LE14" s="248"/>
      <c r="LF14" s="248"/>
      <c r="LG14" s="248"/>
      <c r="LH14" s="248"/>
      <c r="LI14" s="248"/>
      <c r="LJ14" s="248"/>
      <c r="LK14" s="248"/>
      <c r="LL14" s="248"/>
      <c r="LM14" s="248"/>
      <c r="LN14" s="248"/>
      <c r="LO14" s="248"/>
      <c r="LP14" s="248"/>
      <c r="LQ14" s="248"/>
      <c r="LR14" s="248"/>
      <c r="LS14" s="248"/>
      <c r="LT14" s="248"/>
      <c r="LU14" s="248"/>
      <c r="LV14" s="248"/>
      <c r="LW14" s="248"/>
      <c r="LX14" s="248"/>
      <c r="LY14" s="248"/>
      <c r="LZ14" s="248"/>
      <c r="MA14" s="248"/>
      <c r="MB14" s="248"/>
      <c r="MC14" s="248"/>
      <c r="MD14" s="248"/>
      <c r="ME14" s="248"/>
      <c r="MF14" s="248"/>
      <c r="MG14" s="248"/>
      <c r="MH14" s="248"/>
      <c r="MI14" s="248"/>
      <c r="MJ14" s="248"/>
      <c r="MK14" s="248"/>
      <c r="ML14" s="248"/>
      <c r="MM14" s="248"/>
      <c r="MN14" s="248"/>
      <c r="MO14" s="248"/>
      <c r="MP14" s="248"/>
      <c r="MQ14" s="248"/>
      <c r="MR14" s="248"/>
      <c r="MS14" s="248"/>
      <c r="MT14" s="248"/>
      <c r="MU14" s="248"/>
      <c r="MV14" s="249"/>
      <c r="MW14" s="248"/>
      <c r="MX14" s="248"/>
      <c r="MY14" s="248"/>
      <c r="MZ14" s="248"/>
      <c r="NA14" s="248"/>
      <c r="NB14" s="248"/>
      <c r="NC14" s="248"/>
      <c r="ND14" s="248"/>
      <c r="NE14" s="248"/>
      <c r="NF14" s="248"/>
      <c r="NG14" s="248"/>
      <c r="NH14" s="248"/>
      <c r="NI14" s="248"/>
      <c r="NJ14" s="248"/>
      <c r="NK14" s="248"/>
      <c r="NL14" s="248"/>
      <c r="NM14" s="248"/>
      <c r="NN14" s="248"/>
      <c r="NO14" s="248"/>
      <c r="NP14" s="248"/>
      <c r="NQ14" s="248"/>
      <c r="NR14" s="248"/>
      <c r="NS14" s="248"/>
      <c r="NT14" s="248"/>
      <c r="NU14" s="248"/>
      <c r="NV14" s="248"/>
      <c r="NW14" s="248"/>
      <c r="NX14" s="248"/>
      <c r="NY14" s="248"/>
      <c r="NZ14" s="248"/>
      <c r="OA14" s="248"/>
      <c r="OB14" s="248"/>
      <c r="OC14" s="248"/>
      <c r="OD14" s="248"/>
      <c r="OE14" s="248"/>
      <c r="OF14" s="248"/>
      <c r="OG14" s="248"/>
      <c r="OH14" s="248"/>
      <c r="OI14" s="248"/>
      <c r="OJ14" s="248"/>
      <c r="OK14" s="248"/>
      <c r="OL14" s="248"/>
      <c r="OM14" s="248"/>
      <c r="ON14" s="248"/>
      <c r="OO14" s="248"/>
      <c r="OP14" s="248"/>
      <c r="OQ14" s="248"/>
      <c r="OR14" s="248"/>
      <c r="OS14" s="248"/>
      <c r="OT14" s="248"/>
      <c r="OU14" s="248"/>
      <c r="OV14" s="248"/>
      <c r="OW14" s="248"/>
      <c r="OX14" s="248"/>
      <c r="OY14" s="248"/>
      <c r="OZ14" s="248"/>
      <c r="PA14" s="248"/>
      <c r="PB14" s="248"/>
      <c r="PC14" s="248"/>
      <c r="PD14" s="248"/>
      <c r="PE14" s="248"/>
      <c r="PF14" s="248"/>
      <c r="PG14" s="248"/>
      <c r="PH14" s="248"/>
      <c r="PI14" s="248"/>
      <c r="PJ14" s="248"/>
      <c r="PK14" s="248"/>
      <c r="PL14" s="248"/>
      <c r="PM14" s="248"/>
      <c r="PN14" s="248"/>
      <c r="PO14" s="248"/>
      <c r="PP14" s="248"/>
      <c r="PQ14" s="248"/>
      <c r="PR14" s="248"/>
      <c r="PS14" s="248"/>
      <c r="PT14" s="248"/>
      <c r="PU14" s="248"/>
      <c r="PV14" s="248"/>
      <c r="PW14" s="248"/>
      <c r="PX14" s="248"/>
      <c r="PY14" s="248"/>
      <c r="PZ14" s="248"/>
      <c r="QA14" s="248"/>
      <c r="QB14" s="248"/>
      <c r="QC14" s="248"/>
      <c r="QD14" s="248"/>
      <c r="QE14" s="248"/>
      <c r="QF14" s="248"/>
      <c r="QG14" s="248"/>
      <c r="QH14" s="248"/>
      <c r="QI14" s="248"/>
      <c r="QJ14" s="248"/>
      <c r="QK14" s="248"/>
      <c r="QL14" s="248"/>
      <c r="QM14" s="248"/>
      <c r="QN14" s="248"/>
      <c r="QO14" s="248"/>
      <c r="QP14" s="248"/>
      <c r="QQ14" s="248"/>
      <c r="QR14" s="248"/>
      <c r="QS14" s="248"/>
      <c r="QT14" s="248"/>
      <c r="QU14" s="248"/>
      <c r="QV14" s="248"/>
      <c r="QW14" s="248"/>
      <c r="QX14" s="248"/>
      <c r="QY14" s="248"/>
      <c r="QZ14" s="248"/>
      <c r="RA14" s="248"/>
      <c r="RB14" s="248"/>
      <c r="RC14" s="248"/>
      <c r="RD14" s="248"/>
      <c r="RE14" s="248"/>
      <c r="RF14" s="248"/>
      <c r="RG14" s="248"/>
      <c r="RH14" s="248"/>
      <c r="RI14" s="248"/>
      <c r="RJ14" s="248"/>
      <c r="RK14" s="248"/>
      <c r="RL14" s="248"/>
      <c r="RM14" s="248"/>
      <c r="RN14" s="248"/>
      <c r="RO14" s="248"/>
      <c r="RP14" s="248"/>
      <c r="RQ14" s="248"/>
      <c r="RR14" s="248"/>
      <c r="RS14" s="248"/>
      <c r="RT14" s="248"/>
      <c r="RU14" s="248"/>
      <c r="RV14" s="248"/>
      <c r="RW14" s="248"/>
      <c r="RX14" s="248"/>
      <c r="RY14" s="248"/>
      <c r="RZ14" s="248"/>
      <c r="SA14" s="248"/>
      <c r="SB14" s="248"/>
      <c r="SC14" s="248"/>
      <c r="SD14" s="248"/>
      <c r="SE14" s="248"/>
      <c r="SF14" s="248"/>
      <c r="SG14" s="248"/>
      <c r="SH14" s="248"/>
      <c r="SI14" s="248"/>
      <c r="SJ14" s="248"/>
      <c r="SK14" s="248"/>
      <c r="SL14" s="248"/>
      <c r="SM14" s="248"/>
      <c r="SN14" s="248"/>
      <c r="SO14" s="248"/>
      <c r="SP14" s="248"/>
      <c r="SQ14" s="248"/>
      <c r="SR14" s="248"/>
      <c r="SS14" s="248"/>
      <c r="ST14" s="248"/>
      <c r="SU14" s="248"/>
      <c r="SV14" s="248"/>
      <c r="SW14" s="248"/>
      <c r="SX14" s="248"/>
      <c r="SY14" s="248"/>
      <c r="SZ14" s="248"/>
      <c r="TA14" s="248"/>
      <c r="TB14" s="248"/>
      <c r="TC14" s="248"/>
      <c r="TD14" s="248"/>
      <c r="TE14" s="248"/>
      <c r="TF14" s="248"/>
      <c r="TG14" s="248"/>
      <c r="TH14" s="248"/>
      <c r="TI14" s="248"/>
      <c r="TJ14" s="248"/>
      <c r="TK14" s="248"/>
      <c r="TL14" s="248"/>
      <c r="TM14" s="248"/>
      <c r="TN14" s="248"/>
      <c r="TO14" s="248"/>
      <c r="TP14" s="248"/>
      <c r="TQ14" s="248"/>
      <c r="TR14" s="248"/>
      <c r="TS14" s="248"/>
      <c r="TT14" s="248"/>
      <c r="TU14" s="248"/>
      <c r="TV14" s="248"/>
      <c r="TW14" s="248"/>
      <c r="TX14" s="248"/>
      <c r="TY14" s="248"/>
      <c r="TZ14" s="248"/>
      <c r="UA14" s="248"/>
      <c r="UB14" s="248"/>
      <c r="UC14" s="248"/>
      <c r="UD14" s="248"/>
      <c r="UE14" s="248"/>
      <c r="UF14" s="248"/>
      <c r="UG14" s="248"/>
      <c r="UH14" s="248"/>
      <c r="UI14" s="248"/>
      <c r="UJ14" s="248"/>
      <c r="UK14" s="248"/>
      <c r="UL14" s="248"/>
      <c r="UM14" s="248"/>
      <c r="UN14" s="248"/>
      <c r="UO14" s="248"/>
      <c r="UP14" s="248"/>
      <c r="UQ14" s="248"/>
      <c r="UR14" s="248"/>
      <c r="US14" s="248"/>
      <c r="UT14" s="248"/>
      <c r="UU14" s="248"/>
      <c r="UV14" s="248"/>
      <c r="UW14" s="248"/>
      <c r="UX14" s="248"/>
      <c r="UY14" s="248"/>
      <c r="UZ14" s="248"/>
      <c r="VA14" s="248"/>
      <c r="VB14" s="248"/>
      <c r="VC14" s="248"/>
      <c r="VD14" s="248"/>
      <c r="VE14" s="248"/>
      <c r="VF14" s="248"/>
      <c r="VG14" s="248"/>
      <c r="VH14" s="248"/>
      <c r="VI14" s="248"/>
      <c r="VJ14" s="248"/>
      <c r="VK14" s="248"/>
      <c r="VL14" s="248"/>
      <c r="VM14" s="248"/>
      <c r="VN14" s="248"/>
      <c r="VO14" s="248"/>
      <c r="VP14" s="248"/>
      <c r="VQ14" s="248"/>
      <c r="VR14" s="248"/>
      <c r="VS14" s="248"/>
      <c r="VT14" s="248"/>
      <c r="VU14" s="248"/>
      <c r="VV14" s="248"/>
      <c r="VW14" s="248"/>
      <c r="VX14" s="248"/>
      <c r="VY14" s="248"/>
      <c r="VZ14" s="248"/>
      <c r="WA14" s="248"/>
      <c r="WB14" s="248"/>
      <c r="WC14" s="248"/>
      <c r="WD14" s="248"/>
      <c r="WE14" s="248"/>
      <c r="WF14" s="248"/>
      <c r="WG14" s="248"/>
      <c r="WH14" s="248"/>
      <c r="WI14" s="248"/>
      <c r="WJ14" s="248"/>
      <c r="WK14" s="248"/>
      <c r="WL14" s="248"/>
      <c r="WM14" s="248"/>
      <c r="WN14" s="248"/>
      <c r="WO14" s="248"/>
      <c r="WP14" s="248"/>
      <c r="WQ14" s="248"/>
      <c r="WR14" s="248"/>
      <c r="WS14" s="248"/>
      <c r="WT14" s="248"/>
      <c r="WU14" s="248"/>
      <c r="WV14" s="248"/>
      <c r="WW14" s="248"/>
      <c r="WX14" s="248"/>
      <c r="WY14" s="248"/>
      <c r="WZ14" s="248"/>
      <c r="XA14" s="248"/>
      <c r="XB14" s="248"/>
      <c r="XC14" s="248"/>
      <c r="XD14" s="248"/>
      <c r="XE14" s="248"/>
      <c r="XF14" s="248"/>
      <c r="XG14" s="248"/>
      <c r="XH14" s="248"/>
      <c r="XI14" s="248"/>
      <c r="XJ14" s="248"/>
      <c r="XK14" s="248"/>
      <c r="XL14" s="248"/>
      <c r="XM14" s="248"/>
      <c r="XN14" s="248"/>
      <c r="XO14" s="248"/>
      <c r="XP14" s="248"/>
      <c r="XQ14" s="248"/>
      <c r="XR14" s="248"/>
      <c r="XS14" s="248"/>
      <c r="XT14" s="248"/>
      <c r="XU14" s="248"/>
      <c r="XV14" s="248"/>
      <c r="XW14" s="248"/>
      <c r="XX14" s="248"/>
      <c r="XY14" s="248"/>
      <c r="XZ14" s="248"/>
      <c r="YA14" s="248"/>
      <c r="YB14" s="248"/>
      <c r="YC14" s="248"/>
      <c r="YD14" s="248"/>
      <c r="YE14" s="248"/>
      <c r="YF14" s="248"/>
      <c r="YG14" s="248"/>
      <c r="YH14" s="248"/>
      <c r="YI14" s="248"/>
      <c r="YJ14" s="248"/>
      <c r="YK14" s="248"/>
      <c r="YL14" s="248"/>
      <c r="YM14" s="248"/>
      <c r="YN14" s="248"/>
      <c r="YO14" s="248"/>
      <c r="YP14" s="248"/>
      <c r="YQ14" s="248"/>
      <c r="YR14" s="248"/>
      <c r="YS14" s="248"/>
      <c r="YT14" s="248"/>
      <c r="YU14" s="248"/>
      <c r="YV14" s="248"/>
      <c r="YW14" s="248"/>
      <c r="YX14" s="248"/>
      <c r="YY14" s="248"/>
      <c r="YZ14" s="248"/>
      <c r="ZA14" s="248"/>
      <c r="ZB14" s="248"/>
      <c r="ZC14" s="248"/>
      <c r="ZD14" s="248"/>
      <c r="ZE14" s="248"/>
      <c r="ZF14" s="248"/>
      <c r="ZG14" s="248"/>
      <c r="ZH14" s="248"/>
      <c r="ZI14" s="248"/>
      <c r="ZJ14" s="248"/>
      <c r="ZK14" s="248"/>
      <c r="ZL14" s="248"/>
      <c r="ZM14" s="248"/>
      <c r="ZN14" s="248"/>
      <c r="ZO14" s="248"/>
      <c r="ZP14" s="248"/>
      <c r="ZQ14" s="248"/>
      <c r="ZR14" s="248"/>
      <c r="ZS14" s="248"/>
      <c r="ZT14" s="248"/>
      <c r="ZU14" s="248"/>
      <c r="ZV14" s="248"/>
      <c r="ZW14" s="248"/>
      <c r="ZX14" s="248"/>
      <c r="ZY14" s="248"/>
      <c r="ZZ14" s="248"/>
      <c r="AAA14" s="248"/>
      <c r="AAB14" s="248"/>
      <c r="AAC14" s="248"/>
      <c r="AAD14" s="248"/>
      <c r="AAE14" s="248"/>
      <c r="AAF14" s="248"/>
      <c r="AAG14" s="248"/>
      <c r="AAH14" s="248"/>
      <c r="AAI14" s="248"/>
      <c r="AAJ14" s="248"/>
      <c r="AAK14" s="248"/>
      <c r="AAL14" s="248"/>
      <c r="AAM14" s="248"/>
      <c r="AAN14" s="248"/>
      <c r="AAO14" s="248"/>
      <c r="AAP14" s="248"/>
      <c r="AAQ14" s="248"/>
      <c r="AAR14" s="248"/>
      <c r="AAS14" s="248"/>
      <c r="AAT14" s="248"/>
      <c r="AAU14" s="248"/>
      <c r="AAV14" s="248"/>
      <c r="AAW14" s="248"/>
      <c r="AAX14" s="248"/>
      <c r="AAY14" s="248"/>
      <c r="AAZ14" s="248"/>
      <c r="ABA14" s="248"/>
      <c r="ABB14" s="248"/>
      <c r="ABC14" s="248"/>
      <c r="ABD14" s="248"/>
      <c r="ABE14" s="248"/>
      <c r="ABF14" s="248"/>
      <c r="ABG14" s="248"/>
      <c r="ABH14" s="248"/>
      <c r="ABI14" s="248"/>
      <c r="ABJ14" s="248"/>
      <c r="ABK14" s="248"/>
      <c r="ABL14" s="248"/>
      <c r="ABM14" s="248"/>
      <c r="ABN14" s="248"/>
      <c r="ABO14" s="248"/>
      <c r="ABP14" s="248"/>
      <c r="ABQ14" s="248"/>
      <c r="ABR14" s="248"/>
      <c r="ABS14" s="248"/>
      <c r="ABT14" s="248"/>
      <c r="ABU14" s="248"/>
      <c r="ABV14" s="248"/>
      <c r="ABW14" s="248"/>
      <c r="ABX14" s="248"/>
      <c r="ABY14" s="248"/>
      <c r="ABZ14" s="248"/>
      <c r="ACA14" s="248"/>
      <c r="ACB14" s="248"/>
      <c r="ACC14" s="248"/>
      <c r="ACD14" s="248"/>
      <c r="ACE14" s="248"/>
      <c r="ACF14" s="248"/>
      <c r="ACG14" s="248"/>
      <c r="ACH14" s="248"/>
      <c r="ACI14" s="248"/>
      <c r="ACJ14" s="248"/>
      <c r="ACK14" s="248"/>
      <c r="ACL14" s="248"/>
      <c r="ACM14" s="248"/>
      <c r="ACN14" s="248"/>
      <c r="ACO14" s="248"/>
      <c r="ACP14" s="248"/>
      <c r="ACQ14" s="248"/>
      <c r="ACR14" s="248"/>
      <c r="ACS14" s="248"/>
      <c r="ACT14" s="248"/>
      <c r="ACU14" s="248"/>
      <c r="ACV14" s="248"/>
      <c r="ACW14" s="248"/>
      <c r="ACX14" s="248"/>
      <c r="ACY14" s="248"/>
      <c r="ACZ14" s="248"/>
      <c r="ADA14" s="248"/>
      <c r="ADB14" s="248"/>
      <c r="ADC14" s="248"/>
      <c r="ADD14" s="248"/>
      <c r="ADE14" s="248"/>
      <c r="ADF14" s="248"/>
      <c r="ADG14" s="248"/>
      <c r="ADH14" s="248"/>
      <c r="ADI14" s="248"/>
      <c r="ADJ14" s="248"/>
      <c r="ADK14" s="248"/>
      <c r="ADL14" s="248"/>
      <c r="ADM14" s="248"/>
      <c r="ADN14" s="248"/>
      <c r="ADO14" s="248"/>
      <c r="ADP14" s="248"/>
      <c r="ADQ14" s="248"/>
      <c r="ADR14" s="248"/>
      <c r="ADS14" s="248"/>
      <c r="ADT14" s="248"/>
      <c r="ADU14" s="248"/>
      <c r="ADV14" s="248"/>
      <c r="ADW14" s="248"/>
      <c r="ADX14" s="248"/>
      <c r="ADY14" s="248"/>
      <c r="ADZ14" s="248"/>
      <c r="AEA14" s="248"/>
      <c r="AEB14" s="248"/>
      <c r="AEC14" s="248"/>
      <c r="AED14" s="248"/>
      <c r="AEE14" s="248"/>
      <c r="AEF14" s="248"/>
      <c r="AEG14" s="248"/>
      <c r="AEH14" s="248"/>
      <c r="AEI14" s="248"/>
      <c r="AEJ14" s="248"/>
      <c r="AEK14" s="248"/>
      <c r="AEL14" s="248"/>
      <c r="AEM14" s="248"/>
      <c r="AEN14" s="248"/>
      <c r="AEO14" s="248"/>
      <c r="AEP14" s="248"/>
      <c r="AEQ14" s="248"/>
      <c r="AER14" s="248"/>
      <c r="AES14" s="248"/>
      <c r="AET14" s="248"/>
      <c r="AEU14" s="248"/>
      <c r="AEV14" s="248"/>
      <c r="AEW14" s="248"/>
      <c r="AEX14" s="248"/>
      <c r="AEY14" s="248"/>
      <c r="AEZ14" s="248"/>
      <c r="AFA14" s="248"/>
      <c r="AFB14" s="248"/>
      <c r="AFC14" s="248"/>
      <c r="AFD14" s="248"/>
      <c r="AFE14" s="248"/>
      <c r="AFF14" s="248"/>
      <c r="AFG14" s="248"/>
      <c r="AFH14" s="248"/>
      <c r="AFI14" s="248"/>
      <c r="AFJ14" s="248"/>
      <c r="AFK14" s="248"/>
      <c r="AFL14" s="248"/>
      <c r="AFM14" s="248"/>
      <c r="AFN14" s="248"/>
      <c r="AFO14" s="248"/>
      <c r="AFP14" s="248"/>
      <c r="AFQ14" s="248"/>
      <c r="AFR14" s="248"/>
      <c r="AFS14" s="248"/>
      <c r="AFT14" s="248"/>
      <c r="AFU14" s="248"/>
      <c r="AFV14" s="248"/>
      <c r="AFW14" s="248"/>
      <c r="AFX14" s="248"/>
      <c r="AFY14" s="248"/>
      <c r="AFZ14" s="248"/>
      <c r="AGA14" s="248"/>
      <c r="AGB14" s="248"/>
      <c r="AGC14" s="248"/>
      <c r="AGD14" s="248"/>
      <c r="AGE14" s="248"/>
      <c r="AGF14" s="248"/>
      <c r="AGG14" s="248"/>
      <c r="AGH14" s="248"/>
      <c r="AGI14" s="248"/>
      <c r="AGJ14" s="248"/>
      <c r="AGK14" s="248"/>
      <c r="AGL14" s="248"/>
      <c r="AGM14" s="248"/>
      <c r="AGN14" s="248"/>
      <c r="AGO14" s="248"/>
      <c r="AGP14" s="248"/>
      <c r="AGQ14" s="248"/>
      <c r="AGR14" s="248"/>
      <c r="AGS14" s="248"/>
      <c r="AGT14" s="248"/>
      <c r="AGU14" s="248"/>
      <c r="AGV14" s="248"/>
      <c r="AGW14" s="248"/>
      <c r="AGX14" s="248"/>
      <c r="AGY14" s="248"/>
      <c r="AGZ14" s="248"/>
      <c r="AHA14" s="248"/>
      <c r="AHB14" s="248"/>
      <c r="AHC14" s="248"/>
      <c r="AHD14" s="248"/>
      <c r="AHE14" s="248"/>
      <c r="AHF14" s="248"/>
      <c r="AHG14" s="248"/>
      <c r="AHH14" s="248"/>
      <c r="AHI14" s="248"/>
      <c r="AHJ14" s="248"/>
      <c r="AHK14" s="248"/>
      <c r="AHL14" s="248"/>
      <c r="AHM14" s="248"/>
      <c r="AHN14" s="248"/>
      <c r="AHO14" s="248"/>
      <c r="AHP14" s="248"/>
      <c r="AHQ14" s="248"/>
      <c r="AHR14" s="248"/>
      <c r="AHS14" s="248"/>
      <c r="AHT14" s="248"/>
      <c r="AHU14" s="248"/>
      <c r="AHV14" s="248"/>
      <c r="AHW14" s="248"/>
      <c r="AHX14" s="248"/>
      <c r="AHY14" s="248"/>
      <c r="AHZ14" s="248"/>
      <c r="AIA14" s="248"/>
      <c r="AIB14" s="248"/>
      <c r="AIC14" s="248"/>
      <c r="AID14" s="248"/>
      <c r="AIE14" s="248"/>
      <c r="AIF14" s="248"/>
      <c r="AIG14" s="248"/>
      <c r="AIH14" s="248"/>
      <c r="AII14" s="248"/>
      <c r="AIJ14" s="248"/>
      <c r="AIK14" s="248"/>
      <c r="AIL14" s="248"/>
      <c r="AIM14" s="248"/>
      <c r="AIN14" s="248"/>
      <c r="AIO14" s="248"/>
      <c r="AIP14" s="248"/>
      <c r="AIQ14" s="248"/>
      <c r="AIR14" s="248"/>
      <c r="AIS14" s="248"/>
      <c r="AIT14" s="248"/>
      <c r="AIU14" s="248"/>
      <c r="AIV14" s="248"/>
      <c r="AIW14" s="248"/>
      <c r="AIX14" s="248"/>
      <c r="AIY14" s="248"/>
      <c r="AIZ14" s="248"/>
      <c r="AJA14" s="248"/>
      <c r="AJB14" s="248"/>
      <c r="AJC14" s="248"/>
      <c r="AJD14" s="248"/>
      <c r="AJE14" s="248"/>
      <c r="AJF14" s="248"/>
      <c r="AJG14" s="248"/>
      <c r="AJH14" s="248"/>
      <c r="AJI14" s="248"/>
      <c r="AJJ14" s="248"/>
      <c r="AJK14" s="248"/>
      <c r="AJL14" s="248"/>
      <c r="AJM14" s="248"/>
      <c r="AJN14" s="248"/>
      <c r="AJO14" s="248"/>
      <c r="AJP14" s="248"/>
      <c r="AJQ14" s="248"/>
      <c r="AJR14" s="248"/>
      <c r="AJS14" s="248"/>
      <c r="AJT14" s="248"/>
      <c r="AJU14" s="248"/>
      <c r="AJV14" s="248"/>
      <c r="AJW14" s="248"/>
      <c r="AJX14" s="248"/>
      <c r="AJY14" s="248"/>
      <c r="AJZ14" s="248"/>
      <c r="AKA14" s="248"/>
      <c r="AKB14" s="248"/>
      <c r="AKC14" s="248"/>
      <c r="AKD14" s="248"/>
      <c r="AKE14" s="248"/>
      <c r="AKF14" s="248"/>
      <c r="AKG14" s="248"/>
      <c r="AKH14" s="248"/>
      <c r="AKI14" s="248"/>
      <c r="AKJ14" s="248"/>
      <c r="AKK14" s="248"/>
      <c r="AKL14" s="248"/>
      <c r="AKM14" s="248"/>
      <c r="AKN14" s="248"/>
      <c r="AKO14" s="248"/>
      <c r="AKP14" s="248"/>
      <c r="AKQ14" s="248"/>
      <c r="AKR14" s="248"/>
      <c r="AKS14" s="248"/>
      <c r="AKT14" s="248"/>
      <c r="AKU14" s="248"/>
      <c r="AKV14" s="248"/>
      <c r="AKW14" s="248"/>
      <c r="AKX14" s="248"/>
      <c r="AKY14" s="248"/>
      <c r="AKZ14" s="248"/>
      <c r="ALA14" s="248"/>
      <c r="ALB14" s="248"/>
      <c r="ALC14" s="248"/>
      <c r="ALD14" s="248"/>
      <c r="ALE14" s="248"/>
      <c r="ALF14" s="248"/>
      <c r="ALG14" s="248"/>
      <c r="ALH14" s="248"/>
      <c r="ALI14" s="248"/>
      <c r="ALJ14" s="248"/>
      <c r="ALK14" s="248"/>
      <c r="ALL14" s="248"/>
      <c r="ALM14" s="248"/>
      <c r="ALN14" s="248"/>
      <c r="ALO14" s="248"/>
      <c r="ALP14" s="248"/>
      <c r="ALQ14" s="248"/>
      <c r="ALR14" s="248"/>
      <c r="ALS14" s="248"/>
      <c r="ALT14" s="248"/>
      <c r="ALU14" s="248"/>
      <c r="ALV14" s="248"/>
      <c r="ALW14" s="248"/>
      <c r="ALX14" s="248"/>
      <c r="ALY14" s="248"/>
      <c r="ALZ14" s="248"/>
      <c r="AMA14" s="248"/>
      <c r="AMB14" s="248"/>
      <c r="AMC14" s="248"/>
      <c r="AMD14" s="248"/>
      <c r="AME14" s="248"/>
      <c r="AMF14" s="248"/>
      <c r="AMG14" s="248"/>
      <c r="AMH14" s="248"/>
      <c r="AMI14" s="248"/>
      <c r="AMJ14" s="248"/>
      <c r="AMK14" s="248"/>
      <c r="AML14" s="248"/>
      <c r="AMM14" s="248"/>
      <c r="AMN14" s="248"/>
      <c r="AMO14" s="248"/>
      <c r="AMP14" s="248"/>
      <c r="AMQ14" s="248"/>
      <c r="AMR14" s="248"/>
      <c r="AMS14" s="248"/>
      <c r="AMT14" s="248"/>
      <c r="AMU14" s="248"/>
      <c r="AMV14" s="248"/>
      <c r="AMW14" s="248"/>
      <c r="AMX14" s="248"/>
      <c r="AMY14" s="248"/>
      <c r="AMZ14" s="248"/>
      <c r="ANA14" s="248"/>
      <c r="ANB14" s="248"/>
      <c r="ANC14" s="248"/>
      <c r="AND14" s="248"/>
      <c r="ANE14" s="248"/>
      <c r="ANF14" s="248"/>
      <c r="ANG14" s="248"/>
      <c r="ANH14" s="248"/>
      <c r="ANI14" s="248"/>
      <c r="ANJ14" s="248"/>
      <c r="ANK14" s="248"/>
      <c r="ANL14" s="248"/>
      <c r="ANM14" s="248"/>
      <c r="ANN14" s="248"/>
      <c r="ANO14" s="248"/>
      <c r="ANP14" s="248"/>
      <c r="ANQ14" s="248"/>
      <c r="ANR14" s="248"/>
      <c r="ANS14" s="248"/>
      <c r="ANT14" s="248"/>
      <c r="ANU14" s="248"/>
      <c r="ANV14" s="248"/>
      <c r="ANW14" s="248"/>
      <c r="ANX14" s="248"/>
      <c r="ANY14" s="248"/>
      <c r="ANZ14" s="248"/>
      <c r="AOA14" s="248"/>
      <c r="AOB14" s="248"/>
      <c r="AOC14" s="248"/>
      <c r="AOD14" s="248"/>
      <c r="AOE14" s="248"/>
      <c r="AOF14" s="248"/>
      <c r="AOG14" s="248"/>
      <c r="AOH14" s="248"/>
      <c r="AOI14" s="248"/>
      <c r="AOJ14" s="248"/>
      <c r="AOK14" s="248"/>
      <c r="AOL14" s="248"/>
      <c r="AOM14" s="248"/>
      <c r="AON14" s="248"/>
      <c r="AOO14" s="248"/>
      <c r="AOP14" s="248"/>
      <c r="AOQ14" s="248"/>
      <c r="AOR14" s="248"/>
      <c r="AOS14" s="248"/>
      <c r="AOT14" s="248"/>
      <c r="AOU14" s="248"/>
      <c r="AOV14" s="248"/>
      <c r="AOW14" s="248"/>
      <c r="AOX14" s="248"/>
      <c r="AOY14" s="248"/>
      <c r="AOZ14" s="248"/>
      <c r="APA14" s="248"/>
      <c r="APB14" s="248"/>
      <c r="APC14" s="248"/>
      <c r="APD14" s="248"/>
      <c r="APE14" s="248"/>
      <c r="APF14" s="248"/>
      <c r="APG14" s="248"/>
      <c r="APH14" s="248"/>
      <c r="API14" s="248"/>
      <c r="APJ14" s="248"/>
      <c r="APK14" s="248"/>
      <c r="APL14" s="248"/>
      <c r="APM14" s="248"/>
      <c r="APN14" s="248"/>
      <c r="APO14" s="248"/>
      <c r="APP14" s="248"/>
      <c r="APQ14" s="248"/>
      <c r="APR14" s="248"/>
      <c r="APS14" s="248"/>
      <c r="APT14" s="248"/>
      <c r="APU14" s="248"/>
      <c r="APV14" s="248"/>
      <c r="APW14" s="248"/>
      <c r="APX14" s="248"/>
      <c r="APY14" s="248"/>
      <c r="APZ14" s="248"/>
      <c r="AQA14" s="248"/>
      <c r="AQB14" s="248"/>
      <c r="AQC14" s="248"/>
      <c r="AQD14" s="248"/>
      <c r="AQE14" s="248"/>
      <c r="AQF14" s="248"/>
      <c r="AQG14" s="248"/>
      <c r="AQH14" s="248"/>
      <c r="AQI14" s="248"/>
      <c r="AQJ14" s="248"/>
      <c r="AQK14" s="248"/>
      <c r="AQL14" s="248"/>
      <c r="AQM14" s="248"/>
      <c r="AQN14" s="248"/>
      <c r="AQO14" s="248"/>
      <c r="AQP14" s="248"/>
      <c r="AQQ14" s="248"/>
      <c r="AQR14" s="248"/>
      <c r="AQS14" s="248"/>
      <c r="AQT14" s="248"/>
      <c r="AQU14" s="248"/>
      <c r="AQV14" s="248"/>
      <c r="AQW14" s="248"/>
      <c r="AQX14" s="248"/>
      <c r="AQY14" s="248"/>
      <c r="AQZ14" s="248"/>
      <c r="ARA14" s="248"/>
      <c r="ARB14" s="248"/>
      <c r="ARC14" s="248"/>
      <c r="ARD14" s="248"/>
      <c r="ARE14" s="248"/>
      <c r="ARF14" s="248"/>
      <c r="ARG14" s="248"/>
      <c r="ARH14" s="248"/>
      <c r="ARI14" s="248"/>
      <c r="ARJ14" s="248"/>
      <c r="ARK14" s="248"/>
      <c r="ARL14" s="248"/>
      <c r="ARM14" s="248"/>
      <c r="ARN14" s="248"/>
      <c r="ARO14" s="248"/>
      <c r="ARP14" s="248"/>
      <c r="ARQ14" s="248"/>
      <c r="ARR14" s="248"/>
      <c r="ARS14" s="248"/>
      <c r="ART14" s="248"/>
      <c r="ARU14" s="248"/>
      <c r="ARV14" s="248"/>
      <c r="ARW14" s="248"/>
      <c r="ARX14" s="248"/>
      <c r="ARY14" s="248"/>
      <c r="ARZ14" s="248"/>
      <c r="ASA14" s="248"/>
      <c r="ASB14" s="248"/>
      <c r="ASC14" s="248"/>
      <c r="ASD14" s="248"/>
      <c r="ASE14" s="248"/>
      <c r="ASF14" s="248"/>
      <c r="ASG14" s="248"/>
      <c r="ASH14" s="248"/>
      <c r="ASI14" s="248"/>
      <c r="ASJ14" s="248"/>
      <c r="ASK14" s="248"/>
      <c r="ASL14" s="248"/>
      <c r="ASM14" s="248"/>
      <c r="ASN14" s="248"/>
      <c r="ASO14" s="248"/>
      <c r="ASP14" s="248"/>
      <c r="ASQ14" s="248"/>
      <c r="ASR14" s="248"/>
      <c r="ASS14" s="248"/>
      <c r="AST14" s="248"/>
      <c r="ASU14" s="248"/>
      <c r="ASV14" s="248"/>
      <c r="ASW14" s="248"/>
      <c r="ASX14" s="248"/>
      <c r="ASY14" s="248"/>
      <c r="ASZ14" s="248"/>
      <c r="ATA14" s="248"/>
      <c r="ATB14" s="248"/>
      <c r="ATC14" s="248"/>
      <c r="ATD14" s="248"/>
      <c r="ATE14" s="248"/>
      <c r="ATF14" s="248"/>
      <c r="ATG14" s="248"/>
      <c r="ATH14" s="248"/>
      <c r="ATI14" s="248"/>
      <c r="ATJ14" s="248"/>
      <c r="ATK14" s="248"/>
      <c r="ATL14" s="248"/>
      <c r="ATM14" s="248"/>
      <c r="ATN14" s="248"/>
      <c r="ATO14" s="248"/>
      <c r="ATP14" s="248"/>
      <c r="ATQ14" s="248"/>
      <c r="ATR14" s="248"/>
      <c r="ATS14" s="248"/>
      <c r="ATT14" s="248"/>
      <c r="ATU14" s="248"/>
      <c r="ATV14" s="248"/>
      <c r="ATW14" s="248"/>
      <c r="ATX14" s="248"/>
      <c r="ATY14" s="248"/>
      <c r="ATZ14" s="248"/>
      <c r="AUA14" s="248"/>
      <c r="AUB14" s="248"/>
      <c r="AUC14" s="248"/>
      <c r="AUD14" s="248"/>
      <c r="AUE14" s="248"/>
      <c r="AUF14" s="248"/>
      <c r="AUG14" s="248"/>
      <c r="AUH14" s="248"/>
      <c r="AUI14" s="248"/>
      <c r="AUJ14" s="248"/>
      <c r="AUK14" s="248"/>
      <c r="AUL14" s="248"/>
      <c r="AUM14" s="248"/>
      <c r="AUN14" s="248"/>
      <c r="AUO14" s="248"/>
      <c r="AUP14" s="248"/>
      <c r="AUQ14" s="248"/>
      <c r="AUR14" s="248"/>
      <c r="AUS14" s="248"/>
      <c r="AUT14" s="248"/>
      <c r="AUU14" s="248"/>
      <c r="AUV14" s="248"/>
      <c r="AUW14" s="248"/>
      <c r="AUX14" s="248"/>
      <c r="AUY14" s="248"/>
      <c r="AUZ14" s="248"/>
      <c r="AVA14" s="248"/>
      <c r="AVB14" s="248"/>
      <c r="AVC14" s="248"/>
      <c r="AVD14" s="248"/>
      <c r="AVE14" s="248"/>
      <c r="AVF14" s="248"/>
      <c r="AVG14" s="248"/>
      <c r="AVH14" s="248"/>
      <c r="AVI14" s="248"/>
      <c r="AVJ14" s="248"/>
      <c r="AVK14" s="248"/>
      <c r="AVL14" s="248"/>
      <c r="AVM14" s="248"/>
      <c r="AVN14" s="248"/>
      <c r="AVO14" s="248"/>
      <c r="AVP14" s="248"/>
      <c r="AVQ14" s="248"/>
      <c r="AVR14" s="248"/>
      <c r="AVS14" s="248"/>
      <c r="AVT14" s="248"/>
      <c r="AVU14" s="248"/>
      <c r="AVV14" s="248"/>
      <c r="AVW14" s="248"/>
      <c r="AVX14" s="248"/>
      <c r="AVY14" s="248"/>
      <c r="AVZ14" s="248"/>
      <c r="AWA14" s="248"/>
      <c r="AWB14" s="248"/>
      <c r="AWC14" s="248"/>
      <c r="AWD14" s="248"/>
      <c r="AWE14" s="248"/>
      <c r="AWF14" s="248"/>
      <c r="AWG14" s="248"/>
      <c r="AWH14" s="248"/>
      <c r="AWI14" s="248"/>
      <c r="AWJ14" s="248"/>
      <c r="AWK14" s="248"/>
      <c r="AWL14" s="248"/>
      <c r="AWM14" s="248"/>
      <c r="AWN14" s="248"/>
      <c r="AWO14" s="248"/>
      <c r="AWP14" s="248"/>
      <c r="AWQ14" s="248"/>
      <c r="AWR14" s="248"/>
      <c r="AWS14" s="248"/>
      <c r="AWT14" s="248"/>
      <c r="AWU14" s="248"/>
      <c r="AWV14" s="248"/>
      <c r="AWW14" s="248"/>
      <c r="AWX14" s="248"/>
      <c r="AWY14" s="248"/>
      <c r="AWZ14" s="248"/>
      <c r="AXA14" s="248"/>
      <c r="AXB14" s="248"/>
      <c r="AXC14" s="248"/>
      <c r="AXD14" s="248"/>
      <c r="AXE14" s="248"/>
      <c r="AXF14" s="248"/>
      <c r="AXG14" s="248"/>
      <c r="AXH14" s="248"/>
      <c r="AXI14" s="248"/>
      <c r="AXJ14" s="248"/>
      <c r="AXK14" s="248"/>
      <c r="AXL14" s="248"/>
      <c r="AXM14" s="248"/>
      <c r="AXN14" s="248"/>
      <c r="AXO14" s="248"/>
      <c r="AXP14" s="248"/>
      <c r="AXQ14" s="248"/>
      <c r="AXR14" s="248"/>
      <c r="AXS14" s="248"/>
      <c r="AXT14" s="248"/>
      <c r="AXU14" s="248"/>
      <c r="AXV14" s="248"/>
      <c r="AXW14" s="248"/>
      <c r="AXX14" s="248"/>
      <c r="AXY14" s="248"/>
      <c r="AXZ14" s="248"/>
      <c r="AYA14" s="248"/>
      <c r="AYB14" s="248"/>
      <c r="AYC14" s="248"/>
      <c r="AYD14" s="248"/>
      <c r="AYE14" s="248"/>
      <c r="AYF14" s="248"/>
      <c r="AYG14" s="248"/>
      <c r="AYH14" s="248"/>
      <c r="AYI14" s="248"/>
      <c r="AYJ14" s="248"/>
      <c r="AYK14" s="248"/>
      <c r="AYL14" s="248"/>
      <c r="AYM14" s="248"/>
      <c r="AYN14" s="248"/>
      <c r="AYO14" s="248"/>
      <c r="AYP14" s="248"/>
      <c r="AYQ14" s="248"/>
      <c r="AYR14" s="248"/>
      <c r="AYS14" s="248"/>
      <c r="AYT14" s="248"/>
      <c r="AYU14" s="248"/>
      <c r="AYV14" s="248"/>
      <c r="AYW14" s="248"/>
      <c r="AYX14" s="248"/>
      <c r="AYY14" s="248"/>
      <c r="AYZ14" s="248"/>
      <c r="AZA14" s="248"/>
      <c r="AZB14" s="248"/>
      <c r="AZC14" s="248"/>
      <c r="AZD14" s="248"/>
      <c r="AZE14" s="248"/>
      <c r="AZF14" s="248"/>
      <c r="AZG14" s="248"/>
      <c r="AZH14" s="248"/>
      <c r="AZI14" s="248"/>
      <c r="AZJ14" s="248"/>
      <c r="AZK14" s="248"/>
      <c r="AZL14" s="248"/>
      <c r="AZM14" s="248"/>
      <c r="AZN14" s="248"/>
      <c r="AZO14" s="248"/>
      <c r="AZP14" s="248"/>
      <c r="AZQ14" s="248"/>
      <c r="AZR14" s="248"/>
      <c r="AZS14" s="248"/>
      <c r="AZT14" s="248"/>
      <c r="AZU14" s="248"/>
      <c r="AZV14" s="248"/>
      <c r="AZW14" s="248"/>
      <c r="AZX14" s="248"/>
      <c r="AZY14" s="248"/>
      <c r="AZZ14" s="248"/>
      <c r="BAA14" s="248"/>
      <c r="BAB14" s="248"/>
      <c r="BAC14" s="248"/>
      <c r="BAD14" s="248"/>
      <c r="BAE14" s="248"/>
      <c r="BAF14" s="248"/>
      <c r="BAG14" s="248"/>
      <c r="BAH14" s="248"/>
      <c r="BAI14" s="248"/>
      <c r="BAJ14" s="248"/>
      <c r="BAK14" s="248"/>
      <c r="BAL14" s="248"/>
      <c r="BAM14" s="248"/>
      <c r="BAN14" s="248"/>
      <c r="BAO14" s="248"/>
      <c r="BAP14" s="248"/>
      <c r="BAQ14" s="248"/>
      <c r="BAR14" s="248"/>
      <c r="BAS14" s="248"/>
      <c r="BAT14" s="248"/>
      <c r="BAU14" s="248"/>
      <c r="BAV14" s="248"/>
      <c r="BAW14" s="248"/>
      <c r="BAX14" s="248"/>
      <c r="BAY14" s="248"/>
      <c r="BAZ14" s="248"/>
      <c r="BBA14" s="248"/>
      <c r="BBB14" s="248"/>
      <c r="BBC14" s="248"/>
      <c r="BBD14" s="248"/>
      <c r="BBE14" s="248"/>
      <c r="BBF14" s="248"/>
      <c r="BBG14" s="248"/>
      <c r="BBH14" s="248"/>
      <c r="BBI14" s="248"/>
      <c r="BBJ14" s="248"/>
      <c r="BBK14" s="248"/>
      <c r="BBL14" s="248"/>
      <c r="BBM14" s="248"/>
      <c r="BBN14" s="248"/>
      <c r="BBO14" s="248"/>
      <c r="BBP14" s="248"/>
      <c r="BBQ14" s="248"/>
      <c r="BBR14" s="248"/>
      <c r="BBS14" s="248"/>
      <c r="BBT14" s="248"/>
      <c r="BBU14" s="248"/>
      <c r="BBV14" s="248"/>
      <c r="BBW14" s="248"/>
      <c r="BBX14" s="248"/>
      <c r="BBY14" s="248"/>
      <c r="BBZ14" s="248"/>
      <c r="BCA14" s="248"/>
      <c r="BCB14" s="248"/>
      <c r="BCC14" s="248"/>
      <c r="BCD14" s="248"/>
      <c r="BCE14" s="248"/>
      <c r="BCF14" s="248"/>
      <c r="BCG14" s="248"/>
      <c r="BCH14" s="248"/>
      <c r="BCI14" s="248"/>
      <c r="BCJ14" s="248"/>
      <c r="BCK14" s="248"/>
      <c r="BCL14" s="248"/>
      <c r="BCM14" s="248"/>
      <c r="BCN14" s="248"/>
      <c r="BCO14" s="248"/>
      <c r="BCP14" s="248"/>
      <c r="BCQ14" s="248"/>
      <c r="BCR14" s="248"/>
      <c r="BCS14" s="248"/>
      <c r="BCT14" s="248"/>
      <c r="BCU14" s="248"/>
      <c r="BCV14" s="248"/>
      <c r="BCW14" s="248"/>
      <c r="BCX14" s="248"/>
      <c r="BCY14" s="248"/>
      <c r="BCZ14" s="248"/>
      <c r="BDA14" s="248"/>
      <c r="BDB14" s="248"/>
      <c r="BDC14" s="248"/>
      <c r="BDD14" s="248"/>
      <c r="BDE14" s="248"/>
      <c r="BDF14" s="248"/>
      <c r="BDG14" s="248"/>
      <c r="BDH14" s="248"/>
      <c r="BDI14" s="248"/>
      <c r="BDJ14" s="248"/>
      <c r="BDK14" s="248"/>
      <c r="BDL14" s="248"/>
      <c r="BDM14" s="248"/>
      <c r="BDN14" s="248"/>
      <c r="BDO14" s="248"/>
      <c r="BDP14" s="248"/>
      <c r="BDQ14" s="248"/>
      <c r="BDR14" s="248"/>
      <c r="BDS14" s="248"/>
      <c r="BDT14" s="248"/>
      <c r="BDU14" s="248"/>
      <c r="BDV14" s="248"/>
      <c r="BDW14" s="248"/>
      <c r="BDX14" s="248"/>
      <c r="BDY14" s="248"/>
      <c r="BDZ14" s="248"/>
      <c r="BEA14" s="248"/>
      <c r="BEB14" s="248"/>
      <c r="BEC14" s="248"/>
      <c r="BED14" s="248"/>
      <c r="BEE14" s="248"/>
      <c r="BEF14" s="248"/>
      <c r="BEG14" s="248"/>
      <c r="BEH14" s="248"/>
      <c r="BEI14" s="248"/>
      <c r="BEJ14" s="248"/>
      <c r="BEK14" s="248"/>
      <c r="BEL14" s="248"/>
      <c r="BEM14" s="248"/>
      <c r="BEN14" s="248"/>
      <c r="BEO14" s="248"/>
      <c r="BEP14" s="248"/>
      <c r="BEQ14" s="248"/>
      <c r="BER14" s="248"/>
      <c r="BES14" s="248"/>
      <c r="BET14" s="248"/>
      <c r="BEU14" s="248"/>
      <c r="BEV14" s="248"/>
      <c r="BEW14" s="248"/>
      <c r="BEX14" s="248"/>
      <c r="BEY14" s="248"/>
      <c r="BEZ14" s="248"/>
      <c r="BFA14" s="248"/>
      <c r="BFB14" s="248"/>
      <c r="BFC14" s="248"/>
      <c r="BFD14" s="248"/>
      <c r="BFE14" s="248"/>
      <c r="BFF14" s="248"/>
      <c r="BFG14" s="248"/>
      <c r="BFH14" s="248"/>
      <c r="BFI14" s="248"/>
      <c r="BFJ14" s="248"/>
      <c r="BFK14" s="248"/>
      <c r="BFL14" s="248"/>
      <c r="BFM14" s="248"/>
      <c r="BFN14" s="248"/>
      <c r="BFO14" s="248"/>
      <c r="BFP14" s="248"/>
      <c r="BFQ14" s="248"/>
      <c r="BFR14" s="248"/>
      <c r="BFS14" s="248"/>
      <c r="BFT14" s="248"/>
      <c r="BFU14" s="248"/>
      <c r="BFV14" s="248"/>
      <c r="BFW14" s="248"/>
      <c r="BFX14" s="248"/>
      <c r="BFY14" s="248"/>
      <c r="BFZ14" s="248"/>
      <c r="BGA14" s="248"/>
      <c r="BGB14" s="248"/>
      <c r="BGC14" s="248"/>
      <c r="BGD14" s="248"/>
      <c r="BGE14" s="248"/>
      <c r="BGF14" s="248"/>
      <c r="BGG14" s="248"/>
      <c r="BGH14" s="248"/>
      <c r="BGI14" s="248"/>
      <c r="BGJ14" s="248"/>
      <c r="BGK14" s="248"/>
      <c r="BGL14" s="248"/>
      <c r="BGM14" s="248"/>
      <c r="BGN14" s="248"/>
      <c r="BGO14" s="248"/>
      <c r="BGP14" s="248"/>
      <c r="BGQ14" s="248"/>
      <c r="BGR14" s="248"/>
      <c r="BGS14" s="248"/>
      <c r="BGT14" s="248"/>
      <c r="BGU14" s="248"/>
      <c r="BGV14" s="248"/>
      <c r="BGW14" s="248"/>
      <c r="BGX14" s="248"/>
      <c r="BGY14" s="248"/>
      <c r="BGZ14" s="248"/>
      <c r="BHA14" s="248"/>
      <c r="BHB14" s="248"/>
      <c r="BHC14" s="248"/>
      <c r="BHD14" s="248"/>
      <c r="BHE14" s="248"/>
      <c r="BHF14" s="248"/>
      <c r="BHG14" s="248"/>
      <c r="BHH14" s="248"/>
      <c r="BHI14" s="248"/>
      <c r="BHJ14" s="248"/>
      <c r="BHK14" s="248"/>
      <c r="BHL14" s="248"/>
      <c r="BHM14" s="248"/>
      <c r="BHN14" s="248"/>
      <c r="BHO14" s="248"/>
      <c r="BHP14" s="248"/>
      <c r="BHQ14" s="248"/>
      <c r="BHR14" s="248"/>
      <c r="BHS14" s="248"/>
      <c r="BHT14" s="248"/>
      <c r="BHU14" s="248"/>
      <c r="BHV14" s="248"/>
      <c r="BHW14" s="248"/>
      <c r="BHX14" s="248"/>
      <c r="BHY14" s="248"/>
      <c r="BHZ14" s="248"/>
      <c r="BIA14" s="248"/>
      <c r="BIB14" s="248"/>
      <c r="BIC14" s="248"/>
      <c r="BID14" s="248"/>
      <c r="BIE14" s="248"/>
      <c r="BIF14" s="248"/>
      <c r="BIG14" s="248"/>
      <c r="BIH14" s="248"/>
      <c r="BII14" s="248"/>
      <c r="BIJ14" s="248"/>
      <c r="BIK14" s="248"/>
      <c r="BIL14" s="248"/>
      <c r="BIM14" s="248"/>
      <c r="BIN14" s="248"/>
      <c r="BIO14" s="248"/>
      <c r="BIP14" s="248"/>
      <c r="BIQ14" s="248"/>
      <c r="BIR14" s="248"/>
      <c r="BIS14" s="248"/>
      <c r="BIT14" s="248"/>
      <c r="BIU14" s="248"/>
      <c r="BIV14" s="248"/>
      <c r="BIW14" s="248"/>
      <c r="BIX14" s="248"/>
      <c r="BIY14" s="248"/>
      <c r="BIZ14" s="248"/>
      <c r="BJA14" s="248"/>
      <c r="BJB14" s="248"/>
      <c r="BJC14" s="248"/>
      <c r="BJD14" s="248"/>
      <c r="BJE14" s="248"/>
      <c r="BJF14" s="248"/>
      <c r="BJG14" s="248"/>
      <c r="BJH14" s="248"/>
      <c r="BJI14" s="248"/>
      <c r="BJJ14" s="248"/>
      <c r="BJK14" s="248"/>
      <c r="BJL14" s="248"/>
      <c r="BJM14" s="248"/>
      <c r="BJN14" s="248"/>
      <c r="BJO14" s="248"/>
      <c r="BJP14" s="248"/>
      <c r="BJQ14" s="248"/>
      <c r="BJR14" s="248"/>
      <c r="BJS14" s="248"/>
      <c r="BJT14" s="248"/>
      <c r="BJU14" s="248"/>
      <c r="BJV14" s="248"/>
      <c r="BJW14" s="248"/>
      <c r="BJX14" s="248"/>
      <c r="BJY14" s="248"/>
      <c r="BJZ14" s="248"/>
      <c r="BKA14" s="248"/>
      <c r="BKB14" s="248"/>
      <c r="BKC14" s="248"/>
      <c r="BKD14" s="248"/>
      <c r="BKE14" s="248"/>
      <c r="BKF14" s="248"/>
      <c r="BKG14" s="248"/>
      <c r="BKH14" s="248"/>
      <c r="BKI14" s="248"/>
      <c r="BKJ14" s="248"/>
      <c r="BKK14" s="248"/>
      <c r="BKL14" s="248"/>
      <c r="BKM14" s="248"/>
      <c r="BKN14" s="248"/>
      <c r="BKO14" s="248"/>
      <c r="BKP14" s="248"/>
      <c r="BKQ14" s="248"/>
      <c r="BKR14" s="248"/>
      <c r="BKS14" s="248"/>
      <c r="BKT14" s="248"/>
      <c r="BKU14" s="248"/>
      <c r="BKV14" s="248"/>
      <c r="BKW14" s="248"/>
      <c r="BKX14" s="248"/>
      <c r="BKY14" s="248"/>
      <c r="BKZ14" s="248"/>
      <c r="BLA14" s="248"/>
      <c r="BLB14" s="248"/>
      <c r="BLC14" s="248"/>
      <c r="BLD14" s="248"/>
      <c r="BLE14" s="248"/>
      <c r="BLF14" s="248"/>
      <c r="BLG14" s="248"/>
      <c r="BLH14" s="248"/>
      <c r="BLI14" s="248"/>
      <c r="BLJ14" s="248"/>
      <c r="BLK14" s="248"/>
      <c r="BLL14" s="248"/>
      <c r="BLM14" s="248"/>
      <c r="BLN14" s="248"/>
      <c r="BLO14" s="248"/>
      <c r="BLP14" s="248"/>
      <c r="BLQ14" s="248"/>
      <c r="BLR14" s="248"/>
      <c r="BLS14" s="248"/>
      <c r="BLT14" s="248"/>
      <c r="BLU14" s="248"/>
      <c r="BLV14" s="248"/>
      <c r="BLW14" s="248"/>
      <c r="BLX14" s="248"/>
      <c r="BLY14" s="248"/>
      <c r="BLZ14" s="248"/>
      <c r="BMA14" s="248"/>
      <c r="BMB14" s="248"/>
      <c r="BMC14" s="248"/>
      <c r="BMD14" s="248"/>
      <c r="BME14" s="248"/>
      <c r="BMF14" s="248"/>
      <c r="BMG14" s="248"/>
      <c r="BMH14" s="248"/>
      <c r="BMI14" s="248"/>
      <c r="BMJ14" s="248"/>
      <c r="BMK14" s="248"/>
      <c r="BML14" s="248"/>
      <c r="BMM14" s="248"/>
      <c r="BMN14" s="248"/>
      <c r="BMO14" s="248"/>
      <c r="BMP14" s="248"/>
      <c r="BMQ14" s="248"/>
      <c r="BMR14" s="248"/>
      <c r="BMS14" s="248"/>
      <c r="BMT14" s="248"/>
      <c r="BMU14" s="248"/>
      <c r="BMV14" s="248"/>
      <c r="BMW14" s="248"/>
      <c r="BMX14" s="248"/>
      <c r="BMY14" s="248"/>
      <c r="BMZ14" s="248"/>
      <c r="BNA14" s="248"/>
      <c r="BNB14" s="248"/>
      <c r="BNC14" s="248"/>
      <c r="BND14" s="248"/>
      <c r="BNE14" s="248"/>
      <c r="BNF14" s="248"/>
      <c r="BNG14" s="248"/>
      <c r="BNH14" s="248"/>
      <c r="BNI14" s="248"/>
      <c r="BNJ14" s="248"/>
      <c r="BNK14" s="248"/>
      <c r="BNL14" s="248"/>
      <c r="BNM14" s="248"/>
      <c r="BNN14" s="248"/>
      <c r="BNO14" s="248"/>
      <c r="BNP14" s="248"/>
      <c r="BNQ14" s="248"/>
      <c r="BNR14" s="248"/>
      <c r="BNS14" s="248"/>
      <c r="BNT14" s="248"/>
      <c r="BNU14" s="248"/>
      <c r="BNV14" s="248"/>
      <c r="BNW14" s="248"/>
      <c r="BNX14" s="248"/>
      <c r="BNY14" s="248"/>
      <c r="BNZ14" s="248"/>
      <c r="BOA14" s="248"/>
      <c r="BOB14" s="248"/>
      <c r="BOC14" s="248"/>
      <c r="BOD14" s="248"/>
      <c r="BOE14" s="248"/>
      <c r="BOF14" s="248"/>
      <c r="BOG14" s="248"/>
      <c r="BOH14" s="248"/>
      <c r="BOI14" s="248"/>
      <c r="BOJ14" s="248"/>
      <c r="BOK14" s="248"/>
      <c r="BOL14" s="248"/>
      <c r="BOM14" s="248"/>
      <c r="BON14" s="248"/>
      <c r="BOO14" s="248"/>
      <c r="BOP14" s="248"/>
      <c r="BOQ14" s="248"/>
      <c r="BOR14" s="248"/>
      <c r="BOS14" s="248"/>
      <c r="BOT14" s="248"/>
      <c r="BOU14" s="248"/>
      <c r="BOV14" s="248"/>
      <c r="BOW14" s="248"/>
      <c r="BOX14" s="248"/>
      <c r="BOY14" s="248"/>
      <c r="BOZ14" s="248"/>
      <c r="BPA14" s="248"/>
      <c r="BPB14" s="248"/>
      <c r="BPC14" s="248"/>
      <c r="BPD14" s="248"/>
      <c r="BPE14" s="248"/>
      <c r="BPF14" s="248"/>
      <c r="BPG14" s="248"/>
      <c r="BPH14" s="248"/>
      <c r="BPI14" s="248"/>
      <c r="BPJ14" s="248"/>
      <c r="BPK14" s="248"/>
      <c r="BPL14" s="248"/>
      <c r="BPM14" s="248"/>
      <c r="BPN14" s="248"/>
      <c r="BPO14" s="248"/>
      <c r="BPP14" s="248"/>
      <c r="BPQ14" s="248"/>
      <c r="BPR14" s="248"/>
      <c r="BPS14" s="248"/>
      <c r="BPT14" s="248"/>
      <c r="BPU14" s="248"/>
      <c r="BPV14" s="248"/>
      <c r="BPW14" s="248"/>
      <c r="BPX14" s="248"/>
      <c r="BPY14" s="248"/>
      <c r="BPZ14" s="248"/>
      <c r="BQA14" s="248"/>
      <c r="BQB14" s="248"/>
      <c r="BQC14" s="248"/>
      <c r="BQD14" s="248"/>
      <c r="BQE14" s="248"/>
      <c r="BQF14" s="248"/>
      <c r="BQG14" s="248"/>
      <c r="BQH14" s="248"/>
      <c r="BQI14" s="248"/>
      <c r="BQJ14" s="248"/>
      <c r="BQK14" s="248"/>
      <c r="BQL14" s="248"/>
      <c r="BQM14" s="248"/>
      <c r="BQN14" s="248"/>
      <c r="BQO14" s="248"/>
      <c r="BQP14" s="248"/>
      <c r="BQQ14" s="248"/>
      <c r="BQR14" s="248"/>
      <c r="BQS14" s="248"/>
      <c r="BQT14" s="248"/>
      <c r="BQU14" s="248"/>
      <c r="BQV14" s="248"/>
      <c r="BQW14" s="248"/>
      <c r="BQX14" s="248"/>
      <c r="BQY14" s="248"/>
      <c r="BQZ14" s="248"/>
      <c r="BRA14" s="248"/>
      <c r="BRB14" s="248"/>
      <c r="BRC14" s="248"/>
      <c r="BRD14" s="248"/>
      <c r="BRE14" s="248"/>
      <c r="BRF14" s="248"/>
      <c r="BRG14" s="248"/>
      <c r="BRH14" s="248"/>
      <c r="BRI14" s="248"/>
      <c r="BRJ14" s="248"/>
      <c r="BRK14" s="248"/>
      <c r="BRL14" s="248"/>
      <c r="BRM14" s="248"/>
      <c r="BRN14" s="248"/>
      <c r="BRO14" s="248"/>
      <c r="BRP14" s="248"/>
      <c r="BRQ14" s="248"/>
      <c r="BRR14" s="248"/>
      <c r="BRS14" s="248"/>
      <c r="BRT14" s="248"/>
      <c r="BRU14" s="248"/>
      <c r="BRV14" s="248"/>
      <c r="BRW14" s="248"/>
      <c r="BRX14" s="248"/>
      <c r="BRY14" s="248"/>
      <c r="BRZ14" s="248"/>
      <c r="BSA14" s="248"/>
      <c r="BSB14" s="248"/>
      <c r="BSC14" s="248"/>
      <c r="BSD14" s="248"/>
      <c r="BSE14" s="248"/>
      <c r="BSF14" s="248"/>
      <c r="BSG14" s="248"/>
      <c r="BSH14" s="248"/>
      <c r="BSI14" s="248"/>
      <c r="BSJ14" s="248"/>
      <c r="BSK14" s="248"/>
      <c r="BSL14" s="248"/>
      <c r="BSM14" s="248"/>
      <c r="BSN14" s="248"/>
      <c r="BSO14" s="248"/>
      <c r="BSP14" s="248"/>
      <c r="BSQ14" s="248"/>
      <c r="BSR14" s="248"/>
      <c r="BSS14" s="248"/>
      <c r="BST14" s="248"/>
      <c r="BSU14" s="248"/>
      <c r="BSV14" s="248"/>
      <c r="BSW14" s="248"/>
      <c r="BSX14" s="248"/>
      <c r="BSY14" s="248"/>
      <c r="BSZ14" s="248"/>
      <c r="BTA14" s="248"/>
      <c r="BTB14" s="248"/>
      <c r="BTC14" s="248"/>
      <c r="BTD14" s="248"/>
      <c r="BTE14" s="248"/>
      <c r="BTF14" s="248"/>
      <c r="BTG14" s="248"/>
      <c r="BTH14" s="248"/>
      <c r="BTI14" s="248"/>
      <c r="BTJ14" s="248"/>
      <c r="BTK14" s="248"/>
      <c r="BTL14" s="248"/>
      <c r="BTM14" s="248"/>
      <c r="BTN14" s="248"/>
      <c r="BTO14" s="248"/>
      <c r="BTP14" s="248"/>
      <c r="BTQ14" s="248"/>
      <c r="BTR14" s="248"/>
      <c r="BTS14" s="248"/>
      <c r="BTT14" s="248"/>
      <c r="BTU14" s="248"/>
      <c r="BTV14" s="248"/>
      <c r="BTW14" s="248"/>
      <c r="BTX14" s="248"/>
      <c r="BTY14" s="248"/>
      <c r="BTZ14" s="248"/>
      <c r="BUA14" s="248"/>
      <c r="BUB14" s="248"/>
      <c r="BUC14" s="248"/>
      <c r="BUD14" s="248"/>
      <c r="BUE14" s="248"/>
      <c r="BUF14" s="248"/>
      <c r="BUG14" s="248"/>
      <c r="BUH14" s="248"/>
      <c r="BUI14" s="248"/>
      <c r="BUJ14" s="248"/>
      <c r="BUK14" s="248"/>
      <c r="BUL14" s="248"/>
      <c r="BUM14" s="248"/>
      <c r="BUN14" s="248"/>
      <c r="BUO14" s="248"/>
      <c r="BUP14" s="248"/>
      <c r="BUQ14" s="248"/>
      <c r="BUR14" s="248"/>
      <c r="BUS14" s="248"/>
      <c r="BUT14" s="248"/>
      <c r="BUU14" s="248"/>
      <c r="BUV14" s="248"/>
      <c r="BUW14" s="248"/>
      <c r="BUX14" s="248"/>
      <c r="BUY14" s="248"/>
      <c r="BUZ14" s="248"/>
      <c r="BVA14" s="248"/>
      <c r="BVB14" s="248"/>
      <c r="BVC14" s="248"/>
      <c r="BVD14" s="248"/>
      <c r="BVE14" s="248"/>
      <c r="BVF14" s="248"/>
      <c r="BVG14" s="248"/>
      <c r="BVH14" s="248"/>
      <c r="BVI14" s="248"/>
      <c r="BVJ14" s="248"/>
      <c r="BVK14" s="248"/>
      <c r="BVL14" s="248"/>
      <c r="BVM14" s="248"/>
      <c r="BVN14" s="248"/>
      <c r="BVO14" s="248"/>
      <c r="BVP14" s="248"/>
      <c r="BVQ14" s="248"/>
      <c r="BVR14" s="248"/>
      <c r="BVS14" s="248"/>
      <c r="BVT14" s="248"/>
      <c r="BVU14" s="248"/>
      <c r="BVV14" s="248"/>
      <c r="BVW14" s="248"/>
      <c r="BVX14" s="248"/>
      <c r="BVY14" s="248"/>
      <c r="BVZ14" s="248"/>
      <c r="BWA14" s="248"/>
      <c r="BWB14" s="248"/>
      <c r="BWC14" s="248"/>
      <c r="BWD14" s="248"/>
      <c r="BWE14" s="248"/>
      <c r="BWF14" s="248"/>
      <c r="BWG14" s="248"/>
      <c r="BWH14" s="248"/>
      <c r="BWI14" s="248"/>
      <c r="BWJ14" s="248"/>
      <c r="BWK14" s="248"/>
      <c r="BWL14" s="248"/>
      <c r="BWM14" s="248"/>
      <c r="BWN14" s="248"/>
      <c r="BWO14" s="248"/>
      <c r="BWP14" s="248"/>
      <c r="BWQ14" s="248"/>
      <c r="BWR14" s="248"/>
      <c r="BWS14" s="248"/>
      <c r="BWT14" s="248"/>
      <c r="BWU14" s="248"/>
      <c r="BWV14" s="248"/>
      <c r="BWW14" s="248"/>
      <c r="BWX14" s="248"/>
      <c r="BWY14" s="248"/>
      <c r="BWZ14" s="248"/>
      <c r="BXA14" s="248"/>
      <c r="BXB14" s="248"/>
      <c r="BXC14" s="248"/>
      <c r="BXD14" s="248"/>
      <c r="BXE14" s="248"/>
      <c r="BXF14" s="248"/>
      <c r="BXG14" s="248"/>
      <c r="BXH14" s="248"/>
      <c r="BXI14" s="248"/>
      <c r="BXJ14" s="248"/>
      <c r="BXK14" s="248"/>
      <c r="BXL14" s="248"/>
      <c r="BXM14" s="248"/>
      <c r="BXN14" s="248"/>
      <c r="BXO14" s="248"/>
      <c r="BXP14" s="248"/>
      <c r="BXQ14" s="248"/>
      <c r="BXR14" s="248"/>
      <c r="BXS14" s="248"/>
      <c r="BXT14" s="248"/>
      <c r="BXU14" s="248"/>
      <c r="BXV14" s="248"/>
      <c r="BXW14" s="248"/>
      <c r="BXX14" s="248"/>
      <c r="BXY14" s="248"/>
      <c r="BXZ14" s="248"/>
      <c r="BYA14" s="248"/>
      <c r="BYB14" s="248"/>
      <c r="BYC14" s="248"/>
      <c r="BYD14" s="248"/>
      <c r="BYE14" s="248"/>
      <c r="BYF14" s="248"/>
      <c r="BYG14" s="248"/>
      <c r="BYH14" s="248"/>
      <c r="BYI14" s="248"/>
      <c r="BYJ14" s="248"/>
      <c r="BYK14" s="248"/>
      <c r="BYL14" s="248"/>
      <c r="BYM14" s="248"/>
      <c r="BYN14" s="248"/>
      <c r="BYO14" s="248"/>
      <c r="BYP14" s="248"/>
      <c r="BYQ14" s="248"/>
      <c r="BYR14" s="248"/>
      <c r="BYS14" s="248"/>
      <c r="BYT14" s="248"/>
      <c r="BYU14" s="248"/>
      <c r="BYV14" s="248"/>
      <c r="BYW14" s="248"/>
      <c r="BYX14" s="248"/>
      <c r="BYY14" s="248"/>
      <c r="BYZ14" s="248"/>
      <c r="BZA14" s="248"/>
      <c r="BZB14" s="248"/>
      <c r="BZC14" s="248"/>
      <c r="BZD14" s="248"/>
      <c r="BZE14" s="248"/>
      <c r="BZF14" s="248"/>
      <c r="BZG14" s="248"/>
      <c r="BZH14" s="248"/>
      <c r="BZI14" s="248"/>
      <c r="BZJ14" s="248"/>
      <c r="BZK14" s="248"/>
      <c r="BZL14" s="248"/>
      <c r="BZM14" s="248"/>
      <c r="BZN14" s="248"/>
      <c r="BZO14" s="248"/>
      <c r="BZP14" s="248"/>
      <c r="BZQ14" s="248"/>
      <c r="BZR14" s="248"/>
      <c r="BZS14" s="248"/>
      <c r="BZT14" s="248"/>
      <c r="BZU14" s="248"/>
      <c r="BZV14" s="248"/>
      <c r="BZW14" s="248"/>
      <c r="BZX14" s="248"/>
      <c r="BZY14" s="248"/>
      <c r="BZZ14" s="248"/>
      <c r="CAA14" s="248"/>
      <c r="CAB14" s="248"/>
      <c r="CAC14" s="248"/>
      <c r="CAD14" s="248"/>
      <c r="CAE14" s="248"/>
      <c r="CAF14" s="248"/>
      <c r="CAG14" s="248"/>
      <c r="CAH14" s="248"/>
      <c r="CAI14" s="248"/>
      <c r="CAJ14" s="248"/>
      <c r="CAK14" s="248"/>
      <c r="CAL14" s="248"/>
      <c r="CAM14" s="248"/>
      <c r="CAN14" s="248"/>
      <c r="CAO14" s="248"/>
      <c r="CAP14" s="248"/>
      <c r="CAQ14" s="248"/>
      <c r="CAR14" s="248"/>
      <c r="CAS14" s="248"/>
      <c r="CAT14" s="248"/>
      <c r="CAU14" s="248"/>
      <c r="CAV14" s="248"/>
      <c r="CAW14" s="248"/>
      <c r="CAX14" s="248"/>
      <c r="CAY14" s="248"/>
      <c r="CAZ14" s="248"/>
      <c r="CBA14" s="248"/>
      <c r="CBB14" s="248"/>
      <c r="CBC14" s="248"/>
      <c r="CBD14" s="248"/>
      <c r="CBE14" s="248"/>
      <c r="CBF14" s="248"/>
      <c r="CBG14" s="248"/>
      <c r="CBH14" s="248"/>
      <c r="CBI14" s="248"/>
      <c r="CBJ14" s="248"/>
      <c r="CBK14" s="248"/>
      <c r="CBL14" s="248"/>
      <c r="CBM14" s="248"/>
      <c r="CBN14" s="248"/>
      <c r="CBO14" s="248"/>
      <c r="CBP14" s="248"/>
      <c r="CBQ14" s="248"/>
      <c r="CBR14" s="248"/>
      <c r="CBS14" s="248"/>
      <c r="CBT14" s="248"/>
      <c r="CBU14" s="248"/>
      <c r="CBV14" s="248"/>
      <c r="CBW14" s="248"/>
      <c r="CBX14" s="248"/>
      <c r="CBY14" s="248"/>
      <c r="CBZ14" s="248"/>
      <c r="CCA14" s="248"/>
      <c r="CCB14" s="248"/>
      <c r="CCC14" s="248"/>
      <c r="CCD14" s="248"/>
      <c r="CCE14" s="248"/>
      <c r="CCF14" s="248"/>
      <c r="CCG14" s="248"/>
      <c r="CCH14" s="248"/>
      <c r="CCI14" s="248"/>
      <c r="CCJ14" s="248"/>
      <c r="CCK14" s="248"/>
      <c r="CCL14" s="248"/>
      <c r="CCM14" s="248"/>
      <c r="CCN14" s="248"/>
      <c r="CCO14" s="248"/>
      <c r="CCP14" s="248"/>
      <c r="CCQ14" s="248"/>
      <c r="CCR14" s="248"/>
      <c r="CCS14" s="248"/>
      <c r="CCT14" s="248"/>
      <c r="CCU14" s="248"/>
      <c r="CCV14" s="248"/>
      <c r="CCW14" s="248"/>
      <c r="VEX14" s="222"/>
      <c r="VST14" s="221"/>
      <c r="VTB14" s="221"/>
    </row>
    <row r="15" spans="1:2129 15008:15070 15386:15394" s="220" customFormat="1" ht="16.149999999999999" customHeight="1" x14ac:dyDescent="0.25">
      <c r="A15" s="236" t="s">
        <v>65</v>
      </c>
      <c r="B15" s="236">
        <v>8</v>
      </c>
      <c r="C15" s="236"/>
      <c r="D15" s="236"/>
      <c r="E15" s="236"/>
      <c r="F15" s="236"/>
      <c r="G15" s="237" t="s">
        <v>220</v>
      </c>
      <c r="H15" s="238" t="s">
        <v>241</v>
      </c>
      <c r="I15" s="238"/>
      <c r="J15" s="239"/>
      <c r="K15" s="240"/>
      <c r="L15" s="240"/>
      <c r="M15" s="241"/>
      <c r="N15" s="240">
        <v>43005</v>
      </c>
      <c r="O15" s="240">
        <v>43005</v>
      </c>
      <c r="P15" s="241">
        <v>1</v>
      </c>
      <c r="Q15" s="242">
        <v>0</v>
      </c>
      <c r="R15" s="240"/>
      <c r="S15" s="240"/>
      <c r="T15" s="241"/>
      <c r="U15" s="243"/>
      <c r="V15" s="243"/>
      <c r="W15" s="243"/>
      <c r="X15" s="244"/>
      <c r="Y15" s="245"/>
      <c r="Z15" s="245"/>
      <c r="AA15" s="246"/>
      <c r="AB15" s="245"/>
      <c r="AC15" s="247"/>
      <c r="AD15" s="247"/>
      <c r="AE15" s="247"/>
      <c r="AF15" s="247"/>
      <c r="AG15" s="247"/>
      <c r="AH15" s="247"/>
      <c r="AI15" s="247"/>
      <c r="AJ15" s="247"/>
      <c r="AK15" s="247"/>
      <c r="AL15" s="247"/>
      <c r="AM15" s="247"/>
      <c r="AN15" s="247"/>
      <c r="AO15" s="247"/>
      <c r="AP15" s="247"/>
      <c r="AQ15" s="247"/>
      <c r="AR15" s="247"/>
      <c r="AS15" s="247"/>
      <c r="AT15" s="247"/>
      <c r="AU15" s="247"/>
      <c r="AV15" s="247"/>
      <c r="AW15" s="247"/>
      <c r="AX15" s="247"/>
      <c r="AY15" s="247"/>
      <c r="AZ15" s="247"/>
      <c r="BA15" s="247"/>
      <c r="BB15" s="247"/>
      <c r="BC15" s="247"/>
      <c r="BD15" s="247"/>
      <c r="BE15" s="247"/>
      <c r="BF15" s="247"/>
      <c r="BG15" s="247"/>
      <c r="BH15" s="247"/>
      <c r="BI15" s="247"/>
      <c r="BJ15" s="247"/>
      <c r="BK15" s="247"/>
      <c r="BL15" s="247"/>
      <c r="BM15" s="247"/>
      <c r="BN15" s="247"/>
      <c r="BO15" s="247"/>
      <c r="BP15" s="247"/>
      <c r="BQ15" s="247"/>
      <c r="BR15" s="247"/>
      <c r="BS15" s="247"/>
      <c r="BT15" s="247"/>
      <c r="BU15" s="247"/>
      <c r="BV15" s="247"/>
      <c r="BW15" s="247"/>
      <c r="BX15" s="247"/>
      <c r="BY15" s="247"/>
      <c r="BZ15" s="247"/>
      <c r="CA15" s="247"/>
      <c r="CB15" s="247"/>
      <c r="CC15" s="247"/>
      <c r="CD15" s="247"/>
      <c r="CE15" s="247"/>
      <c r="CF15" s="247"/>
      <c r="CG15" s="248"/>
      <c r="CH15" s="248"/>
      <c r="CI15" s="248"/>
      <c r="CJ15" s="248"/>
      <c r="CK15" s="248"/>
      <c r="CL15" s="248"/>
      <c r="CM15" s="248"/>
      <c r="CN15" s="248"/>
      <c r="CO15" s="248"/>
      <c r="CP15" s="248"/>
      <c r="CQ15" s="248"/>
      <c r="CR15" s="248"/>
      <c r="CS15" s="248"/>
      <c r="CT15" s="248"/>
      <c r="CU15" s="248"/>
      <c r="CV15" s="248"/>
      <c r="CW15" s="248"/>
      <c r="CX15" s="248"/>
      <c r="CY15" s="248"/>
      <c r="CZ15" s="248"/>
      <c r="DA15" s="248"/>
      <c r="DB15" s="248"/>
      <c r="DC15" s="248"/>
      <c r="DD15" s="248"/>
      <c r="DE15" s="248"/>
      <c r="DF15" s="248"/>
      <c r="DG15" s="248"/>
      <c r="DH15" s="248"/>
      <c r="DI15" s="248"/>
      <c r="DJ15" s="248"/>
      <c r="DK15" s="248"/>
      <c r="DL15" s="248"/>
      <c r="DM15" s="248"/>
      <c r="DN15" s="248"/>
      <c r="DO15" s="248"/>
      <c r="DP15" s="248"/>
      <c r="DQ15" s="248"/>
      <c r="DR15" s="248"/>
      <c r="DS15" s="248"/>
      <c r="DT15" s="248"/>
      <c r="DU15" s="248"/>
      <c r="DV15" s="248"/>
      <c r="DW15" s="248"/>
      <c r="DX15" s="248"/>
      <c r="DY15" s="248"/>
      <c r="DZ15" s="248"/>
      <c r="EA15" s="248"/>
      <c r="EB15" s="248"/>
      <c r="EC15" s="248"/>
      <c r="ED15" s="248"/>
      <c r="EE15" s="248"/>
      <c r="EF15" s="248"/>
      <c r="EG15" s="248"/>
      <c r="EH15" s="248"/>
      <c r="EI15" s="248"/>
      <c r="EJ15" s="248"/>
      <c r="EK15" s="248"/>
      <c r="EL15" s="248"/>
      <c r="EM15" s="248"/>
      <c r="EN15" s="248"/>
      <c r="EO15" s="248"/>
      <c r="EP15" s="248"/>
      <c r="EQ15" s="248"/>
      <c r="ER15" s="248"/>
      <c r="ES15" s="248"/>
      <c r="ET15" s="248"/>
      <c r="EU15" s="248"/>
      <c r="EV15" s="248"/>
      <c r="EW15" s="248"/>
      <c r="EX15" s="248"/>
      <c r="EY15" s="248"/>
      <c r="EZ15" s="248"/>
      <c r="FA15" s="248"/>
      <c r="FB15" s="248"/>
      <c r="FC15" s="248"/>
      <c r="FD15" s="248"/>
      <c r="FE15" s="248"/>
      <c r="FF15" s="248"/>
      <c r="FG15" s="248"/>
      <c r="FH15" s="248"/>
      <c r="FI15" s="248"/>
      <c r="FJ15" s="248"/>
      <c r="FK15" s="248"/>
      <c r="FL15" s="248"/>
      <c r="FM15" s="248"/>
      <c r="FN15" s="248"/>
      <c r="FO15" s="248"/>
      <c r="FP15" s="248"/>
      <c r="FQ15" s="248"/>
      <c r="FR15" s="248"/>
      <c r="FS15" s="248"/>
      <c r="FT15" s="248"/>
      <c r="FU15" s="248"/>
      <c r="FV15" s="248"/>
      <c r="FW15" s="248"/>
      <c r="FX15" s="248"/>
      <c r="FY15" s="248"/>
      <c r="FZ15" s="248"/>
      <c r="GA15" s="248"/>
      <c r="GB15" s="248"/>
      <c r="GC15" s="248"/>
      <c r="GD15" s="248"/>
      <c r="GE15" s="248"/>
      <c r="GF15" s="248"/>
      <c r="GG15" s="248"/>
      <c r="GH15" s="248"/>
      <c r="GI15" s="248"/>
      <c r="GJ15" s="248"/>
      <c r="GK15" s="248"/>
      <c r="GL15" s="248"/>
      <c r="GM15" s="248"/>
      <c r="GN15" s="248"/>
      <c r="GO15" s="248"/>
      <c r="GP15" s="248"/>
      <c r="GQ15" s="248"/>
      <c r="GR15" s="248"/>
      <c r="GS15" s="248"/>
      <c r="GT15" s="248"/>
      <c r="GU15" s="248"/>
      <c r="GV15" s="248"/>
      <c r="GW15" s="248"/>
      <c r="GX15" s="248"/>
      <c r="GY15" s="248"/>
      <c r="GZ15" s="248"/>
      <c r="HA15" s="248"/>
      <c r="HB15" s="248"/>
      <c r="HC15" s="248"/>
      <c r="HD15" s="248"/>
      <c r="HE15" s="248"/>
      <c r="HF15" s="248"/>
      <c r="HG15" s="248"/>
      <c r="HH15" s="248"/>
      <c r="HI15" s="248"/>
      <c r="HJ15" s="248"/>
      <c r="HK15" s="248"/>
      <c r="HL15" s="248"/>
      <c r="HM15" s="248"/>
      <c r="HN15" s="248"/>
      <c r="HO15" s="248"/>
      <c r="HP15" s="248"/>
      <c r="HQ15" s="248"/>
      <c r="HR15" s="248"/>
      <c r="HS15" s="248"/>
      <c r="HT15" s="248"/>
      <c r="HU15" s="248"/>
      <c r="HV15" s="248"/>
      <c r="HW15" s="248"/>
      <c r="HX15" s="248"/>
      <c r="HY15" s="248"/>
      <c r="HZ15" s="248"/>
      <c r="IA15" s="248"/>
      <c r="IB15" s="248"/>
      <c r="IC15" s="248"/>
      <c r="ID15" s="248"/>
      <c r="IE15" s="248"/>
      <c r="IF15" s="248"/>
      <c r="IG15" s="248"/>
      <c r="IH15" s="248"/>
      <c r="II15" s="248"/>
      <c r="IJ15" s="248"/>
      <c r="IK15" s="248"/>
      <c r="IL15" s="248"/>
      <c r="IM15" s="248"/>
      <c r="IN15" s="248"/>
      <c r="IO15" s="248"/>
      <c r="IP15" s="248"/>
      <c r="IQ15" s="248"/>
      <c r="IR15" s="248"/>
      <c r="IS15" s="248"/>
      <c r="IT15" s="248"/>
      <c r="IU15" s="248"/>
      <c r="IV15" s="248"/>
      <c r="IW15" s="248"/>
      <c r="IX15" s="248"/>
      <c r="IY15" s="248"/>
      <c r="IZ15" s="248"/>
      <c r="JA15" s="248"/>
      <c r="JB15" s="248"/>
      <c r="JC15" s="248"/>
      <c r="JD15" s="248"/>
      <c r="JE15" s="248"/>
      <c r="JF15" s="248"/>
      <c r="JG15" s="248"/>
      <c r="JH15" s="248"/>
      <c r="JI15" s="248"/>
      <c r="JJ15" s="248"/>
      <c r="JK15" s="248"/>
      <c r="JL15" s="248"/>
      <c r="JM15" s="248"/>
      <c r="JN15" s="248"/>
      <c r="JO15" s="248"/>
      <c r="JP15" s="248"/>
      <c r="JQ15" s="248"/>
      <c r="JR15" s="248"/>
      <c r="JS15" s="248"/>
      <c r="JT15" s="248"/>
      <c r="JU15" s="248"/>
      <c r="JV15" s="248"/>
      <c r="JW15" s="248"/>
      <c r="JX15" s="248"/>
      <c r="JY15" s="248"/>
      <c r="JZ15" s="248"/>
      <c r="KA15" s="248"/>
      <c r="KB15" s="248"/>
      <c r="KC15" s="248"/>
      <c r="KD15" s="248"/>
      <c r="KE15" s="248"/>
      <c r="KF15" s="248"/>
      <c r="KG15" s="248"/>
      <c r="KH15" s="248"/>
      <c r="KI15" s="248"/>
      <c r="KJ15" s="248"/>
      <c r="KK15" s="248"/>
      <c r="KL15" s="248"/>
      <c r="KM15" s="248"/>
      <c r="KN15" s="248"/>
      <c r="KO15" s="248"/>
      <c r="KP15" s="248"/>
      <c r="KQ15" s="248"/>
      <c r="KR15" s="248"/>
      <c r="KS15" s="248"/>
      <c r="KT15" s="248"/>
      <c r="KU15" s="248"/>
      <c r="KV15" s="248"/>
      <c r="KW15" s="248"/>
      <c r="KX15" s="248"/>
      <c r="KY15" s="248"/>
      <c r="KZ15" s="248"/>
      <c r="LA15" s="248"/>
      <c r="LB15" s="248"/>
      <c r="LC15" s="248"/>
      <c r="LD15" s="248"/>
      <c r="LE15" s="248"/>
      <c r="LF15" s="248"/>
      <c r="LG15" s="248"/>
      <c r="LH15" s="248"/>
      <c r="LI15" s="248"/>
      <c r="LJ15" s="248"/>
      <c r="LK15" s="248"/>
      <c r="LL15" s="248"/>
      <c r="LM15" s="248"/>
      <c r="LN15" s="248"/>
      <c r="LO15" s="248"/>
      <c r="LP15" s="248"/>
      <c r="LQ15" s="248"/>
      <c r="LR15" s="248"/>
      <c r="LS15" s="248"/>
      <c r="LT15" s="248"/>
      <c r="LU15" s="248"/>
      <c r="LV15" s="248"/>
      <c r="LW15" s="248"/>
      <c r="LX15" s="248"/>
      <c r="LY15" s="248"/>
      <c r="LZ15" s="248"/>
      <c r="MA15" s="248"/>
      <c r="MB15" s="248"/>
      <c r="MC15" s="248"/>
      <c r="MD15" s="248"/>
      <c r="ME15" s="248"/>
      <c r="MF15" s="248"/>
      <c r="MG15" s="248"/>
      <c r="MH15" s="248"/>
      <c r="MI15" s="248"/>
      <c r="MJ15" s="248"/>
      <c r="MK15" s="248"/>
      <c r="ML15" s="248"/>
      <c r="MM15" s="248"/>
      <c r="MN15" s="248"/>
      <c r="MO15" s="248"/>
      <c r="MP15" s="248"/>
      <c r="MQ15" s="248"/>
      <c r="MR15" s="248"/>
      <c r="MS15" s="248"/>
      <c r="MT15" s="248"/>
      <c r="MU15" s="248"/>
      <c r="MV15" s="249"/>
      <c r="MW15" s="248"/>
      <c r="MX15" s="248"/>
      <c r="MY15" s="248"/>
      <c r="MZ15" s="248"/>
      <c r="NA15" s="248"/>
      <c r="NB15" s="248"/>
      <c r="NC15" s="248"/>
      <c r="ND15" s="248"/>
      <c r="NE15" s="248"/>
      <c r="NF15" s="248"/>
      <c r="NG15" s="248"/>
      <c r="NH15" s="248"/>
      <c r="NI15" s="248"/>
      <c r="NJ15" s="248"/>
      <c r="NK15" s="248"/>
      <c r="NL15" s="248"/>
      <c r="NM15" s="248"/>
      <c r="NN15" s="248"/>
      <c r="NO15" s="248"/>
      <c r="NP15" s="248"/>
      <c r="NQ15" s="248"/>
      <c r="NR15" s="248"/>
      <c r="NS15" s="248"/>
      <c r="NT15" s="248"/>
      <c r="NU15" s="248"/>
      <c r="NV15" s="248"/>
      <c r="NW15" s="248"/>
      <c r="NX15" s="248"/>
      <c r="NY15" s="248"/>
      <c r="NZ15" s="248"/>
      <c r="OA15" s="248"/>
      <c r="OB15" s="248"/>
      <c r="OC15" s="248"/>
      <c r="OD15" s="248"/>
      <c r="OE15" s="248"/>
      <c r="OF15" s="248"/>
      <c r="OG15" s="248"/>
      <c r="OH15" s="248"/>
      <c r="OI15" s="248"/>
      <c r="OJ15" s="248"/>
      <c r="OK15" s="248"/>
      <c r="OL15" s="248"/>
      <c r="OM15" s="248"/>
      <c r="ON15" s="248"/>
      <c r="OO15" s="248"/>
      <c r="OP15" s="248"/>
      <c r="OQ15" s="248"/>
      <c r="OR15" s="248"/>
      <c r="OS15" s="248"/>
      <c r="OT15" s="248"/>
      <c r="OU15" s="248"/>
      <c r="OV15" s="248"/>
      <c r="OW15" s="248"/>
      <c r="OX15" s="248"/>
      <c r="OY15" s="248"/>
      <c r="OZ15" s="248"/>
      <c r="PA15" s="248"/>
      <c r="PB15" s="248"/>
      <c r="PC15" s="248"/>
      <c r="PD15" s="248"/>
      <c r="PE15" s="248"/>
      <c r="PF15" s="248"/>
      <c r="PG15" s="248"/>
      <c r="PH15" s="248"/>
      <c r="PI15" s="248"/>
      <c r="PJ15" s="248"/>
      <c r="PK15" s="248"/>
      <c r="PL15" s="248"/>
      <c r="PM15" s="248"/>
      <c r="PN15" s="248"/>
      <c r="PO15" s="248"/>
      <c r="PP15" s="248"/>
      <c r="PQ15" s="248"/>
      <c r="PR15" s="248"/>
      <c r="PS15" s="248"/>
      <c r="PT15" s="248"/>
      <c r="PU15" s="248"/>
      <c r="PV15" s="248"/>
      <c r="PW15" s="248"/>
      <c r="PX15" s="248"/>
      <c r="PY15" s="248"/>
      <c r="PZ15" s="248"/>
      <c r="QA15" s="248"/>
      <c r="QB15" s="248"/>
      <c r="QC15" s="248"/>
      <c r="QD15" s="248"/>
      <c r="QE15" s="248"/>
      <c r="QF15" s="248"/>
      <c r="QG15" s="248"/>
      <c r="QH15" s="248"/>
      <c r="QI15" s="248"/>
      <c r="QJ15" s="248"/>
      <c r="QK15" s="248"/>
      <c r="QL15" s="248"/>
      <c r="QM15" s="248"/>
      <c r="QN15" s="248"/>
      <c r="QO15" s="248"/>
      <c r="QP15" s="248"/>
      <c r="QQ15" s="248"/>
      <c r="QR15" s="248"/>
      <c r="QS15" s="248"/>
      <c r="QT15" s="248"/>
      <c r="QU15" s="248"/>
      <c r="QV15" s="248"/>
      <c r="QW15" s="248"/>
      <c r="QX15" s="248"/>
      <c r="QY15" s="248"/>
      <c r="QZ15" s="248"/>
      <c r="RA15" s="248"/>
      <c r="RB15" s="248"/>
      <c r="RC15" s="248"/>
      <c r="RD15" s="248"/>
      <c r="RE15" s="248"/>
      <c r="RF15" s="248"/>
      <c r="RG15" s="248"/>
      <c r="RH15" s="248"/>
      <c r="RI15" s="248"/>
      <c r="RJ15" s="248"/>
      <c r="RK15" s="248"/>
      <c r="RL15" s="248"/>
      <c r="RM15" s="248"/>
      <c r="RN15" s="248"/>
      <c r="RO15" s="248"/>
      <c r="RP15" s="248"/>
      <c r="RQ15" s="248"/>
      <c r="RR15" s="248"/>
      <c r="RS15" s="248"/>
      <c r="RT15" s="248"/>
      <c r="RU15" s="248"/>
      <c r="RV15" s="248"/>
      <c r="RW15" s="248"/>
      <c r="RX15" s="248"/>
      <c r="RY15" s="248"/>
      <c r="RZ15" s="248"/>
      <c r="SA15" s="248"/>
      <c r="SB15" s="248"/>
      <c r="SC15" s="248"/>
      <c r="SD15" s="248"/>
      <c r="SE15" s="248"/>
      <c r="SF15" s="248"/>
      <c r="SG15" s="248"/>
      <c r="SH15" s="248"/>
      <c r="SI15" s="248"/>
      <c r="SJ15" s="248"/>
      <c r="SK15" s="248"/>
      <c r="SL15" s="248"/>
      <c r="SM15" s="248"/>
      <c r="SN15" s="248"/>
      <c r="SO15" s="248"/>
      <c r="SP15" s="248"/>
      <c r="SQ15" s="248"/>
      <c r="SR15" s="248"/>
      <c r="SS15" s="248"/>
      <c r="ST15" s="248"/>
      <c r="SU15" s="248"/>
      <c r="SV15" s="248"/>
      <c r="SW15" s="248"/>
      <c r="SX15" s="248"/>
      <c r="SY15" s="248"/>
      <c r="SZ15" s="248"/>
      <c r="TA15" s="248"/>
      <c r="TB15" s="248"/>
      <c r="TC15" s="248"/>
      <c r="TD15" s="248"/>
      <c r="TE15" s="248"/>
      <c r="TF15" s="248"/>
      <c r="TG15" s="248"/>
      <c r="TH15" s="248"/>
      <c r="TI15" s="248"/>
      <c r="TJ15" s="248"/>
      <c r="TK15" s="248"/>
      <c r="TL15" s="248"/>
      <c r="TM15" s="248"/>
      <c r="TN15" s="248"/>
      <c r="TO15" s="248"/>
      <c r="TP15" s="248"/>
      <c r="TQ15" s="248"/>
      <c r="TR15" s="248"/>
      <c r="TS15" s="248"/>
      <c r="TT15" s="248"/>
      <c r="TU15" s="248"/>
      <c r="TV15" s="248"/>
      <c r="TW15" s="248"/>
      <c r="TX15" s="248"/>
      <c r="TY15" s="248"/>
      <c r="TZ15" s="248"/>
      <c r="UA15" s="248"/>
      <c r="UB15" s="248"/>
      <c r="UC15" s="248"/>
      <c r="UD15" s="248"/>
      <c r="UE15" s="248"/>
      <c r="UF15" s="248"/>
      <c r="UG15" s="248"/>
      <c r="UH15" s="248"/>
      <c r="UI15" s="248"/>
      <c r="UJ15" s="248"/>
      <c r="UK15" s="248"/>
      <c r="UL15" s="248"/>
      <c r="UM15" s="248"/>
      <c r="UN15" s="248"/>
      <c r="UO15" s="248"/>
      <c r="UP15" s="248"/>
      <c r="UQ15" s="248"/>
      <c r="UR15" s="248"/>
      <c r="US15" s="248"/>
      <c r="UT15" s="248"/>
      <c r="UU15" s="248"/>
      <c r="UV15" s="248"/>
      <c r="UW15" s="248"/>
      <c r="UX15" s="248"/>
      <c r="UY15" s="248"/>
      <c r="UZ15" s="248"/>
      <c r="VA15" s="248"/>
      <c r="VB15" s="248"/>
      <c r="VC15" s="248"/>
      <c r="VD15" s="248"/>
      <c r="VE15" s="248"/>
      <c r="VF15" s="248"/>
      <c r="VG15" s="248"/>
      <c r="VH15" s="248"/>
      <c r="VI15" s="248"/>
      <c r="VJ15" s="248"/>
      <c r="VK15" s="248"/>
      <c r="VL15" s="248"/>
      <c r="VM15" s="248"/>
      <c r="VN15" s="248"/>
      <c r="VO15" s="248"/>
      <c r="VP15" s="248"/>
      <c r="VQ15" s="248"/>
      <c r="VR15" s="248"/>
      <c r="VS15" s="248"/>
      <c r="VT15" s="248"/>
      <c r="VU15" s="248"/>
      <c r="VV15" s="248"/>
      <c r="VW15" s="248"/>
      <c r="VX15" s="248"/>
      <c r="VY15" s="248"/>
      <c r="VZ15" s="248"/>
      <c r="WA15" s="248"/>
      <c r="WB15" s="248"/>
      <c r="WC15" s="248"/>
      <c r="WD15" s="248"/>
      <c r="WE15" s="248"/>
      <c r="WF15" s="248"/>
      <c r="WG15" s="248"/>
      <c r="WH15" s="248"/>
      <c r="WI15" s="248"/>
      <c r="WJ15" s="248"/>
      <c r="WK15" s="248"/>
      <c r="WL15" s="248"/>
      <c r="WM15" s="248"/>
      <c r="WN15" s="248"/>
      <c r="WO15" s="248"/>
      <c r="WP15" s="248"/>
      <c r="WQ15" s="248"/>
      <c r="WR15" s="248"/>
      <c r="WS15" s="248"/>
      <c r="WT15" s="248"/>
      <c r="WU15" s="248"/>
      <c r="WV15" s="248"/>
      <c r="WW15" s="248"/>
      <c r="WX15" s="248"/>
      <c r="WY15" s="248"/>
      <c r="WZ15" s="248"/>
      <c r="XA15" s="248"/>
      <c r="XB15" s="248"/>
      <c r="XC15" s="248"/>
      <c r="XD15" s="248"/>
      <c r="XE15" s="248"/>
      <c r="XF15" s="248"/>
      <c r="XG15" s="248"/>
      <c r="XH15" s="248"/>
      <c r="XI15" s="248"/>
      <c r="XJ15" s="248"/>
      <c r="XK15" s="248"/>
      <c r="XL15" s="248"/>
      <c r="XM15" s="248"/>
      <c r="XN15" s="248"/>
      <c r="XO15" s="248"/>
      <c r="XP15" s="248"/>
      <c r="XQ15" s="248"/>
      <c r="XR15" s="248"/>
      <c r="XS15" s="248"/>
      <c r="XT15" s="248"/>
      <c r="XU15" s="248"/>
      <c r="XV15" s="248"/>
      <c r="XW15" s="248"/>
      <c r="XX15" s="248"/>
      <c r="XY15" s="248"/>
      <c r="XZ15" s="248"/>
      <c r="YA15" s="248"/>
      <c r="YB15" s="248"/>
      <c r="YC15" s="248"/>
      <c r="YD15" s="248"/>
      <c r="YE15" s="248"/>
      <c r="YF15" s="248"/>
      <c r="YG15" s="248"/>
      <c r="YH15" s="248"/>
      <c r="YI15" s="248"/>
      <c r="YJ15" s="248"/>
      <c r="YK15" s="248"/>
      <c r="YL15" s="248"/>
      <c r="YM15" s="248"/>
      <c r="YN15" s="248"/>
      <c r="YO15" s="248"/>
      <c r="YP15" s="248"/>
      <c r="YQ15" s="248"/>
      <c r="YR15" s="248"/>
      <c r="YS15" s="248"/>
      <c r="YT15" s="248"/>
      <c r="YU15" s="248"/>
      <c r="YV15" s="248"/>
      <c r="YW15" s="248"/>
      <c r="YX15" s="248"/>
      <c r="YY15" s="248"/>
      <c r="YZ15" s="248"/>
      <c r="ZA15" s="248"/>
      <c r="ZB15" s="248"/>
      <c r="ZC15" s="248"/>
      <c r="ZD15" s="248"/>
      <c r="ZE15" s="248"/>
      <c r="ZF15" s="248"/>
      <c r="ZG15" s="248"/>
      <c r="ZH15" s="248"/>
      <c r="ZI15" s="248"/>
      <c r="ZJ15" s="248"/>
      <c r="ZK15" s="248"/>
      <c r="ZL15" s="248"/>
      <c r="ZM15" s="248"/>
      <c r="ZN15" s="248"/>
      <c r="ZO15" s="248"/>
      <c r="ZP15" s="248"/>
      <c r="ZQ15" s="248"/>
      <c r="ZR15" s="248"/>
      <c r="ZS15" s="248"/>
      <c r="ZT15" s="248"/>
      <c r="ZU15" s="248"/>
      <c r="ZV15" s="248"/>
      <c r="ZW15" s="248"/>
      <c r="ZX15" s="248"/>
      <c r="ZY15" s="248"/>
      <c r="ZZ15" s="248"/>
      <c r="AAA15" s="248"/>
      <c r="AAB15" s="248"/>
      <c r="AAC15" s="248"/>
      <c r="AAD15" s="248"/>
      <c r="AAE15" s="248"/>
      <c r="AAF15" s="248"/>
      <c r="AAG15" s="248"/>
      <c r="AAH15" s="248"/>
      <c r="AAI15" s="248"/>
      <c r="AAJ15" s="248"/>
      <c r="AAK15" s="248"/>
      <c r="AAL15" s="248"/>
      <c r="AAM15" s="248"/>
      <c r="AAN15" s="248"/>
      <c r="AAO15" s="248"/>
      <c r="AAP15" s="248"/>
      <c r="AAQ15" s="248"/>
      <c r="AAR15" s="248"/>
      <c r="AAS15" s="248"/>
      <c r="AAT15" s="248"/>
      <c r="AAU15" s="248"/>
      <c r="AAV15" s="248"/>
      <c r="AAW15" s="248"/>
      <c r="AAX15" s="248"/>
      <c r="AAY15" s="248"/>
      <c r="AAZ15" s="248"/>
      <c r="ABA15" s="248"/>
      <c r="ABB15" s="248"/>
      <c r="ABC15" s="248"/>
      <c r="ABD15" s="248"/>
      <c r="ABE15" s="248"/>
      <c r="ABF15" s="248"/>
      <c r="ABG15" s="248"/>
      <c r="ABH15" s="248"/>
      <c r="ABI15" s="248"/>
      <c r="ABJ15" s="248"/>
      <c r="ABK15" s="248"/>
      <c r="ABL15" s="248"/>
      <c r="ABM15" s="248"/>
      <c r="ABN15" s="248"/>
      <c r="ABO15" s="248"/>
      <c r="ABP15" s="248"/>
      <c r="ABQ15" s="248"/>
      <c r="ABR15" s="248"/>
      <c r="ABS15" s="248"/>
      <c r="ABT15" s="248"/>
      <c r="ABU15" s="248"/>
      <c r="ABV15" s="248"/>
      <c r="ABW15" s="248"/>
      <c r="ABX15" s="248"/>
      <c r="ABY15" s="248"/>
      <c r="ABZ15" s="248"/>
      <c r="ACA15" s="248"/>
      <c r="ACB15" s="248"/>
      <c r="ACC15" s="248"/>
      <c r="ACD15" s="248"/>
      <c r="ACE15" s="248"/>
      <c r="ACF15" s="248"/>
      <c r="ACG15" s="248"/>
      <c r="ACH15" s="248"/>
      <c r="ACI15" s="248"/>
      <c r="ACJ15" s="248"/>
      <c r="ACK15" s="248"/>
      <c r="ACL15" s="248"/>
      <c r="ACM15" s="248"/>
      <c r="ACN15" s="248"/>
      <c r="ACO15" s="248"/>
      <c r="ACP15" s="248"/>
      <c r="ACQ15" s="248"/>
      <c r="ACR15" s="248"/>
      <c r="ACS15" s="248"/>
      <c r="ACT15" s="248"/>
      <c r="ACU15" s="248"/>
      <c r="ACV15" s="248"/>
      <c r="ACW15" s="248"/>
      <c r="ACX15" s="248"/>
      <c r="ACY15" s="248"/>
      <c r="ACZ15" s="248"/>
      <c r="ADA15" s="248"/>
      <c r="ADB15" s="248"/>
      <c r="ADC15" s="248"/>
      <c r="ADD15" s="248"/>
      <c r="ADE15" s="248"/>
      <c r="ADF15" s="248"/>
      <c r="ADG15" s="248"/>
      <c r="ADH15" s="248"/>
      <c r="ADI15" s="248"/>
      <c r="ADJ15" s="248"/>
      <c r="ADK15" s="248"/>
      <c r="ADL15" s="248"/>
      <c r="ADM15" s="248"/>
      <c r="ADN15" s="248"/>
      <c r="ADO15" s="248"/>
      <c r="ADP15" s="248"/>
      <c r="ADQ15" s="248"/>
      <c r="ADR15" s="248"/>
      <c r="ADS15" s="248"/>
      <c r="ADT15" s="248"/>
      <c r="ADU15" s="248"/>
      <c r="ADV15" s="248"/>
      <c r="ADW15" s="248"/>
      <c r="ADX15" s="248"/>
      <c r="ADY15" s="248"/>
      <c r="ADZ15" s="248"/>
      <c r="AEA15" s="248"/>
      <c r="AEB15" s="248"/>
      <c r="AEC15" s="248"/>
      <c r="AED15" s="248"/>
      <c r="AEE15" s="248"/>
      <c r="AEF15" s="248"/>
      <c r="AEG15" s="248"/>
      <c r="AEH15" s="248"/>
      <c r="AEI15" s="248"/>
      <c r="AEJ15" s="248"/>
      <c r="AEK15" s="248"/>
      <c r="AEL15" s="248"/>
      <c r="AEM15" s="248"/>
      <c r="AEN15" s="248"/>
      <c r="AEO15" s="248"/>
      <c r="AEP15" s="248"/>
      <c r="AEQ15" s="248"/>
      <c r="AER15" s="248"/>
      <c r="AES15" s="248"/>
      <c r="AET15" s="248"/>
      <c r="AEU15" s="248"/>
      <c r="AEV15" s="248"/>
      <c r="AEW15" s="248"/>
      <c r="AEX15" s="248"/>
      <c r="AEY15" s="248"/>
      <c r="AEZ15" s="248"/>
      <c r="AFA15" s="248"/>
      <c r="AFB15" s="248"/>
      <c r="AFC15" s="248"/>
      <c r="AFD15" s="248"/>
      <c r="AFE15" s="248"/>
      <c r="AFF15" s="248"/>
      <c r="AFG15" s="248"/>
      <c r="AFH15" s="248"/>
      <c r="AFI15" s="248"/>
      <c r="AFJ15" s="248"/>
      <c r="AFK15" s="248"/>
      <c r="AFL15" s="248"/>
      <c r="AFM15" s="248"/>
      <c r="AFN15" s="248"/>
      <c r="AFO15" s="248"/>
      <c r="AFP15" s="248"/>
      <c r="AFQ15" s="248"/>
      <c r="AFR15" s="248"/>
      <c r="AFS15" s="248"/>
      <c r="AFT15" s="248"/>
      <c r="AFU15" s="248"/>
      <c r="AFV15" s="248"/>
      <c r="AFW15" s="248"/>
      <c r="AFX15" s="248"/>
      <c r="AFY15" s="248"/>
      <c r="AFZ15" s="248"/>
      <c r="AGA15" s="248"/>
      <c r="AGB15" s="248"/>
      <c r="AGC15" s="248"/>
      <c r="AGD15" s="248"/>
      <c r="AGE15" s="248"/>
      <c r="AGF15" s="248"/>
      <c r="AGG15" s="248"/>
      <c r="AGH15" s="248"/>
      <c r="AGI15" s="248"/>
      <c r="AGJ15" s="248"/>
      <c r="AGK15" s="248"/>
      <c r="AGL15" s="248"/>
      <c r="AGM15" s="248"/>
      <c r="AGN15" s="248"/>
      <c r="AGO15" s="248"/>
      <c r="AGP15" s="248"/>
      <c r="AGQ15" s="248"/>
      <c r="AGR15" s="248"/>
      <c r="AGS15" s="248"/>
      <c r="AGT15" s="248"/>
      <c r="AGU15" s="248"/>
      <c r="AGV15" s="248"/>
      <c r="AGW15" s="248"/>
      <c r="AGX15" s="248"/>
      <c r="AGY15" s="248"/>
      <c r="AGZ15" s="248"/>
      <c r="AHA15" s="248"/>
      <c r="AHB15" s="248"/>
      <c r="AHC15" s="248"/>
      <c r="AHD15" s="248"/>
      <c r="AHE15" s="248"/>
      <c r="AHF15" s="248"/>
      <c r="AHG15" s="248"/>
      <c r="AHH15" s="248"/>
      <c r="AHI15" s="248"/>
      <c r="AHJ15" s="248"/>
      <c r="AHK15" s="248"/>
      <c r="AHL15" s="248"/>
      <c r="AHM15" s="248"/>
      <c r="AHN15" s="248"/>
      <c r="AHO15" s="248"/>
      <c r="AHP15" s="248"/>
      <c r="AHQ15" s="248"/>
      <c r="AHR15" s="248"/>
      <c r="AHS15" s="248"/>
      <c r="AHT15" s="248"/>
      <c r="AHU15" s="248"/>
      <c r="AHV15" s="248"/>
      <c r="AHW15" s="248"/>
      <c r="AHX15" s="248"/>
      <c r="AHY15" s="248"/>
      <c r="AHZ15" s="248"/>
      <c r="AIA15" s="248"/>
      <c r="AIB15" s="248"/>
      <c r="AIC15" s="248"/>
      <c r="AID15" s="248"/>
      <c r="AIE15" s="248"/>
      <c r="AIF15" s="248"/>
      <c r="AIG15" s="248"/>
      <c r="AIH15" s="248"/>
      <c r="AII15" s="248"/>
      <c r="AIJ15" s="248"/>
      <c r="AIK15" s="248"/>
      <c r="AIL15" s="248"/>
      <c r="AIM15" s="248"/>
      <c r="AIN15" s="248"/>
      <c r="AIO15" s="248"/>
      <c r="AIP15" s="248"/>
      <c r="AIQ15" s="248"/>
      <c r="AIR15" s="248"/>
      <c r="AIS15" s="248"/>
      <c r="AIT15" s="248"/>
      <c r="AIU15" s="248"/>
      <c r="AIV15" s="248"/>
      <c r="AIW15" s="248"/>
      <c r="AIX15" s="248"/>
      <c r="AIY15" s="248"/>
      <c r="AIZ15" s="248"/>
      <c r="AJA15" s="248"/>
      <c r="AJB15" s="248"/>
      <c r="AJC15" s="248"/>
      <c r="AJD15" s="248"/>
      <c r="AJE15" s="248"/>
      <c r="AJF15" s="248"/>
      <c r="AJG15" s="248"/>
      <c r="AJH15" s="248"/>
      <c r="AJI15" s="248"/>
      <c r="AJJ15" s="248"/>
      <c r="AJK15" s="248"/>
      <c r="AJL15" s="248"/>
      <c r="AJM15" s="248"/>
      <c r="AJN15" s="248"/>
      <c r="AJO15" s="248"/>
      <c r="AJP15" s="248"/>
      <c r="AJQ15" s="248"/>
      <c r="AJR15" s="248"/>
      <c r="AJS15" s="248"/>
      <c r="AJT15" s="248"/>
      <c r="AJU15" s="248"/>
      <c r="AJV15" s="248"/>
      <c r="AJW15" s="248"/>
      <c r="AJX15" s="248"/>
      <c r="AJY15" s="248"/>
      <c r="AJZ15" s="248"/>
      <c r="AKA15" s="248"/>
      <c r="AKB15" s="248"/>
      <c r="AKC15" s="248"/>
      <c r="AKD15" s="248"/>
      <c r="AKE15" s="248"/>
      <c r="AKF15" s="248"/>
      <c r="AKG15" s="248"/>
      <c r="AKH15" s="248"/>
      <c r="AKI15" s="248"/>
      <c r="AKJ15" s="248"/>
      <c r="AKK15" s="248"/>
      <c r="AKL15" s="248"/>
      <c r="AKM15" s="248"/>
      <c r="AKN15" s="248"/>
      <c r="AKO15" s="248"/>
      <c r="AKP15" s="248"/>
      <c r="AKQ15" s="248"/>
      <c r="AKR15" s="248"/>
      <c r="AKS15" s="248"/>
      <c r="AKT15" s="248"/>
      <c r="AKU15" s="248"/>
      <c r="AKV15" s="248"/>
      <c r="AKW15" s="248"/>
      <c r="AKX15" s="248"/>
      <c r="AKY15" s="248"/>
      <c r="AKZ15" s="248"/>
      <c r="ALA15" s="248"/>
      <c r="ALB15" s="248"/>
      <c r="ALC15" s="248"/>
      <c r="ALD15" s="248"/>
      <c r="ALE15" s="248"/>
      <c r="ALF15" s="248"/>
      <c r="ALG15" s="248"/>
      <c r="ALH15" s="248"/>
      <c r="ALI15" s="248"/>
      <c r="ALJ15" s="248"/>
      <c r="ALK15" s="248"/>
      <c r="ALL15" s="248"/>
      <c r="ALM15" s="248"/>
      <c r="ALN15" s="248"/>
      <c r="ALO15" s="248"/>
      <c r="ALP15" s="248"/>
      <c r="ALQ15" s="248"/>
      <c r="ALR15" s="248"/>
      <c r="ALS15" s="248"/>
      <c r="ALT15" s="248"/>
      <c r="ALU15" s="248"/>
      <c r="ALV15" s="248"/>
      <c r="ALW15" s="248"/>
      <c r="ALX15" s="248"/>
      <c r="ALY15" s="248"/>
      <c r="ALZ15" s="248"/>
      <c r="AMA15" s="248"/>
      <c r="AMB15" s="248"/>
      <c r="AMC15" s="248"/>
      <c r="AMD15" s="248"/>
      <c r="AME15" s="248"/>
      <c r="AMF15" s="248"/>
      <c r="AMG15" s="248"/>
      <c r="AMH15" s="248"/>
      <c r="AMI15" s="248"/>
      <c r="AMJ15" s="248"/>
      <c r="AMK15" s="248"/>
      <c r="AML15" s="248"/>
      <c r="AMM15" s="248"/>
      <c r="AMN15" s="248"/>
      <c r="AMO15" s="248"/>
      <c r="AMP15" s="248"/>
      <c r="AMQ15" s="248"/>
      <c r="AMR15" s="248"/>
      <c r="AMS15" s="248"/>
      <c r="AMT15" s="248"/>
      <c r="AMU15" s="248"/>
      <c r="AMV15" s="248"/>
      <c r="AMW15" s="248"/>
      <c r="AMX15" s="248"/>
      <c r="AMY15" s="248"/>
      <c r="AMZ15" s="248"/>
      <c r="ANA15" s="248"/>
      <c r="ANB15" s="248"/>
      <c r="ANC15" s="248"/>
      <c r="AND15" s="248"/>
      <c r="ANE15" s="248"/>
      <c r="ANF15" s="248"/>
      <c r="ANG15" s="248"/>
      <c r="ANH15" s="248"/>
      <c r="ANI15" s="248"/>
      <c r="ANJ15" s="248"/>
      <c r="ANK15" s="248"/>
      <c r="ANL15" s="248"/>
      <c r="ANM15" s="248"/>
      <c r="ANN15" s="248"/>
      <c r="ANO15" s="248"/>
      <c r="ANP15" s="248"/>
      <c r="ANQ15" s="248"/>
      <c r="ANR15" s="248"/>
      <c r="ANS15" s="248"/>
      <c r="ANT15" s="248"/>
      <c r="ANU15" s="248"/>
      <c r="ANV15" s="248"/>
      <c r="ANW15" s="248"/>
      <c r="ANX15" s="248"/>
      <c r="ANY15" s="248"/>
      <c r="ANZ15" s="248"/>
      <c r="AOA15" s="248"/>
      <c r="AOB15" s="248"/>
      <c r="AOC15" s="248"/>
      <c r="AOD15" s="248"/>
      <c r="AOE15" s="248"/>
      <c r="AOF15" s="248"/>
      <c r="AOG15" s="248"/>
      <c r="AOH15" s="248"/>
      <c r="AOI15" s="248"/>
      <c r="AOJ15" s="248"/>
      <c r="AOK15" s="248"/>
      <c r="AOL15" s="248"/>
      <c r="AOM15" s="248"/>
      <c r="AON15" s="248"/>
      <c r="AOO15" s="248"/>
      <c r="AOP15" s="248"/>
      <c r="AOQ15" s="248"/>
      <c r="AOR15" s="248"/>
      <c r="AOS15" s="248"/>
      <c r="AOT15" s="248"/>
      <c r="AOU15" s="248"/>
      <c r="AOV15" s="248"/>
      <c r="AOW15" s="248"/>
      <c r="AOX15" s="248"/>
      <c r="AOY15" s="248"/>
      <c r="AOZ15" s="248"/>
      <c r="APA15" s="248"/>
      <c r="APB15" s="248"/>
      <c r="APC15" s="248"/>
      <c r="APD15" s="248"/>
      <c r="APE15" s="248"/>
      <c r="APF15" s="248"/>
      <c r="APG15" s="248"/>
      <c r="APH15" s="248"/>
      <c r="API15" s="248"/>
      <c r="APJ15" s="248"/>
      <c r="APK15" s="248"/>
      <c r="APL15" s="248"/>
      <c r="APM15" s="248"/>
      <c r="APN15" s="248"/>
      <c r="APO15" s="248"/>
      <c r="APP15" s="248"/>
      <c r="APQ15" s="248"/>
      <c r="APR15" s="248"/>
      <c r="APS15" s="248"/>
      <c r="APT15" s="248"/>
      <c r="APU15" s="248"/>
      <c r="APV15" s="248"/>
      <c r="APW15" s="248"/>
      <c r="APX15" s="248"/>
      <c r="APY15" s="248"/>
      <c r="APZ15" s="248"/>
      <c r="AQA15" s="248"/>
      <c r="AQB15" s="248"/>
      <c r="AQC15" s="248"/>
      <c r="AQD15" s="248"/>
      <c r="AQE15" s="248"/>
      <c r="AQF15" s="248"/>
      <c r="AQG15" s="248"/>
      <c r="AQH15" s="248"/>
      <c r="AQI15" s="248"/>
      <c r="AQJ15" s="248"/>
      <c r="AQK15" s="248"/>
      <c r="AQL15" s="248"/>
      <c r="AQM15" s="248"/>
      <c r="AQN15" s="248"/>
      <c r="AQO15" s="248"/>
      <c r="AQP15" s="248"/>
      <c r="AQQ15" s="248"/>
      <c r="AQR15" s="248"/>
      <c r="AQS15" s="248"/>
      <c r="AQT15" s="248"/>
      <c r="AQU15" s="248"/>
      <c r="AQV15" s="248"/>
      <c r="AQW15" s="248"/>
      <c r="AQX15" s="248"/>
      <c r="AQY15" s="248"/>
      <c r="AQZ15" s="248"/>
      <c r="ARA15" s="248"/>
      <c r="ARB15" s="248"/>
      <c r="ARC15" s="248"/>
      <c r="ARD15" s="248"/>
      <c r="ARE15" s="248"/>
      <c r="ARF15" s="248"/>
      <c r="ARG15" s="248"/>
      <c r="ARH15" s="248"/>
      <c r="ARI15" s="248"/>
      <c r="ARJ15" s="248"/>
      <c r="ARK15" s="248"/>
      <c r="ARL15" s="248"/>
      <c r="ARM15" s="248"/>
      <c r="ARN15" s="248"/>
      <c r="ARO15" s="248"/>
      <c r="ARP15" s="248"/>
      <c r="ARQ15" s="248"/>
      <c r="ARR15" s="248"/>
      <c r="ARS15" s="248"/>
      <c r="ART15" s="248"/>
      <c r="ARU15" s="248"/>
      <c r="ARV15" s="248"/>
      <c r="ARW15" s="248"/>
      <c r="ARX15" s="248"/>
      <c r="ARY15" s="248"/>
      <c r="ARZ15" s="248"/>
      <c r="ASA15" s="248"/>
      <c r="ASB15" s="248"/>
      <c r="ASC15" s="248"/>
      <c r="ASD15" s="248"/>
      <c r="ASE15" s="248"/>
      <c r="ASF15" s="248"/>
      <c r="ASG15" s="248"/>
      <c r="ASH15" s="248"/>
      <c r="ASI15" s="248"/>
      <c r="ASJ15" s="248"/>
      <c r="ASK15" s="248"/>
      <c r="ASL15" s="248"/>
      <c r="ASM15" s="248"/>
      <c r="ASN15" s="248"/>
      <c r="ASO15" s="248"/>
      <c r="ASP15" s="248"/>
      <c r="ASQ15" s="248"/>
      <c r="ASR15" s="248"/>
      <c r="ASS15" s="248"/>
      <c r="AST15" s="248"/>
      <c r="ASU15" s="248"/>
      <c r="ASV15" s="248"/>
      <c r="ASW15" s="248"/>
      <c r="ASX15" s="248"/>
      <c r="ASY15" s="248"/>
      <c r="ASZ15" s="248"/>
      <c r="ATA15" s="248"/>
      <c r="ATB15" s="248"/>
      <c r="ATC15" s="248"/>
      <c r="ATD15" s="248"/>
      <c r="ATE15" s="248"/>
      <c r="ATF15" s="248"/>
      <c r="ATG15" s="248"/>
      <c r="ATH15" s="248"/>
      <c r="ATI15" s="248"/>
      <c r="ATJ15" s="248"/>
      <c r="ATK15" s="248"/>
      <c r="ATL15" s="248"/>
      <c r="ATM15" s="248"/>
      <c r="ATN15" s="248"/>
      <c r="ATO15" s="248"/>
      <c r="ATP15" s="248"/>
      <c r="ATQ15" s="248"/>
      <c r="ATR15" s="248"/>
      <c r="ATS15" s="248"/>
      <c r="ATT15" s="248"/>
      <c r="ATU15" s="248"/>
      <c r="ATV15" s="248"/>
      <c r="ATW15" s="248"/>
      <c r="ATX15" s="248"/>
      <c r="ATY15" s="248"/>
      <c r="ATZ15" s="248"/>
      <c r="AUA15" s="248"/>
      <c r="AUB15" s="248"/>
      <c r="AUC15" s="248"/>
      <c r="AUD15" s="248"/>
      <c r="AUE15" s="248"/>
      <c r="AUF15" s="248"/>
      <c r="AUG15" s="248"/>
      <c r="AUH15" s="248"/>
      <c r="AUI15" s="248"/>
      <c r="AUJ15" s="248"/>
      <c r="AUK15" s="248"/>
      <c r="AUL15" s="248"/>
      <c r="AUM15" s="248"/>
      <c r="AUN15" s="248"/>
      <c r="AUO15" s="248"/>
      <c r="AUP15" s="248"/>
      <c r="AUQ15" s="248"/>
      <c r="AUR15" s="248"/>
      <c r="AUS15" s="248"/>
      <c r="AUT15" s="248"/>
      <c r="AUU15" s="248"/>
      <c r="AUV15" s="248"/>
      <c r="AUW15" s="248"/>
      <c r="AUX15" s="248"/>
      <c r="AUY15" s="248"/>
      <c r="AUZ15" s="248"/>
      <c r="AVA15" s="248"/>
      <c r="AVB15" s="248"/>
      <c r="AVC15" s="248"/>
      <c r="AVD15" s="248"/>
      <c r="AVE15" s="248"/>
      <c r="AVF15" s="248"/>
      <c r="AVG15" s="248"/>
      <c r="AVH15" s="248"/>
      <c r="AVI15" s="248"/>
      <c r="AVJ15" s="248"/>
      <c r="AVK15" s="248"/>
      <c r="AVL15" s="248"/>
      <c r="AVM15" s="248"/>
      <c r="AVN15" s="248"/>
      <c r="AVO15" s="248"/>
      <c r="AVP15" s="248"/>
      <c r="AVQ15" s="248"/>
      <c r="AVR15" s="248"/>
      <c r="AVS15" s="248"/>
      <c r="AVT15" s="248"/>
      <c r="AVU15" s="248"/>
      <c r="AVV15" s="248"/>
      <c r="AVW15" s="248"/>
      <c r="AVX15" s="248"/>
      <c r="AVY15" s="248"/>
      <c r="AVZ15" s="248"/>
      <c r="AWA15" s="248"/>
      <c r="AWB15" s="248"/>
      <c r="AWC15" s="248"/>
      <c r="AWD15" s="248"/>
      <c r="AWE15" s="248"/>
      <c r="AWF15" s="248"/>
      <c r="AWG15" s="248"/>
      <c r="AWH15" s="248"/>
      <c r="AWI15" s="248"/>
      <c r="AWJ15" s="248"/>
      <c r="AWK15" s="248"/>
      <c r="AWL15" s="248"/>
      <c r="AWM15" s="248"/>
      <c r="AWN15" s="248"/>
      <c r="AWO15" s="248"/>
      <c r="AWP15" s="248"/>
      <c r="AWQ15" s="248"/>
      <c r="AWR15" s="248"/>
      <c r="AWS15" s="248"/>
      <c r="AWT15" s="248"/>
      <c r="AWU15" s="248"/>
      <c r="AWV15" s="248"/>
      <c r="AWW15" s="248"/>
      <c r="AWX15" s="248"/>
      <c r="AWY15" s="248"/>
      <c r="AWZ15" s="248"/>
      <c r="AXA15" s="248"/>
      <c r="AXB15" s="248"/>
      <c r="AXC15" s="248"/>
      <c r="AXD15" s="248"/>
      <c r="AXE15" s="248"/>
      <c r="AXF15" s="248"/>
      <c r="AXG15" s="248"/>
      <c r="AXH15" s="248"/>
      <c r="AXI15" s="248"/>
      <c r="AXJ15" s="248"/>
      <c r="AXK15" s="248"/>
      <c r="AXL15" s="248"/>
      <c r="AXM15" s="248"/>
      <c r="AXN15" s="248"/>
      <c r="AXO15" s="248"/>
      <c r="AXP15" s="248"/>
      <c r="AXQ15" s="248"/>
      <c r="AXR15" s="248"/>
      <c r="AXS15" s="248"/>
      <c r="AXT15" s="248"/>
      <c r="AXU15" s="248"/>
      <c r="AXV15" s="248"/>
      <c r="AXW15" s="248"/>
      <c r="AXX15" s="248"/>
      <c r="AXY15" s="248"/>
      <c r="AXZ15" s="248"/>
      <c r="AYA15" s="248"/>
      <c r="AYB15" s="248"/>
      <c r="AYC15" s="248"/>
      <c r="AYD15" s="248"/>
      <c r="AYE15" s="248"/>
      <c r="AYF15" s="248"/>
      <c r="AYG15" s="248"/>
      <c r="AYH15" s="248"/>
      <c r="AYI15" s="248"/>
      <c r="AYJ15" s="248"/>
      <c r="AYK15" s="248"/>
      <c r="AYL15" s="248"/>
      <c r="AYM15" s="248"/>
      <c r="AYN15" s="248"/>
      <c r="AYO15" s="248"/>
      <c r="AYP15" s="248"/>
      <c r="AYQ15" s="248"/>
      <c r="AYR15" s="248"/>
      <c r="AYS15" s="248"/>
      <c r="AYT15" s="248"/>
      <c r="AYU15" s="248"/>
      <c r="AYV15" s="248"/>
      <c r="AYW15" s="248"/>
      <c r="AYX15" s="248"/>
      <c r="AYY15" s="248"/>
      <c r="AYZ15" s="248"/>
      <c r="AZA15" s="248"/>
      <c r="AZB15" s="248"/>
      <c r="AZC15" s="248"/>
      <c r="AZD15" s="248"/>
      <c r="AZE15" s="248"/>
      <c r="AZF15" s="248"/>
      <c r="AZG15" s="248"/>
      <c r="AZH15" s="248"/>
      <c r="AZI15" s="248"/>
      <c r="AZJ15" s="248"/>
      <c r="AZK15" s="248"/>
      <c r="AZL15" s="248"/>
      <c r="AZM15" s="248"/>
      <c r="AZN15" s="248"/>
      <c r="AZO15" s="248"/>
      <c r="AZP15" s="248"/>
      <c r="AZQ15" s="248"/>
      <c r="AZR15" s="248"/>
      <c r="AZS15" s="248"/>
      <c r="AZT15" s="248"/>
      <c r="AZU15" s="248"/>
      <c r="AZV15" s="248"/>
      <c r="AZW15" s="248"/>
      <c r="AZX15" s="248"/>
      <c r="AZY15" s="248"/>
      <c r="AZZ15" s="248"/>
      <c r="BAA15" s="248"/>
      <c r="BAB15" s="248"/>
      <c r="BAC15" s="248"/>
      <c r="BAD15" s="248"/>
      <c r="BAE15" s="248"/>
      <c r="BAF15" s="248"/>
      <c r="BAG15" s="248"/>
      <c r="BAH15" s="248"/>
      <c r="BAI15" s="248"/>
      <c r="BAJ15" s="248"/>
      <c r="BAK15" s="248"/>
      <c r="BAL15" s="248"/>
      <c r="BAM15" s="248"/>
      <c r="BAN15" s="248"/>
      <c r="BAO15" s="248"/>
      <c r="BAP15" s="248"/>
      <c r="BAQ15" s="248"/>
      <c r="BAR15" s="248"/>
      <c r="BAS15" s="248"/>
      <c r="BAT15" s="248"/>
      <c r="BAU15" s="248"/>
      <c r="BAV15" s="248"/>
      <c r="BAW15" s="248"/>
      <c r="BAX15" s="248"/>
      <c r="BAY15" s="248"/>
      <c r="BAZ15" s="248"/>
      <c r="BBA15" s="248"/>
      <c r="BBB15" s="248"/>
      <c r="BBC15" s="248"/>
      <c r="BBD15" s="248"/>
      <c r="BBE15" s="248"/>
      <c r="BBF15" s="248"/>
      <c r="BBG15" s="248"/>
      <c r="BBH15" s="248"/>
      <c r="BBI15" s="248"/>
      <c r="BBJ15" s="248"/>
      <c r="BBK15" s="248"/>
      <c r="BBL15" s="248"/>
      <c r="BBM15" s="248"/>
      <c r="BBN15" s="248"/>
      <c r="BBO15" s="248"/>
      <c r="BBP15" s="248"/>
      <c r="BBQ15" s="248"/>
      <c r="BBR15" s="248"/>
      <c r="BBS15" s="248"/>
      <c r="BBT15" s="248"/>
      <c r="BBU15" s="248"/>
      <c r="BBV15" s="248"/>
      <c r="BBW15" s="248"/>
      <c r="BBX15" s="248"/>
      <c r="BBY15" s="248"/>
      <c r="BBZ15" s="248"/>
      <c r="BCA15" s="248"/>
      <c r="BCB15" s="248"/>
      <c r="BCC15" s="248"/>
      <c r="BCD15" s="248"/>
      <c r="BCE15" s="248"/>
      <c r="BCF15" s="248"/>
      <c r="BCG15" s="248"/>
      <c r="BCH15" s="248"/>
      <c r="BCI15" s="248"/>
      <c r="BCJ15" s="248"/>
      <c r="BCK15" s="248"/>
      <c r="BCL15" s="248"/>
      <c r="BCM15" s="248"/>
      <c r="BCN15" s="248"/>
      <c r="BCO15" s="248"/>
      <c r="BCP15" s="248"/>
      <c r="BCQ15" s="248"/>
      <c r="BCR15" s="248"/>
      <c r="BCS15" s="248"/>
      <c r="BCT15" s="248"/>
      <c r="BCU15" s="248"/>
      <c r="BCV15" s="248"/>
      <c r="BCW15" s="248"/>
      <c r="BCX15" s="248"/>
      <c r="BCY15" s="248"/>
      <c r="BCZ15" s="248"/>
      <c r="BDA15" s="248"/>
      <c r="BDB15" s="248"/>
      <c r="BDC15" s="248"/>
      <c r="BDD15" s="248"/>
      <c r="BDE15" s="248"/>
      <c r="BDF15" s="248"/>
      <c r="BDG15" s="248"/>
      <c r="BDH15" s="248"/>
      <c r="BDI15" s="248"/>
      <c r="BDJ15" s="248"/>
      <c r="BDK15" s="248"/>
      <c r="BDL15" s="248"/>
      <c r="BDM15" s="248"/>
      <c r="BDN15" s="248"/>
      <c r="BDO15" s="248"/>
      <c r="BDP15" s="248"/>
      <c r="BDQ15" s="248"/>
      <c r="BDR15" s="248"/>
      <c r="BDS15" s="248"/>
      <c r="BDT15" s="248"/>
      <c r="BDU15" s="248"/>
      <c r="BDV15" s="248"/>
      <c r="BDW15" s="248"/>
      <c r="BDX15" s="248"/>
      <c r="BDY15" s="248"/>
      <c r="BDZ15" s="248"/>
      <c r="BEA15" s="248"/>
      <c r="BEB15" s="248"/>
      <c r="BEC15" s="248"/>
      <c r="BED15" s="248"/>
      <c r="BEE15" s="248"/>
      <c r="BEF15" s="248"/>
      <c r="BEG15" s="248"/>
      <c r="BEH15" s="248"/>
      <c r="BEI15" s="248"/>
      <c r="BEJ15" s="248"/>
      <c r="BEK15" s="248"/>
      <c r="BEL15" s="248"/>
      <c r="BEM15" s="248"/>
      <c r="BEN15" s="248"/>
      <c r="BEO15" s="248"/>
      <c r="BEP15" s="248"/>
      <c r="BEQ15" s="248"/>
      <c r="BER15" s="248"/>
      <c r="BES15" s="248"/>
      <c r="BET15" s="248"/>
      <c r="BEU15" s="248"/>
      <c r="BEV15" s="248"/>
      <c r="BEW15" s="248"/>
      <c r="BEX15" s="248"/>
      <c r="BEY15" s="248"/>
      <c r="BEZ15" s="248"/>
      <c r="BFA15" s="248"/>
      <c r="BFB15" s="248"/>
      <c r="BFC15" s="248"/>
      <c r="BFD15" s="248"/>
      <c r="BFE15" s="248"/>
      <c r="BFF15" s="248"/>
      <c r="BFG15" s="248"/>
      <c r="BFH15" s="248"/>
      <c r="BFI15" s="248"/>
      <c r="BFJ15" s="248"/>
      <c r="BFK15" s="248"/>
      <c r="BFL15" s="248"/>
      <c r="BFM15" s="248"/>
      <c r="BFN15" s="248"/>
      <c r="BFO15" s="248"/>
      <c r="BFP15" s="248"/>
      <c r="BFQ15" s="248"/>
      <c r="BFR15" s="248"/>
      <c r="BFS15" s="248"/>
      <c r="BFT15" s="248"/>
      <c r="BFU15" s="248"/>
      <c r="BFV15" s="248"/>
      <c r="BFW15" s="248"/>
      <c r="BFX15" s="248"/>
      <c r="BFY15" s="248"/>
      <c r="BFZ15" s="248"/>
      <c r="BGA15" s="248"/>
      <c r="BGB15" s="248"/>
      <c r="BGC15" s="248"/>
      <c r="BGD15" s="248"/>
      <c r="BGE15" s="248"/>
      <c r="BGF15" s="248"/>
      <c r="BGG15" s="248"/>
      <c r="BGH15" s="248"/>
      <c r="BGI15" s="248"/>
      <c r="BGJ15" s="248"/>
      <c r="BGK15" s="248"/>
      <c r="BGL15" s="248"/>
      <c r="BGM15" s="248"/>
      <c r="BGN15" s="248"/>
      <c r="BGO15" s="248"/>
      <c r="BGP15" s="248"/>
      <c r="BGQ15" s="248"/>
      <c r="BGR15" s="248"/>
      <c r="BGS15" s="248"/>
      <c r="BGT15" s="248"/>
      <c r="BGU15" s="248"/>
      <c r="BGV15" s="248"/>
      <c r="BGW15" s="248"/>
      <c r="BGX15" s="248"/>
      <c r="BGY15" s="248"/>
      <c r="BGZ15" s="248"/>
      <c r="BHA15" s="248"/>
      <c r="BHB15" s="248"/>
      <c r="BHC15" s="248"/>
      <c r="BHD15" s="248"/>
      <c r="BHE15" s="248"/>
      <c r="BHF15" s="248"/>
      <c r="BHG15" s="248"/>
      <c r="BHH15" s="248"/>
      <c r="BHI15" s="248"/>
      <c r="BHJ15" s="248"/>
      <c r="BHK15" s="248"/>
      <c r="BHL15" s="248"/>
      <c r="BHM15" s="248"/>
      <c r="BHN15" s="248"/>
      <c r="BHO15" s="248"/>
      <c r="BHP15" s="248"/>
      <c r="BHQ15" s="248"/>
      <c r="BHR15" s="248"/>
      <c r="BHS15" s="248"/>
      <c r="BHT15" s="248"/>
      <c r="BHU15" s="248"/>
      <c r="BHV15" s="248"/>
      <c r="BHW15" s="248"/>
      <c r="BHX15" s="248"/>
      <c r="BHY15" s="248"/>
      <c r="BHZ15" s="248"/>
      <c r="BIA15" s="248"/>
      <c r="BIB15" s="248"/>
      <c r="BIC15" s="248"/>
      <c r="BID15" s="248"/>
      <c r="BIE15" s="248"/>
      <c r="BIF15" s="248"/>
      <c r="BIG15" s="248"/>
      <c r="BIH15" s="248"/>
      <c r="BII15" s="248"/>
      <c r="BIJ15" s="248"/>
      <c r="BIK15" s="248"/>
      <c r="BIL15" s="248"/>
      <c r="BIM15" s="248"/>
      <c r="BIN15" s="248"/>
      <c r="BIO15" s="248"/>
      <c r="BIP15" s="248"/>
      <c r="BIQ15" s="248"/>
      <c r="BIR15" s="248"/>
      <c r="BIS15" s="248"/>
      <c r="BIT15" s="248"/>
      <c r="BIU15" s="248"/>
      <c r="BIV15" s="248"/>
      <c r="BIW15" s="248"/>
      <c r="BIX15" s="248"/>
      <c r="BIY15" s="248"/>
      <c r="BIZ15" s="248"/>
      <c r="BJA15" s="248"/>
      <c r="BJB15" s="248"/>
      <c r="BJC15" s="248"/>
      <c r="BJD15" s="248"/>
      <c r="BJE15" s="248"/>
      <c r="BJF15" s="248"/>
      <c r="BJG15" s="248"/>
      <c r="BJH15" s="248"/>
      <c r="BJI15" s="248"/>
      <c r="BJJ15" s="248"/>
      <c r="BJK15" s="248"/>
      <c r="BJL15" s="248"/>
      <c r="BJM15" s="248"/>
      <c r="BJN15" s="248"/>
      <c r="BJO15" s="248"/>
      <c r="BJP15" s="248"/>
      <c r="BJQ15" s="248"/>
      <c r="BJR15" s="248"/>
      <c r="BJS15" s="248"/>
      <c r="BJT15" s="248"/>
      <c r="BJU15" s="248"/>
      <c r="BJV15" s="248"/>
      <c r="BJW15" s="248"/>
      <c r="BJX15" s="248"/>
      <c r="BJY15" s="248"/>
      <c r="BJZ15" s="248"/>
      <c r="BKA15" s="248"/>
      <c r="BKB15" s="248"/>
      <c r="BKC15" s="248"/>
      <c r="BKD15" s="248"/>
      <c r="BKE15" s="248"/>
      <c r="BKF15" s="248"/>
      <c r="BKG15" s="248"/>
      <c r="BKH15" s="248"/>
      <c r="BKI15" s="248"/>
      <c r="BKJ15" s="248"/>
      <c r="BKK15" s="248"/>
      <c r="BKL15" s="248"/>
      <c r="BKM15" s="248"/>
      <c r="BKN15" s="248"/>
      <c r="BKO15" s="248"/>
      <c r="BKP15" s="248"/>
      <c r="BKQ15" s="248"/>
      <c r="BKR15" s="248"/>
      <c r="BKS15" s="248"/>
      <c r="BKT15" s="248"/>
      <c r="BKU15" s="248"/>
      <c r="BKV15" s="248"/>
      <c r="BKW15" s="248"/>
      <c r="BKX15" s="248"/>
      <c r="BKY15" s="248"/>
      <c r="BKZ15" s="248"/>
      <c r="BLA15" s="248"/>
      <c r="BLB15" s="248"/>
      <c r="BLC15" s="248"/>
      <c r="BLD15" s="248"/>
      <c r="BLE15" s="248"/>
      <c r="BLF15" s="248"/>
      <c r="BLG15" s="248"/>
      <c r="BLH15" s="248"/>
      <c r="BLI15" s="248"/>
      <c r="BLJ15" s="248"/>
      <c r="BLK15" s="248"/>
      <c r="BLL15" s="248"/>
      <c r="BLM15" s="248"/>
      <c r="BLN15" s="248"/>
      <c r="BLO15" s="248"/>
      <c r="BLP15" s="248"/>
      <c r="BLQ15" s="248"/>
      <c r="BLR15" s="248"/>
      <c r="BLS15" s="248"/>
      <c r="BLT15" s="248"/>
      <c r="BLU15" s="248"/>
      <c r="BLV15" s="248"/>
      <c r="BLW15" s="248"/>
      <c r="BLX15" s="248"/>
      <c r="BLY15" s="248"/>
      <c r="BLZ15" s="248"/>
      <c r="BMA15" s="248"/>
      <c r="BMB15" s="248"/>
      <c r="BMC15" s="248"/>
      <c r="BMD15" s="248"/>
      <c r="BME15" s="248"/>
      <c r="BMF15" s="248"/>
      <c r="BMG15" s="248"/>
      <c r="BMH15" s="248"/>
      <c r="BMI15" s="248"/>
      <c r="BMJ15" s="248"/>
      <c r="BMK15" s="248"/>
      <c r="BML15" s="248"/>
      <c r="BMM15" s="248"/>
      <c r="BMN15" s="248"/>
      <c r="BMO15" s="248"/>
      <c r="BMP15" s="248"/>
      <c r="BMQ15" s="248"/>
      <c r="BMR15" s="248"/>
      <c r="BMS15" s="248"/>
      <c r="BMT15" s="248"/>
      <c r="BMU15" s="248"/>
      <c r="BMV15" s="248"/>
      <c r="BMW15" s="248"/>
      <c r="BMX15" s="248"/>
      <c r="BMY15" s="248"/>
      <c r="BMZ15" s="248"/>
      <c r="BNA15" s="248"/>
      <c r="BNB15" s="248"/>
      <c r="BNC15" s="248"/>
      <c r="BND15" s="248"/>
      <c r="BNE15" s="248"/>
      <c r="BNF15" s="248"/>
      <c r="BNG15" s="248"/>
      <c r="BNH15" s="248"/>
      <c r="BNI15" s="248"/>
      <c r="BNJ15" s="248"/>
      <c r="BNK15" s="248"/>
      <c r="BNL15" s="248"/>
      <c r="BNM15" s="248"/>
      <c r="BNN15" s="248"/>
      <c r="BNO15" s="248"/>
      <c r="BNP15" s="248"/>
      <c r="BNQ15" s="248"/>
      <c r="BNR15" s="248"/>
      <c r="BNS15" s="248"/>
      <c r="BNT15" s="248"/>
      <c r="BNU15" s="248"/>
      <c r="BNV15" s="248"/>
      <c r="BNW15" s="248"/>
      <c r="BNX15" s="248"/>
      <c r="BNY15" s="248"/>
      <c r="BNZ15" s="248"/>
      <c r="BOA15" s="248"/>
      <c r="BOB15" s="248"/>
      <c r="BOC15" s="248"/>
      <c r="BOD15" s="248"/>
      <c r="BOE15" s="248"/>
      <c r="BOF15" s="248"/>
      <c r="BOG15" s="248"/>
      <c r="BOH15" s="248"/>
      <c r="BOI15" s="248"/>
      <c r="BOJ15" s="248"/>
      <c r="BOK15" s="248"/>
      <c r="BOL15" s="248"/>
      <c r="BOM15" s="248"/>
      <c r="BON15" s="248"/>
      <c r="BOO15" s="248"/>
      <c r="BOP15" s="248"/>
      <c r="BOQ15" s="248"/>
      <c r="BOR15" s="248"/>
      <c r="BOS15" s="248"/>
      <c r="BOT15" s="248"/>
      <c r="BOU15" s="248"/>
      <c r="BOV15" s="248"/>
      <c r="BOW15" s="248"/>
      <c r="BOX15" s="248"/>
      <c r="BOY15" s="248"/>
      <c r="BOZ15" s="248"/>
      <c r="BPA15" s="248"/>
      <c r="BPB15" s="248"/>
      <c r="BPC15" s="248"/>
      <c r="BPD15" s="248"/>
      <c r="BPE15" s="248"/>
      <c r="BPF15" s="248"/>
      <c r="BPG15" s="248"/>
      <c r="BPH15" s="248"/>
      <c r="BPI15" s="248"/>
      <c r="BPJ15" s="248"/>
      <c r="BPK15" s="248"/>
      <c r="BPL15" s="248"/>
      <c r="BPM15" s="248"/>
      <c r="BPN15" s="248"/>
      <c r="BPO15" s="248"/>
      <c r="BPP15" s="248"/>
      <c r="BPQ15" s="248"/>
      <c r="BPR15" s="248"/>
      <c r="BPS15" s="248"/>
      <c r="BPT15" s="248"/>
      <c r="BPU15" s="248"/>
      <c r="BPV15" s="248"/>
      <c r="BPW15" s="248"/>
      <c r="BPX15" s="248"/>
      <c r="BPY15" s="248"/>
      <c r="BPZ15" s="248"/>
      <c r="BQA15" s="248"/>
      <c r="BQB15" s="248"/>
      <c r="BQC15" s="248"/>
      <c r="BQD15" s="248"/>
      <c r="BQE15" s="248"/>
      <c r="BQF15" s="248"/>
      <c r="BQG15" s="248"/>
      <c r="BQH15" s="248"/>
      <c r="BQI15" s="248"/>
      <c r="BQJ15" s="248"/>
      <c r="BQK15" s="248"/>
      <c r="BQL15" s="248"/>
      <c r="BQM15" s="248"/>
      <c r="BQN15" s="248"/>
      <c r="BQO15" s="248"/>
      <c r="BQP15" s="248"/>
      <c r="BQQ15" s="248"/>
      <c r="BQR15" s="248"/>
      <c r="BQS15" s="248"/>
      <c r="BQT15" s="248"/>
      <c r="BQU15" s="248"/>
      <c r="BQV15" s="248"/>
      <c r="BQW15" s="248"/>
      <c r="BQX15" s="248"/>
      <c r="BQY15" s="248"/>
      <c r="BQZ15" s="248"/>
      <c r="BRA15" s="248"/>
      <c r="BRB15" s="248"/>
      <c r="BRC15" s="248"/>
      <c r="BRD15" s="248"/>
      <c r="BRE15" s="248"/>
      <c r="BRF15" s="248"/>
      <c r="BRG15" s="248"/>
      <c r="BRH15" s="248"/>
      <c r="BRI15" s="248"/>
      <c r="BRJ15" s="248"/>
      <c r="BRK15" s="248"/>
      <c r="BRL15" s="248"/>
      <c r="BRM15" s="248"/>
      <c r="BRN15" s="248"/>
      <c r="BRO15" s="248"/>
      <c r="BRP15" s="248"/>
      <c r="BRQ15" s="248"/>
      <c r="BRR15" s="248"/>
      <c r="BRS15" s="248"/>
      <c r="BRT15" s="248"/>
      <c r="BRU15" s="248"/>
      <c r="BRV15" s="248"/>
      <c r="BRW15" s="248"/>
      <c r="BRX15" s="248"/>
      <c r="BRY15" s="248"/>
      <c r="BRZ15" s="248"/>
      <c r="BSA15" s="248"/>
      <c r="BSB15" s="248"/>
      <c r="BSC15" s="248"/>
      <c r="BSD15" s="248"/>
      <c r="BSE15" s="248"/>
      <c r="BSF15" s="248"/>
      <c r="BSG15" s="248"/>
      <c r="BSH15" s="248"/>
      <c r="BSI15" s="248"/>
      <c r="BSJ15" s="248"/>
      <c r="BSK15" s="248"/>
      <c r="BSL15" s="248"/>
      <c r="BSM15" s="248"/>
      <c r="BSN15" s="248"/>
      <c r="BSO15" s="248"/>
      <c r="BSP15" s="248"/>
      <c r="BSQ15" s="248"/>
      <c r="BSR15" s="248"/>
      <c r="BSS15" s="248"/>
      <c r="BST15" s="248"/>
      <c r="BSU15" s="248"/>
      <c r="BSV15" s="248"/>
      <c r="BSW15" s="248"/>
      <c r="BSX15" s="248"/>
      <c r="BSY15" s="248"/>
      <c r="BSZ15" s="248"/>
      <c r="BTA15" s="248"/>
      <c r="BTB15" s="248"/>
      <c r="BTC15" s="248"/>
      <c r="BTD15" s="248"/>
      <c r="BTE15" s="248"/>
      <c r="BTF15" s="248"/>
      <c r="BTG15" s="248"/>
      <c r="BTH15" s="248"/>
      <c r="BTI15" s="248"/>
      <c r="BTJ15" s="248"/>
      <c r="BTK15" s="248"/>
      <c r="BTL15" s="248"/>
      <c r="BTM15" s="248"/>
      <c r="BTN15" s="248"/>
      <c r="BTO15" s="248"/>
      <c r="BTP15" s="248"/>
      <c r="BTQ15" s="248"/>
      <c r="BTR15" s="248"/>
      <c r="BTS15" s="248"/>
      <c r="BTT15" s="248"/>
      <c r="BTU15" s="248"/>
      <c r="BTV15" s="248"/>
      <c r="BTW15" s="248"/>
      <c r="BTX15" s="248"/>
      <c r="BTY15" s="248"/>
      <c r="BTZ15" s="248"/>
      <c r="BUA15" s="248"/>
      <c r="BUB15" s="248"/>
      <c r="BUC15" s="248"/>
      <c r="BUD15" s="248"/>
      <c r="BUE15" s="248"/>
      <c r="BUF15" s="248"/>
      <c r="BUG15" s="248"/>
      <c r="BUH15" s="248"/>
      <c r="BUI15" s="248"/>
      <c r="BUJ15" s="248"/>
      <c r="BUK15" s="248"/>
      <c r="BUL15" s="248"/>
      <c r="BUM15" s="248"/>
      <c r="BUN15" s="248"/>
      <c r="BUO15" s="248"/>
      <c r="BUP15" s="248"/>
      <c r="BUQ15" s="248"/>
      <c r="BUR15" s="248"/>
      <c r="BUS15" s="248"/>
      <c r="BUT15" s="248"/>
      <c r="BUU15" s="248"/>
      <c r="BUV15" s="248"/>
      <c r="BUW15" s="248"/>
      <c r="BUX15" s="248"/>
      <c r="BUY15" s="248"/>
      <c r="BUZ15" s="248"/>
      <c r="BVA15" s="248"/>
      <c r="BVB15" s="248"/>
      <c r="BVC15" s="248"/>
      <c r="BVD15" s="248"/>
      <c r="BVE15" s="248"/>
      <c r="BVF15" s="248"/>
      <c r="BVG15" s="248"/>
      <c r="BVH15" s="248"/>
      <c r="BVI15" s="248"/>
      <c r="BVJ15" s="248"/>
      <c r="BVK15" s="248"/>
      <c r="BVL15" s="248"/>
      <c r="BVM15" s="248"/>
      <c r="BVN15" s="248"/>
      <c r="BVO15" s="248"/>
      <c r="BVP15" s="248"/>
      <c r="BVQ15" s="248"/>
      <c r="BVR15" s="248"/>
      <c r="BVS15" s="248"/>
      <c r="BVT15" s="248"/>
      <c r="BVU15" s="248"/>
      <c r="BVV15" s="248"/>
      <c r="BVW15" s="248"/>
      <c r="BVX15" s="248"/>
      <c r="BVY15" s="248"/>
      <c r="BVZ15" s="248"/>
      <c r="BWA15" s="248"/>
      <c r="BWB15" s="248"/>
      <c r="BWC15" s="248"/>
      <c r="BWD15" s="248"/>
      <c r="BWE15" s="248"/>
      <c r="BWF15" s="248"/>
      <c r="BWG15" s="248"/>
      <c r="BWH15" s="248"/>
      <c r="BWI15" s="248"/>
      <c r="BWJ15" s="248"/>
      <c r="BWK15" s="248"/>
      <c r="BWL15" s="248"/>
      <c r="BWM15" s="248"/>
      <c r="BWN15" s="248"/>
      <c r="BWO15" s="248"/>
      <c r="BWP15" s="248"/>
      <c r="BWQ15" s="248"/>
      <c r="BWR15" s="248"/>
      <c r="BWS15" s="248"/>
      <c r="BWT15" s="248"/>
      <c r="BWU15" s="248"/>
      <c r="BWV15" s="248"/>
      <c r="BWW15" s="248"/>
      <c r="BWX15" s="248"/>
      <c r="BWY15" s="248"/>
      <c r="BWZ15" s="248"/>
      <c r="BXA15" s="248"/>
      <c r="BXB15" s="248"/>
      <c r="BXC15" s="248"/>
      <c r="BXD15" s="248"/>
      <c r="BXE15" s="248"/>
      <c r="BXF15" s="248"/>
      <c r="BXG15" s="248"/>
      <c r="BXH15" s="248"/>
      <c r="BXI15" s="248"/>
      <c r="BXJ15" s="248"/>
      <c r="BXK15" s="248"/>
      <c r="BXL15" s="248"/>
      <c r="BXM15" s="248"/>
      <c r="BXN15" s="248"/>
      <c r="BXO15" s="248"/>
      <c r="BXP15" s="248"/>
      <c r="BXQ15" s="248"/>
      <c r="BXR15" s="248"/>
      <c r="BXS15" s="248"/>
      <c r="BXT15" s="248"/>
      <c r="BXU15" s="248"/>
      <c r="BXV15" s="248"/>
      <c r="BXW15" s="248"/>
      <c r="BXX15" s="248"/>
      <c r="BXY15" s="248"/>
      <c r="BXZ15" s="248"/>
      <c r="BYA15" s="248"/>
      <c r="BYB15" s="248"/>
      <c r="BYC15" s="248"/>
      <c r="BYD15" s="248"/>
      <c r="BYE15" s="248"/>
      <c r="BYF15" s="248"/>
      <c r="BYG15" s="248"/>
      <c r="BYH15" s="248"/>
      <c r="BYI15" s="248"/>
      <c r="BYJ15" s="248"/>
      <c r="BYK15" s="248"/>
      <c r="BYL15" s="248"/>
      <c r="BYM15" s="248"/>
      <c r="BYN15" s="248"/>
      <c r="BYO15" s="248"/>
      <c r="BYP15" s="248"/>
      <c r="BYQ15" s="248"/>
      <c r="BYR15" s="248"/>
      <c r="BYS15" s="248"/>
      <c r="BYT15" s="248"/>
      <c r="BYU15" s="248"/>
      <c r="BYV15" s="248"/>
      <c r="BYW15" s="248"/>
      <c r="BYX15" s="248"/>
      <c r="BYY15" s="248"/>
      <c r="BYZ15" s="248"/>
      <c r="BZA15" s="248"/>
      <c r="BZB15" s="248"/>
      <c r="BZC15" s="248"/>
      <c r="BZD15" s="248"/>
      <c r="BZE15" s="248"/>
      <c r="BZF15" s="248"/>
      <c r="BZG15" s="248"/>
      <c r="BZH15" s="248"/>
      <c r="BZI15" s="248"/>
      <c r="BZJ15" s="248"/>
      <c r="BZK15" s="248"/>
      <c r="BZL15" s="248"/>
      <c r="BZM15" s="248"/>
      <c r="BZN15" s="248"/>
      <c r="BZO15" s="248"/>
      <c r="BZP15" s="248"/>
      <c r="BZQ15" s="248"/>
      <c r="BZR15" s="248"/>
      <c r="BZS15" s="248"/>
      <c r="BZT15" s="248"/>
      <c r="BZU15" s="248"/>
      <c r="BZV15" s="248"/>
      <c r="BZW15" s="248"/>
      <c r="BZX15" s="248"/>
      <c r="BZY15" s="248"/>
      <c r="BZZ15" s="248"/>
      <c r="CAA15" s="248"/>
      <c r="CAB15" s="248"/>
      <c r="CAC15" s="248"/>
      <c r="CAD15" s="248"/>
      <c r="CAE15" s="248"/>
      <c r="CAF15" s="248"/>
      <c r="CAG15" s="248"/>
      <c r="CAH15" s="248"/>
      <c r="CAI15" s="248"/>
      <c r="CAJ15" s="248"/>
      <c r="CAK15" s="248"/>
      <c r="CAL15" s="248"/>
      <c r="CAM15" s="248"/>
      <c r="CAN15" s="248"/>
      <c r="CAO15" s="248"/>
      <c r="CAP15" s="248"/>
      <c r="CAQ15" s="248"/>
      <c r="CAR15" s="248"/>
      <c r="CAS15" s="248"/>
      <c r="CAT15" s="248"/>
      <c r="CAU15" s="248"/>
      <c r="CAV15" s="248"/>
      <c r="CAW15" s="248"/>
      <c r="CAX15" s="248"/>
      <c r="CAY15" s="248"/>
      <c r="CAZ15" s="248"/>
      <c r="CBA15" s="248"/>
      <c r="CBB15" s="248"/>
      <c r="CBC15" s="248"/>
      <c r="CBD15" s="248"/>
      <c r="CBE15" s="248"/>
      <c r="CBF15" s="248"/>
      <c r="CBG15" s="248"/>
      <c r="CBH15" s="248"/>
      <c r="CBI15" s="248"/>
      <c r="CBJ15" s="248"/>
      <c r="CBK15" s="248"/>
      <c r="CBL15" s="248"/>
      <c r="CBM15" s="248"/>
      <c r="CBN15" s="248"/>
      <c r="CBO15" s="248"/>
      <c r="CBP15" s="248"/>
      <c r="CBQ15" s="248"/>
      <c r="CBR15" s="248"/>
      <c r="CBS15" s="248"/>
      <c r="CBT15" s="248"/>
      <c r="CBU15" s="248"/>
      <c r="CBV15" s="248"/>
      <c r="CBW15" s="248"/>
      <c r="CBX15" s="248"/>
      <c r="CBY15" s="248"/>
      <c r="CBZ15" s="248"/>
      <c r="CCA15" s="248"/>
      <c r="CCB15" s="248"/>
      <c r="CCC15" s="248"/>
      <c r="CCD15" s="248"/>
      <c r="CCE15" s="248"/>
      <c r="CCF15" s="248"/>
      <c r="CCG15" s="248"/>
      <c r="CCH15" s="248"/>
      <c r="CCI15" s="248"/>
      <c r="CCJ15" s="248"/>
      <c r="CCK15" s="248"/>
      <c r="CCL15" s="248"/>
      <c r="CCM15" s="248"/>
      <c r="CCN15" s="248"/>
      <c r="CCO15" s="248"/>
      <c r="CCP15" s="248"/>
      <c r="CCQ15" s="248"/>
      <c r="CCR15" s="248"/>
      <c r="CCS15" s="248"/>
      <c r="CCT15" s="248"/>
      <c r="CCU15" s="248"/>
      <c r="CCV15" s="248"/>
      <c r="CCW15" s="248"/>
      <c r="VEX15" s="222"/>
      <c r="VST15" s="221"/>
      <c r="VTB15" s="221"/>
    </row>
    <row r="16" spans="1:2129 15008:15070 15386:15394" s="220" customFormat="1" ht="16.149999999999999" customHeight="1" x14ac:dyDescent="0.25">
      <c r="A16" s="209" t="s">
        <v>65</v>
      </c>
      <c r="B16" s="209">
        <v>4</v>
      </c>
      <c r="C16" s="209"/>
      <c r="D16" s="209"/>
      <c r="E16" s="209"/>
      <c r="F16" s="209"/>
      <c r="G16" s="210" t="s">
        <v>240</v>
      </c>
      <c r="H16" s="211" t="s">
        <v>219</v>
      </c>
      <c r="I16" s="211"/>
      <c r="J16" s="212"/>
      <c r="K16" s="213"/>
      <c r="L16" s="213"/>
      <c r="M16" s="214"/>
      <c r="N16" s="213">
        <v>43042</v>
      </c>
      <c r="O16" s="213">
        <v>43042</v>
      </c>
      <c r="P16" s="214">
        <v>1</v>
      </c>
      <c r="Q16" s="215">
        <v>0</v>
      </c>
      <c r="R16" s="213"/>
      <c r="S16" s="213"/>
      <c r="T16" s="214"/>
      <c r="U16" s="216"/>
      <c r="V16" s="216"/>
      <c r="W16" s="216"/>
      <c r="X16" s="217"/>
      <c r="Y16" s="218"/>
      <c r="Z16" s="218"/>
      <c r="AA16" s="225"/>
      <c r="AB16" s="218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19"/>
      <c r="BP16" s="219"/>
      <c r="BQ16" s="219"/>
      <c r="BR16" s="219"/>
      <c r="BS16" s="219"/>
      <c r="BT16" s="219"/>
      <c r="BU16" s="219"/>
      <c r="BV16" s="219"/>
      <c r="BW16" s="219"/>
      <c r="BX16" s="219"/>
      <c r="BY16" s="219"/>
      <c r="BZ16" s="219"/>
      <c r="CA16" s="219"/>
      <c r="CB16" s="219"/>
      <c r="CC16" s="219"/>
      <c r="CD16" s="219"/>
      <c r="CE16" s="219"/>
      <c r="CF16" s="219"/>
      <c r="CG16" s="223"/>
      <c r="CH16" s="223"/>
      <c r="CI16" s="223"/>
      <c r="CJ16" s="223"/>
      <c r="CK16" s="223"/>
      <c r="CL16" s="223"/>
      <c r="CM16" s="223"/>
      <c r="CN16" s="223"/>
      <c r="CO16" s="223"/>
      <c r="CP16" s="223"/>
      <c r="CQ16" s="223"/>
      <c r="CR16" s="223"/>
      <c r="CS16" s="223"/>
      <c r="CT16" s="223"/>
      <c r="CU16" s="223"/>
      <c r="CV16" s="223"/>
      <c r="CW16" s="223"/>
      <c r="CX16" s="223"/>
      <c r="CY16" s="223"/>
      <c r="CZ16" s="223"/>
      <c r="DA16" s="223"/>
      <c r="DB16" s="223"/>
      <c r="DC16" s="223"/>
      <c r="DD16" s="223"/>
      <c r="DE16" s="223"/>
      <c r="DF16" s="223"/>
      <c r="DG16" s="223"/>
      <c r="DH16" s="223"/>
      <c r="DI16" s="223"/>
      <c r="DJ16" s="223"/>
      <c r="DK16" s="223"/>
      <c r="DL16" s="223"/>
      <c r="DM16" s="223"/>
      <c r="DN16" s="223"/>
      <c r="DO16" s="223"/>
      <c r="DP16" s="223"/>
      <c r="DQ16" s="223"/>
      <c r="DR16" s="223"/>
      <c r="DS16" s="223"/>
      <c r="DT16" s="223"/>
      <c r="DU16" s="223"/>
      <c r="DV16" s="223"/>
      <c r="DW16" s="223"/>
      <c r="DX16" s="223"/>
      <c r="DY16" s="223"/>
      <c r="DZ16" s="223"/>
      <c r="EA16" s="223"/>
      <c r="EB16" s="223"/>
      <c r="EC16" s="223"/>
      <c r="ED16" s="223"/>
      <c r="EE16" s="223"/>
      <c r="EF16" s="223"/>
      <c r="EG16" s="223"/>
      <c r="EH16" s="223"/>
      <c r="EI16" s="223"/>
      <c r="EJ16" s="223"/>
      <c r="EK16" s="223"/>
      <c r="EL16" s="223"/>
      <c r="EM16" s="223"/>
      <c r="EN16" s="223"/>
      <c r="EO16" s="223"/>
      <c r="EP16" s="223"/>
      <c r="EQ16" s="223"/>
      <c r="ER16" s="223"/>
      <c r="ES16" s="223"/>
      <c r="ET16" s="223"/>
      <c r="EU16" s="223"/>
      <c r="EV16" s="223"/>
      <c r="EW16" s="223"/>
      <c r="EX16" s="223"/>
      <c r="EY16" s="223"/>
      <c r="EZ16" s="223"/>
      <c r="FA16" s="223"/>
      <c r="FB16" s="223"/>
      <c r="FC16" s="223"/>
      <c r="FD16" s="223"/>
      <c r="FE16" s="223"/>
      <c r="FF16" s="223"/>
      <c r="FG16" s="223"/>
      <c r="FH16" s="223"/>
      <c r="FI16" s="223"/>
      <c r="FJ16" s="223"/>
      <c r="FK16" s="223"/>
      <c r="FL16" s="223"/>
      <c r="FM16" s="223"/>
      <c r="FN16" s="223"/>
      <c r="FO16" s="223"/>
      <c r="FP16" s="223"/>
      <c r="FQ16" s="223"/>
      <c r="FR16" s="223"/>
      <c r="FS16" s="223"/>
      <c r="FT16" s="223"/>
      <c r="FU16" s="223"/>
      <c r="FV16" s="223"/>
      <c r="FW16" s="223"/>
      <c r="FX16" s="223"/>
      <c r="FY16" s="223"/>
      <c r="FZ16" s="223"/>
      <c r="GA16" s="223"/>
      <c r="GB16" s="223"/>
      <c r="GC16" s="223"/>
      <c r="GD16" s="223"/>
      <c r="GE16" s="223"/>
      <c r="GF16" s="223"/>
      <c r="GG16" s="223"/>
      <c r="GH16" s="223"/>
      <c r="GI16" s="223"/>
      <c r="GJ16" s="223"/>
      <c r="GK16" s="223"/>
      <c r="GL16" s="223"/>
      <c r="GM16" s="223"/>
      <c r="GN16" s="223"/>
      <c r="GO16" s="223"/>
      <c r="GP16" s="223"/>
      <c r="GQ16" s="223"/>
      <c r="GR16" s="223"/>
      <c r="GS16" s="223"/>
      <c r="GT16" s="223"/>
      <c r="GU16" s="223"/>
      <c r="GV16" s="223"/>
      <c r="GW16" s="223"/>
      <c r="GX16" s="223"/>
      <c r="GY16" s="223"/>
      <c r="GZ16" s="223"/>
      <c r="HA16" s="223"/>
      <c r="HB16" s="223"/>
      <c r="HC16" s="223"/>
      <c r="HD16" s="223"/>
      <c r="HE16" s="223"/>
      <c r="HF16" s="223"/>
      <c r="HG16" s="223"/>
      <c r="HH16" s="223"/>
      <c r="HI16" s="223"/>
      <c r="HJ16" s="223"/>
      <c r="HK16" s="223"/>
      <c r="HL16" s="223"/>
      <c r="HM16" s="223"/>
      <c r="HN16" s="223"/>
      <c r="HO16" s="223"/>
      <c r="HP16" s="223"/>
      <c r="HQ16" s="223"/>
      <c r="HR16" s="223"/>
      <c r="HS16" s="223"/>
      <c r="HT16" s="223"/>
      <c r="HU16" s="223"/>
      <c r="HV16" s="223"/>
      <c r="HW16" s="223"/>
      <c r="HX16" s="223"/>
      <c r="HY16" s="223"/>
      <c r="HZ16" s="223"/>
      <c r="IA16" s="223"/>
      <c r="IB16" s="223"/>
      <c r="IC16" s="223"/>
      <c r="ID16" s="223"/>
      <c r="IE16" s="223"/>
      <c r="IF16" s="223"/>
      <c r="IG16" s="223"/>
      <c r="IH16" s="223"/>
      <c r="II16" s="223"/>
      <c r="IJ16" s="223"/>
      <c r="IK16" s="223"/>
      <c r="IL16" s="223"/>
      <c r="IM16" s="223"/>
      <c r="IN16" s="223"/>
      <c r="IO16" s="223"/>
      <c r="IP16" s="223"/>
      <c r="IQ16" s="223"/>
      <c r="IR16" s="223"/>
      <c r="IS16" s="223"/>
      <c r="IT16" s="223"/>
      <c r="IU16" s="223"/>
      <c r="IV16" s="223"/>
      <c r="IW16" s="223"/>
      <c r="IX16" s="223"/>
      <c r="IY16" s="223"/>
      <c r="IZ16" s="223"/>
      <c r="JA16" s="223"/>
      <c r="JB16" s="223"/>
      <c r="JC16" s="223"/>
      <c r="JD16" s="223"/>
      <c r="JE16" s="223"/>
      <c r="JF16" s="223"/>
      <c r="JG16" s="223"/>
      <c r="JH16" s="223"/>
      <c r="JI16" s="223"/>
      <c r="JJ16" s="223"/>
      <c r="JK16" s="223"/>
      <c r="JL16" s="223"/>
      <c r="JM16" s="223"/>
      <c r="JN16" s="223"/>
      <c r="JO16" s="223"/>
      <c r="JP16" s="223"/>
      <c r="JQ16" s="223"/>
      <c r="JR16" s="223"/>
      <c r="JS16" s="223"/>
      <c r="JT16" s="223"/>
      <c r="JU16" s="223"/>
      <c r="JV16" s="223"/>
      <c r="JW16" s="223"/>
      <c r="JX16" s="223"/>
      <c r="JY16" s="223"/>
      <c r="JZ16" s="223"/>
      <c r="KA16" s="223"/>
      <c r="KB16" s="223"/>
      <c r="KC16" s="223"/>
      <c r="KD16" s="223"/>
      <c r="KE16" s="223"/>
      <c r="KF16" s="223"/>
      <c r="KG16" s="223"/>
      <c r="KH16" s="223"/>
      <c r="KI16" s="223"/>
      <c r="KJ16" s="223"/>
      <c r="KK16" s="223"/>
      <c r="KL16" s="223"/>
      <c r="KM16" s="223"/>
      <c r="KN16" s="223"/>
      <c r="KO16" s="223"/>
      <c r="KP16" s="223"/>
      <c r="KQ16" s="223"/>
      <c r="KR16" s="223"/>
      <c r="KS16" s="223"/>
      <c r="KT16" s="223"/>
      <c r="KU16" s="223"/>
      <c r="KV16" s="223"/>
      <c r="KW16" s="223"/>
      <c r="KX16" s="223"/>
      <c r="KY16" s="223"/>
      <c r="KZ16" s="223"/>
      <c r="LA16" s="223"/>
      <c r="LB16" s="223"/>
      <c r="LC16" s="223"/>
      <c r="LD16" s="223"/>
      <c r="LE16" s="223"/>
      <c r="LF16" s="223"/>
      <c r="LG16" s="223"/>
      <c r="LH16" s="223"/>
      <c r="LI16" s="223"/>
      <c r="LJ16" s="223"/>
      <c r="LK16" s="223"/>
      <c r="LL16" s="223"/>
      <c r="LM16" s="223"/>
      <c r="LN16" s="223"/>
      <c r="LO16" s="223"/>
      <c r="LP16" s="223"/>
      <c r="LQ16" s="223"/>
      <c r="LR16" s="223"/>
      <c r="LS16" s="223"/>
      <c r="LT16" s="223"/>
      <c r="LU16" s="223"/>
      <c r="LV16" s="223"/>
      <c r="LW16" s="223"/>
      <c r="LX16" s="223"/>
      <c r="LY16" s="223"/>
      <c r="LZ16" s="223"/>
      <c r="MA16" s="223"/>
      <c r="MB16" s="223"/>
      <c r="MC16" s="223"/>
      <c r="MD16" s="223"/>
      <c r="ME16" s="223"/>
      <c r="MF16" s="223"/>
      <c r="MG16" s="223"/>
      <c r="MH16" s="223"/>
      <c r="MI16" s="223"/>
      <c r="MJ16" s="223"/>
      <c r="MK16" s="223"/>
      <c r="ML16" s="223"/>
      <c r="MM16" s="223"/>
      <c r="MN16" s="223"/>
      <c r="MO16" s="223"/>
      <c r="MP16" s="223"/>
      <c r="MQ16" s="223"/>
      <c r="MR16" s="223"/>
      <c r="MS16" s="223"/>
      <c r="MT16" s="223"/>
      <c r="MU16" s="223"/>
      <c r="MV16" s="224"/>
      <c r="MW16" s="223"/>
      <c r="MX16" s="223"/>
      <c r="MY16" s="223"/>
      <c r="MZ16" s="223"/>
      <c r="NA16" s="223"/>
      <c r="NB16" s="223"/>
      <c r="NC16" s="223"/>
      <c r="ND16" s="223"/>
      <c r="NE16" s="223"/>
      <c r="NF16" s="223"/>
      <c r="NG16" s="223"/>
      <c r="NH16" s="223"/>
      <c r="NI16" s="223"/>
      <c r="NJ16" s="223"/>
      <c r="NK16" s="223"/>
      <c r="NL16" s="223"/>
      <c r="NM16" s="223"/>
      <c r="NN16" s="223"/>
      <c r="NO16" s="223"/>
      <c r="NP16" s="223"/>
      <c r="NQ16" s="223"/>
      <c r="NR16" s="223"/>
      <c r="NS16" s="223"/>
      <c r="NT16" s="223"/>
      <c r="NU16" s="223"/>
      <c r="NV16" s="223"/>
      <c r="NW16" s="223"/>
      <c r="NX16" s="223"/>
      <c r="NY16" s="223"/>
      <c r="NZ16" s="223"/>
      <c r="OA16" s="223"/>
      <c r="OB16" s="223"/>
      <c r="OC16" s="223"/>
      <c r="OD16" s="223"/>
      <c r="OE16" s="223"/>
      <c r="OF16" s="223"/>
      <c r="OG16" s="223"/>
      <c r="OH16" s="223"/>
      <c r="OI16" s="223"/>
      <c r="OJ16" s="223"/>
      <c r="OK16" s="223"/>
      <c r="OL16" s="223"/>
      <c r="OM16" s="223"/>
      <c r="ON16" s="223"/>
      <c r="OO16" s="223"/>
      <c r="OP16" s="223"/>
      <c r="OQ16" s="223"/>
      <c r="OR16" s="223"/>
      <c r="OS16" s="223"/>
      <c r="OT16" s="223"/>
      <c r="OU16" s="223"/>
      <c r="OV16" s="223"/>
      <c r="OW16" s="223"/>
      <c r="OX16" s="223"/>
      <c r="OY16" s="223"/>
      <c r="OZ16" s="223"/>
      <c r="PA16" s="223"/>
      <c r="PB16" s="223"/>
      <c r="PC16" s="223"/>
      <c r="PD16" s="223"/>
      <c r="PE16" s="223"/>
      <c r="PF16" s="223"/>
      <c r="PG16" s="223"/>
      <c r="PH16" s="223"/>
      <c r="PI16" s="223"/>
      <c r="PJ16" s="223"/>
      <c r="PK16" s="223"/>
      <c r="PL16" s="223"/>
      <c r="PM16" s="223"/>
      <c r="PN16" s="223"/>
      <c r="PO16" s="223"/>
      <c r="PP16" s="223"/>
      <c r="PQ16" s="223"/>
      <c r="PR16" s="223"/>
      <c r="PS16" s="223"/>
      <c r="PT16" s="223"/>
      <c r="PU16" s="223"/>
      <c r="PV16" s="223"/>
      <c r="PW16" s="223"/>
      <c r="PX16" s="223"/>
      <c r="PY16" s="223"/>
      <c r="PZ16" s="223"/>
      <c r="QA16" s="223"/>
      <c r="QB16" s="223"/>
      <c r="QC16" s="223"/>
      <c r="QD16" s="223"/>
      <c r="QE16" s="223"/>
      <c r="QF16" s="223"/>
      <c r="QG16" s="223"/>
      <c r="QH16" s="223"/>
      <c r="QI16" s="223"/>
      <c r="QJ16" s="223"/>
      <c r="QK16" s="223"/>
      <c r="QL16" s="223"/>
      <c r="QM16" s="223"/>
      <c r="QN16" s="223"/>
      <c r="QO16" s="223"/>
      <c r="QP16" s="223"/>
      <c r="QQ16" s="223"/>
      <c r="QR16" s="223"/>
      <c r="QS16" s="223"/>
      <c r="QT16" s="223"/>
      <c r="QU16" s="223"/>
      <c r="QV16" s="223"/>
      <c r="QW16" s="223"/>
      <c r="QX16" s="223"/>
      <c r="QY16" s="223"/>
      <c r="QZ16" s="223"/>
      <c r="RA16" s="223"/>
      <c r="RB16" s="223"/>
      <c r="RC16" s="223"/>
      <c r="RD16" s="223"/>
      <c r="RE16" s="223"/>
      <c r="RF16" s="223"/>
      <c r="RG16" s="223"/>
      <c r="RH16" s="223"/>
      <c r="RI16" s="223"/>
      <c r="RJ16" s="223"/>
      <c r="RK16" s="223"/>
      <c r="RL16" s="223"/>
      <c r="RM16" s="223"/>
      <c r="RN16" s="223"/>
      <c r="RO16" s="223"/>
      <c r="RP16" s="223"/>
      <c r="RQ16" s="223"/>
      <c r="RR16" s="223"/>
      <c r="RS16" s="223"/>
      <c r="RT16" s="223"/>
      <c r="RU16" s="223"/>
      <c r="RV16" s="223"/>
      <c r="RW16" s="223"/>
      <c r="RX16" s="223"/>
      <c r="RY16" s="223"/>
      <c r="RZ16" s="223"/>
      <c r="SA16" s="223"/>
      <c r="SB16" s="223"/>
      <c r="SC16" s="223"/>
      <c r="SD16" s="223"/>
      <c r="SE16" s="223"/>
      <c r="SF16" s="223"/>
      <c r="SG16" s="223"/>
      <c r="SH16" s="223"/>
      <c r="SI16" s="223"/>
      <c r="SJ16" s="223"/>
      <c r="SK16" s="223"/>
      <c r="SL16" s="223"/>
      <c r="SM16" s="223"/>
      <c r="SN16" s="223"/>
      <c r="SO16" s="223"/>
      <c r="SP16" s="223"/>
      <c r="SQ16" s="223"/>
      <c r="SR16" s="223"/>
      <c r="SS16" s="223"/>
      <c r="ST16" s="223"/>
      <c r="SU16" s="223"/>
      <c r="SV16" s="223"/>
      <c r="SW16" s="223"/>
      <c r="SX16" s="223"/>
      <c r="SY16" s="223"/>
      <c r="SZ16" s="223"/>
      <c r="TA16" s="223"/>
      <c r="TB16" s="223"/>
      <c r="TC16" s="223"/>
      <c r="TD16" s="223"/>
      <c r="TE16" s="223"/>
      <c r="TF16" s="223"/>
      <c r="TG16" s="223"/>
      <c r="TH16" s="223"/>
      <c r="TI16" s="223"/>
      <c r="TJ16" s="223"/>
      <c r="TK16" s="223"/>
      <c r="TL16" s="223"/>
      <c r="TM16" s="223"/>
      <c r="TN16" s="223"/>
      <c r="TO16" s="223"/>
      <c r="TP16" s="223"/>
      <c r="TQ16" s="223"/>
      <c r="TR16" s="223"/>
      <c r="TS16" s="223"/>
      <c r="TT16" s="223"/>
      <c r="TU16" s="223"/>
      <c r="TV16" s="223"/>
      <c r="TW16" s="223"/>
      <c r="TX16" s="223"/>
      <c r="TY16" s="223"/>
      <c r="TZ16" s="223"/>
      <c r="UA16" s="223"/>
      <c r="UB16" s="223"/>
      <c r="UC16" s="223"/>
      <c r="UD16" s="223"/>
      <c r="UE16" s="223"/>
      <c r="UF16" s="223"/>
      <c r="UG16" s="223"/>
      <c r="UH16" s="223"/>
      <c r="UI16" s="223"/>
      <c r="UJ16" s="223"/>
      <c r="UK16" s="223"/>
      <c r="UL16" s="223"/>
      <c r="UM16" s="223"/>
      <c r="UN16" s="223"/>
      <c r="UO16" s="223"/>
      <c r="UP16" s="223"/>
      <c r="UQ16" s="223"/>
      <c r="UR16" s="223"/>
      <c r="US16" s="223"/>
      <c r="UT16" s="223"/>
      <c r="UU16" s="223"/>
      <c r="UV16" s="223"/>
      <c r="UW16" s="223"/>
      <c r="UX16" s="223"/>
      <c r="UY16" s="223"/>
      <c r="UZ16" s="223"/>
      <c r="VA16" s="223"/>
      <c r="VB16" s="223"/>
      <c r="VC16" s="223"/>
      <c r="VD16" s="223"/>
      <c r="VE16" s="223"/>
      <c r="VF16" s="223"/>
      <c r="VG16" s="223"/>
      <c r="VH16" s="223"/>
      <c r="VI16" s="223"/>
      <c r="VJ16" s="223"/>
      <c r="VK16" s="223"/>
      <c r="VL16" s="223"/>
      <c r="VM16" s="223"/>
      <c r="VN16" s="223"/>
      <c r="VO16" s="223"/>
      <c r="VP16" s="223"/>
      <c r="VQ16" s="223"/>
      <c r="VR16" s="223"/>
      <c r="VS16" s="223"/>
      <c r="VT16" s="223"/>
      <c r="VU16" s="223"/>
      <c r="VV16" s="223"/>
      <c r="VW16" s="223"/>
      <c r="VX16" s="223"/>
      <c r="VY16" s="223"/>
      <c r="VZ16" s="223"/>
      <c r="WA16" s="223"/>
      <c r="WB16" s="223"/>
      <c r="WC16" s="223"/>
      <c r="WD16" s="223"/>
      <c r="WE16" s="223"/>
      <c r="WF16" s="223"/>
      <c r="WG16" s="223"/>
      <c r="WH16" s="223"/>
      <c r="WI16" s="223"/>
      <c r="WJ16" s="223"/>
      <c r="WK16" s="223"/>
      <c r="WL16" s="223"/>
      <c r="WM16" s="223"/>
      <c r="WN16" s="223"/>
      <c r="WO16" s="223"/>
      <c r="WP16" s="223"/>
      <c r="WQ16" s="223"/>
      <c r="WR16" s="223"/>
      <c r="WS16" s="223"/>
      <c r="WT16" s="223"/>
      <c r="WU16" s="223"/>
      <c r="WV16" s="223"/>
      <c r="WW16" s="223"/>
      <c r="WX16" s="223"/>
      <c r="WY16" s="223"/>
      <c r="WZ16" s="223"/>
      <c r="XA16" s="223"/>
      <c r="XB16" s="223"/>
      <c r="XC16" s="223"/>
      <c r="XD16" s="223"/>
      <c r="XE16" s="223"/>
      <c r="XF16" s="223"/>
      <c r="XG16" s="223"/>
      <c r="XH16" s="223"/>
      <c r="XI16" s="223"/>
      <c r="XJ16" s="223"/>
      <c r="XK16" s="223"/>
      <c r="XL16" s="223"/>
      <c r="XM16" s="223"/>
      <c r="XN16" s="223"/>
      <c r="XO16" s="223"/>
      <c r="XP16" s="223"/>
      <c r="XQ16" s="223"/>
      <c r="XR16" s="223"/>
      <c r="XS16" s="223"/>
      <c r="XT16" s="223"/>
      <c r="XU16" s="223"/>
      <c r="XV16" s="223"/>
      <c r="XW16" s="223"/>
      <c r="XX16" s="223"/>
      <c r="XY16" s="223"/>
      <c r="XZ16" s="223"/>
      <c r="YA16" s="223"/>
      <c r="YB16" s="223"/>
      <c r="YC16" s="223"/>
      <c r="YD16" s="223"/>
      <c r="YE16" s="223"/>
      <c r="YF16" s="223"/>
      <c r="YG16" s="223"/>
      <c r="YH16" s="223"/>
      <c r="YI16" s="223"/>
      <c r="YJ16" s="223"/>
      <c r="YK16" s="223"/>
      <c r="YL16" s="223"/>
      <c r="YM16" s="223"/>
      <c r="YN16" s="223"/>
      <c r="YO16" s="223"/>
      <c r="YP16" s="223"/>
      <c r="YQ16" s="223"/>
      <c r="YR16" s="223"/>
      <c r="YS16" s="223"/>
      <c r="YT16" s="223"/>
      <c r="YU16" s="223"/>
      <c r="YV16" s="223"/>
      <c r="YW16" s="223"/>
      <c r="YX16" s="223"/>
      <c r="YY16" s="223"/>
      <c r="YZ16" s="223"/>
      <c r="ZA16" s="223"/>
      <c r="ZB16" s="223"/>
      <c r="ZC16" s="223"/>
      <c r="ZD16" s="223"/>
      <c r="ZE16" s="223"/>
      <c r="ZF16" s="223"/>
      <c r="ZG16" s="223"/>
      <c r="ZH16" s="223"/>
      <c r="ZI16" s="223"/>
      <c r="ZJ16" s="223"/>
      <c r="ZK16" s="223"/>
      <c r="ZL16" s="223"/>
      <c r="ZM16" s="223"/>
      <c r="ZN16" s="223"/>
      <c r="ZO16" s="223"/>
      <c r="ZP16" s="223"/>
      <c r="ZQ16" s="223"/>
      <c r="ZR16" s="223"/>
      <c r="ZS16" s="223"/>
      <c r="ZT16" s="223"/>
      <c r="ZU16" s="223"/>
      <c r="ZV16" s="223"/>
      <c r="ZW16" s="223"/>
      <c r="ZX16" s="223"/>
      <c r="ZY16" s="223"/>
      <c r="ZZ16" s="223"/>
      <c r="AAA16" s="223"/>
      <c r="AAB16" s="223"/>
      <c r="AAC16" s="223"/>
      <c r="AAD16" s="223"/>
      <c r="AAE16" s="223"/>
      <c r="AAF16" s="223"/>
      <c r="AAG16" s="223"/>
      <c r="AAH16" s="223"/>
      <c r="AAI16" s="223"/>
      <c r="AAJ16" s="223"/>
      <c r="AAK16" s="223"/>
      <c r="AAL16" s="223"/>
      <c r="AAM16" s="223"/>
      <c r="AAN16" s="223"/>
      <c r="AAO16" s="223"/>
      <c r="AAP16" s="223"/>
      <c r="AAQ16" s="223"/>
      <c r="AAR16" s="223"/>
      <c r="AAS16" s="223"/>
      <c r="AAT16" s="223"/>
      <c r="AAU16" s="223"/>
      <c r="AAV16" s="223"/>
      <c r="AAW16" s="223"/>
      <c r="AAX16" s="223"/>
      <c r="AAY16" s="223"/>
      <c r="AAZ16" s="223"/>
      <c r="ABA16" s="223"/>
      <c r="ABB16" s="223"/>
      <c r="ABC16" s="223"/>
      <c r="ABD16" s="223"/>
      <c r="ABE16" s="223"/>
      <c r="ABF16" s="223"/>
      <c r="ABG16" s="223"/>
      <c r="ABH16" s="223"/>
      <c r="ABI16" s="223"/>
      <c r="ABJ16" s="223"/>
      <c r="ABK16" s="223"/>
      <c r="ABL16" s="223"/>
      <c r="ABM16" s="223"/>
      <c r="ABN16" s="223"/>
      <c r="ABO16" s="223"/>
      <c r="ABP16" s="223"/>
      <c r="ABQ16" s="223"/>
      <c r="ABR16" s="223"/>
      <c r="ABS16" s="223"/>
      <c r="ABT16" s="223"/>
      <c r="ABU16" s="223"/>
      <c r="ABV16" s="223"/>
      <c r="ABW16" s="223"/>
      <c r="ABX16" s="223"/>
      <c r="ABY16" s="223"/>
      <c r="ABZ16" s="223"/>
      <c r="ACA16" s="223"/>
      <c r="ACB16" s="223"/>
      <c r="ACC16" s="223"/>
      <c r="ACD16" s="223"/>
      <c r="ACE16" s="223"/>
      <c r="ACF16" s="223"/>
      <c r="ACG16" s="223"/>
      <c r="ACH16" s="223"/>
      <c r="ACI16" s="223"/>
      <c r="ACJ16" s="223"/>
      <c r="ACK16" s="223"/>
      <c r="ACL16" s="223"/>
      <c r="ACM16" s="223"/>
      <c r="ACN16" s="223"/>
      <c r="ACO16" s="223"/>
      <c r="ACP16" s="223"/>
      <c r="ACQ16" s="223"/>
      <c r="ACR16" s="223"/>
      <c r="ACS16" s="223"/>
      <c r="ACT16" s="223"/>
      <c r="ACU16" s="223"/>
      <c r="ACV16" s="223"/>
      <c r="ACW16" s="223"/>
      <c r="ACX16" s="223"/>
      <c r="ACY16" s="223"/>
      <c r="ACZ16" s="223"/>
      <c r="ADA16" s="223"/>
      <c r="ADB16" s="223"/>
      <c r="ADC16" s="223"/>
      <c r="ADD16" s="223"/>
      <c r="ADE16" s="223"/>
      <c r="ADF16" s="223"/>
      <c r="ADG16" s="223"/>
      <c r="ADH16" s="223"/>
      <c r="ADI16" s="223"/>
      <c r="ADJ16" s="223"/>
      <c r="ADK16" s="223"/>
      <c r="ADL16" s="223"/>
      <c r="ADM16" s="223"/>
      <c r="ADN16" s="223"/>
      <c r="ADO16" s="223"/>
      <c r="ADP16" s="223"/>
      <c r="ADQ16" s="223"/>
      <c r="ADR16" s="223"/>
      <c r="ADS16" s="223"/>
      <c r="ADT16" s="223"/>
      <c r="ADU16" s="223"/>
      <c r="ADV16" s="223"/>
      <c r="ADW16" s="223"/>
      <c r="ADX16" s="223"/>
      <c r="ADY16" s="223"/>
      <c r="ADZ16" s="223"/>
      <c r="AEA16" s="223"/>
      <c r="AEB16" s="223"/>
      <c r="AEC16" s="223"/>
      <c r="AED16" s="223"/>
      <c r="AEE16" s="223"/>
      <c r="AEF16" s="223"/>
      <c r="AEG16" s="223"/>
      <c r="AEH16" s="223"/>
      <c r="AEI16" s="223"/>
      <c r="AEJ16" s="223"/>
      <c r="AEK16" s="223"/>
      <c r="AEL16" s="223"/>
      <c r="AEM16" s="223"/>
      <c r="AEN16" s="223"/>
      <c r="AEO16" s="223"/>
      <c r="AEP16" s="223"/>
      <c r="AEQ16" s="223"/>
      <c r="AER16" s="223"/>
      <c r="AES16" s="223"/>
      <c r="AET16" s="223"/>
      <c r="AEU16" s="223"/>
      <c r="AEV16" s="223"/>
      <c r="AEW16" s="223"/>
      <c r="AEX16" s="223"/>
      <c r="AEY16" s="223"/>
      <c r="AEZ16" s="223"/>
      <c r="AFA16" s="223"/>
      <c r="AFB16" s="223"/>
      <c r="AFC16" s="223"/>
      <c r="AFD16" s="223"/>
      <c r="AFE16" s="223"/>
      <c r="AFF16" s="223"/>
      <c r="AFG16" s="223"/>
      <c r="AFH16" s="223"/>
      <c r="AFI16" s="223"/>
      <c r="AFJ16" s="223"/>
      <c r="AFK16" s="223"/>
      <c r="AFL16" s="223"/>
      <c r="AFM16" s="223"/>
      <c r="AFN16" s="223"/>
      <c r="AFO16" s="223"/>
      <c r="AFP16" s="223"/>
      <c r="AFQ16" s="223"/>
      <c r="AFR16" s="223"/>
      <c r="AFS16" s="223"/>
      <c r="AFT16" s="223"/>
      <c r="AFU16" s="223"/>
      <c r="AFV16" s="223"/>
      <c r="AFW16" s="223"/>
      <c r="AFX16" s="223"/>
      <c r="AFY16" s="223"/>
      <c r="AFZ16" s="223"/>
      <c r="AGA16" s="223"/>
      <c r="AGB16" s="223"/>
      <c r="AGC16" s="223"/>
      <c r="AGD16" s="223"/>
      <c r="AGE16" s="223"/>
      <c r="AGF16" s="223"/>
      <c r="AGG16" s="223"/>
      <c r="AGH16" s="223"/>
      <c r="AGI16" s="223"/>
      <c r="AGJ16" s="223"/>
      <c r="AGK16" s="223"/>
      <c r="AGL16" s="223"/>
      <c r="AGM16" s="223"/>
      <c r="AGN16" s="223"/>
      <c r="AGO16" s="223"/>
      <c r="AGP16" s="223"/>
      <c r="AGQ16" s="223"/>
      <c r="AGR16" s="223"/>
      <c r="AGS16" s="223"/>
      <c r="AGT16" s="223"/>
      <c r="AGU16" s="223"/>
      <c r="AGV16" s="223"/>
      <c r="AGW16" s="223"/>
      <c r="AGX16" s="223"/>
      <c r="AGY16" s="223"/>
      <c r="AGZ16" s="223"/>
      <c r="AHA16" s="223"/>
      <c r="AHB16" s="223"/>
      <c r="AHC16" s="223"/>
      <c r="AHD16" s="223"/>
      <c r="AHE16" s="223"/>
      <c r="AHF16" s="223"/>
      <c r="AHG16" s="223"/>
      <c r="AHH16" s="223"/>
      <c r="AHI16" s="223"/>
      <c r="AHJ16" s="223"/>
      <c r="AHK16" s="223"/>
      <c r="AHL16" s="223"/>
      <c r="AHM16" s="223"/>
      <c r="AHN16" s="223"/>
      <c r="AHO16" s="223"/>
      <c r="AHP16" s="223"/>
      <c r="AHQ16" s="223"/>
      <c r="AHR16" s="223"/>
      <c r="AHS16" s="223"/>
      <c r="AHT16" s="223"/>
      <c r="AHU16" s="223"/>
      <c r="AHV16" s="223"/>
      <c r="AHW16" s="223"/>
      <c r="AHX16" s="223"/>
      <c r="AHY16" s="223"/>
      <c r="AHZ16" s="223"/>
      <c r="AIA16" s="223"/>
      <c r="AIB16" s="223"/>
      <c r="AIC16" s="223"/>
      <c r="AID16" s="223"/>
      <c r="AIE16" s="223"/>
      <c r="AIF16" s="223"/>
      <c r="AIG16" s="223"/>
      <c r="AIH16" s="223"/>
      <c r="AII16" s="223"/>
      <c r="AIJ16" s="223"/>
      <c r="AIK16" s="223"/>
      <c r="AIL16" s="223"/>
      <c r="AIM16" s="223"/>
      <c r="AIN16" s="223"/>
      <c r="AIO16" s="223"/>
      <c r="AIP16" s="223"/>
      <c r="AIQ16" s="223"/>
      <c r="AIR16" s="223"/>
      <c r="AIS16" s="223"/>
      <c r="AIT16" s="223"/>
      <c r="AIU16" s="223"/>
      <c r="AIV16" s="223"/>
      <c r="AIW16" s="223"/>
      <c r="AIX16" s="223"/>
      <c r="AIY16" s="223"/>
      <c r="AIZ16" s="223"/>
      <c r="AJA16" s="223"/>
      <c r="AJB16" s="223"/>
      <c r="AJC16" s="223"/>
      <c r="AJD16" s="223"/>
      <c r="AJE16" s="223"/>
      <c r="AJF16" s="223"/>
      <c r="AJG16" s="223"/>
      <c r="AJH16" s="223"/>
      <c r="AJI16" s="223"/>
      <c r="AJJ16" s="223"/>
      <c r="AJK16" s="223"/>
      <c r="AJL16" s="223"/>
      <c r="AJM16" s="223"/>
      <c r="AJN16" s="223"/>
      <c r="AJO16" s="223"/>
      <c r="AJP16" s="223"/>
      <c r="AJQ16" s="223"/>
      <c r="AJR16" s="223"/>
      <c r="AJS16" s="223"/>
      <c r="AJT16" s="223"/>
      <c r="AJU16" s="223"/>
      <c r="AJV16" s="223"/>
      <c r="AJW16" s="223"/>
      <c r="AJX16" s="223"/>
      <c r="AJY16" s="223"/>
      <c r="AJZ16" s="223"/>
      <c r="AKA16" s="223"/>
      <c r="AKB16" s="223"/>
      <c r="AKC16" s="223"/>
      <c r="AKD16" s="223"/>
      <c r="AKE16" s="223"/>
      <c r="AKF16" s="223"/>
      <c r="AKG16" s="223"/>
      <c r="AKH16" s="223"/>
      <c r="AKI16" s="223"/>
      <c r="AKJ16" s="223"/>
      <c r="AKK16" s="223"/>
      <c r="AKL16" s="223"/>
      <c r="AKM16" s="223"/>
      <c r="AKN16" s="223"/>
      <c r="AKO16" s="223"/>
      <c r="AKP16" s="223"/>
      <c r="AKQ16" s="223"/>
      <c r="AKR16" s="223"/>
      <c r="AKS16" s="223"/>
      <c r="AKT16" s="223"/>
      <c r="AKU16" s="223"/>
      <c r="AKV16" s="223"/>
      <c r="AKW16" s="223"/>
      <c r="AKX16" s="223"/>
      <c r="AKY16" s="223"/>
      <c r="AKZ16" s="223"/>
      <c r="ALA16" s="223"/>
      <c r="ALB16" s="223"/>
      <c r="ALC16" s="223"/>
      <c r="ALD16" s="223"/>
      <c r="ALE16" s="223"/>
      <c r="ALF16" s="223"/>
      <c r="ALG16" s="223"/>
      <c r="ALH16" s="223"/>
      <c r="ALI16" s="223"/>
      <c r="ALJ16" s="223"/>
      <c r="ALK16" s="223"/>
      <c r="ALL16" s="223"/>
      <c r="ALM16" s="223"/>
      <c r="ALN16" s="223"/>
      <c r="ALO16" s="223"/>
      <c r="ALP16" s="223"/>
      <c r="ALQ16" s="223"/>
      <c r="ALR16" s="223"/>
      <c r="ALS16" s="223"/>
      <c r="ALT16" s="223"/>
      <c r="ALU16" s="223"/>
      <c r="ALV16" s="223"/>
      <c r="ALW16" s="223"/>
      <c r="ALX16" s="223"/>
      <c r="ALY16" s="223"/>
      <c r="ALZ16" s="223"/>
      <c r="AMA16" s="223"/>
      <c r="AMB16" s="223"/>
      <c r="AMC16" s="223"/>
      <c r="AMD16" s="223"/>
      <c r="AME16" s="223"/>
      <c r="AMF16" s="223"/>
      <c r="AMG16" s="223"/>
      <c r="AMH16" s="223"/>
      <c r="AMI16" s="223"/>
      <c r="AMJ16" s="223"/>
      <c r="AMK16" s="223"/>
      <c r="AML16" s="223"/>
      <c r="AMM16" s="223"/>
      <c r="AMN16" s="223"/>
      <c r="AMO16" s="223"/>
      <c r="AMP16" s="223"/>
      <c r="AMQ16" s="223"/>
      <c r="AMR16" s="223"/>
      <c r="AMS16" s="223"/>
      <c r="AMT16" s="223"/>
      <c r="AMU16" s="223"/>
      <c r="AMV16" s="223"/>
      <c r="AMW16" s="223"/>
      <c r="AMX16" s="223"/>
      <c r="AMY16" s="223"/>
      <c r="AMZ16" s="223"/>
      <c r="ANA16" s="223"/>
      <c r="ANB16" s="223"/>
      <c r="ANC16" s="223"/>
      <c r="AND16" s="223"/>
      <c r="ANE16" s="223"/>
      <c r="ANF16" s="223"/>
      <c r="ANG16" s="223"/>
      <c r="ANH16" s="223"/>
      <c r="ANI16" s="223"/>
      <c r="ANJ16" s="223"/>
      <c r="ANK16" s="223"/>
      <c r="ANL16" s="223"/>
      <c r="ANM16" s="223"/>
      <c r="ANN16" s="223"/>
      <c r="ANO16" s="223"/>
      <c r="ANP16" s="223"/>
      <c r="ANQ16" s="223"/>
      <c r="ANR16" s="223"/>
      <c r="ANS16" s="223"/>
      <c r="ANT16" s="223"/>
      <c r="ANU16" s="223"/>
      <c r="ANV16" s="223"/>
      <c r="ANW16" s="223"/>
      <c r="ANX16" s="223"/>
      <c r="ANY16" s="223"/>
      <c r="ANZ16" s="223"/>
      <c r="AOA16" s="223"/>
      <c r="AOB16" s="223"/>
      <c r="AOC16" s="223"/>
      <c r="AOD16" s="223"/>
      <c r="AOE16" s="223"/>
      <c r="AOF16" s="223"/>
      <c r="AOG16" s="223"/>
      <c r="AOH16" s="223"/>
      <c r="AOI16" s="223"/>
      <c r="AOJ16" s="223"/>
      <c r="AOK16" s="223"/>
      <c r="AOL16" s="223"/>
      <c r="AOM16" s="223"/>
      <c r="AON16" s="223"/>
      <c r="AOO16" s="223"/>
      <c r="AOP16" s="223"/>
      <c r="AOQ16" s="223"/>
      <c r="AOR16" s="223"/>
      <c r="AOS16" s="223"/>
      <c r="AOT16" s="223"/>
      <c r="AOU16" s="223"/>
      <c r="AOV16" s="223"/>
      <c r="AOW16" s="223"/>
      <c r="AOX16" s="223"/>
      <c r="AOY16" s="223"/>
      <c r="AOZ16" s="223"/>
      <c r="APA16" s="223"/>
      <c r="APB16" s="223"/>
      <c r="APC16" s="223"/>
      <c r="APD16" s="223"/>
      <c r="APE16" s="223"/>
      <c r="APF16" s="223"/>
      <c r="APG16" s="223"/>
      <c r="APH16" s="223"/>
      <c r="API16" s="223"/>
      <c r="APJ16" s="223"/>
      <c r="APK16" s="223"/>
      <c r="APL16" s="223"/>
      <c r="APM16" s="223"/>
      <c r="APN16" s="223"/>
      <c r="APO16" s="223"/>
      <c r="APP16" s="223"/>
      <c r="APQ16" s="223"/>
      <c r="APR16" s="223"/>
      <c r="APS16" s="223"/>
      <c r="APT16" s="223"/>
      <c r="APU16" s="223"/>
      <c r="APV16" s="223"/>
      <c r="APW16" s="223"/>
      <c r="APX16" s="223"/>
      <c r="APY16" s="223"/>
      <c r="APZ16" s="223"/>
      <c r="AQA16" s="223"/>
      <c r="AQB16" s="223"/>
      <c r="AQC16" s="223"/>
      <c r="AQD16" s="223"/>
      <c r="AQE16" s="223"/>
      <c r="AQF16" s="223"/>
      <c r="AQG16" s="223"/>
      <c r="AQH16" s="223"/>
      <c r="AQI16" s="223"/>
      <c r="AQJ16" s="223"/>
      <c r="AQK16" s="223"/>
      <c r="AQL16" s="223"/>
      <c r="AQM16" s="223"/>
      <c r="AQN16" s="223"/>
      <c r="AQO16" s="223"/>
      <c r="AQP16" s="223"/>
      <c r="AQQ16" s="223"/>
      <c r="AQR16" s="223"/>
      <c r="AQS16" s="223"/>
      <c r="AQT16" s="223"/>
      <c r="AQU16" s="223"/>
      <c r="AQV16" s="223"/>
      <c r="AQW16" s="223"/>
      <c r="AQX16" s="223"/>
      <c r="AQY16" s="223"/>
      <c r="AQZ16" s="223"/>
      <c r="ARA16" s="223"/>
      <c r="ARB16" s="223"/>
      <c r="ARC16" s="223"/>
      <c r="ARD16" s="223"/>
      <c r="ARE16" s="223"/>
      <c r="ARF16" s="223"/>
      <c r="ARG16" s="223"/>
      <c r="ARH16" s="223"/>
      <c r="ARI16" s="223"/>
      <c r="ARJ16" s="223"/>
      <c r="ARK16" s="223"/>
      <c r="ARL16" s="223"/>
      <c r="ARM16" s="223"/>
      <c r="ARN16" s="223"/>
      <c r="ARO16" s="223"/>
      <c r="ARP16" s="223"/>
      <c r="ARQ16" s="223"/>
      <c r="ARR16" s="223"/>
      <c r="ARS16" s="223"/>
      <c r="ART16" s="223"/>
      <c r="ARU16" s="223"/>
      <c r="ARV16" s="223"/>
      <c r="ARW16" s="223"/>
      <c r="ARX16" s="223"/>
      <c r="ARY16" s="223"/>
      <c r="ARZ16" s="223"/>
      <c r="ASA16" s="223"/>
      <c r="ASB16" s="223"/>
      <c r="ASC16" s="223"/>
      <c r="ASD16" s="223"/>
      <c r="ASE16" s="223"/>
      <c r="ASF16" s="223"/>
      <c r="ASG16" s="223"/>
      <c r="ASH16" s="223"/>
      <c r="ASI16" s="223"/>
      <c r="ASJ16" s="223"/>
      <c r="ASK16" s="223"/>
      <c r="ASL16" s="223"/>
      <c r="ASM16" s="223"/>
      <c r="ASN16" s="223"/>
      <c r="ASO16" s="223"/>
      <c r="ASP16" s="223"/>
      <c r="ASQ16" s="223"/>
      <c r="ASR16" s="223"/>
      <c r="ASS16" s="223"/>
      <c r="AST16" s="223"/>
      <c r="ASU16" s="223"/>
      <c r="ASV16" s="223"/>
      <c r="ASW16" s="223"/>
      <c r="ASX16" s="223"/>
      <c r="ASY16" s="223"/>
      <c r="ASZ16" s="223"/>
      <c r="ATA16" s="223"/>
      <c r="ATB16" s="223"/>
      <c r="ATC16" s="223"/>
      <c r="ATD16" s="223"/>
      <c r="ATE16" s="223"/>
      <c r="ATF16" s="223"/>
      <c r="ATG16" s="223"/>
      <c r="ATH16" s="223"/>
      <c r="ATI16" s="223"/>
      <c r="ATJ16" s="223"/>
      <c r="ATK16" s="223"/>
      <c r="ATL16" s="223"/>
      <c r="ATM16" s="223"/>
      <c r="ATN16" s="223"/>
      <c r="ATO16" s="223"/>
      <c r="ATP16" s="223"/>
      <c r="ATQ16" s="223"/>
      <c r="ATR16" s="223"/>
      <c r="ATS16" s="223"/>
      <c r="ATT16" s="223"/>
      <c r="ATU16" s="223"/>
      <c r="ATV16" s="223"/>
      <c r="ATW16" s="223"/>
      <c r="ATX16" s="223"/>
      <c r="ATY16" s="223"/>
      <c r="ATZ16" s="223"/>
      <c r="AUA16" s="223"/>
      <c r="AUB16" s="223"/>
      <c r="AUC16" s="223"/>
      <c r="AUD16" s="223"/>
      <c r="AUE16" s="223"/>
      <c r="AUF16" s="223"/>
      <c r="AUG16" s="223"/>
      <c r="AUH16" s="223"/>
      <c r="AUI16" s="223"/>
      <c r="AUJ16" s="223"/>
      <c r="AUK16" s="223"/>
      <c r="AUL16" s="223"/>
      <c r="AUM16" s="223"/>
      <c r="AUN16" s="223"/>
      <c r="AUO16" s="223"/>
      <c r="AUP16" s="223"/>
      <c r="AUQ16" s="223"/>
      <c r="AUR16" s="223"/>
      <c r="AUS16" s="223"/>
      <c r="AUT16" s="223"/>
      <c r="AUU16" s="223"/>
      <c r="AUV16" s="223"/>
      <c r="AUW16" s="223"/>
      <c r="AUX16" s="223"/>
      <c r="AUY16" s="223"/>
      <c r="AUZ16" s="223"/>
      <c r="AVA16" s="223"/>
      <c r="AVB16" s="223"/>
      <c r="AVC16" s="223"/>
      <c r="AVD16" s="223"/>
      <c r="AVE16" s="223"/>
      <c r="AVF16" s="223"/>
      <c r="AVG16" s="223"/>
      <c r="AVH16" s="223"/>
      <c r="AVI16" s="223"/>
      <c r="AVJ16" s="223"/>
      <c r="AVK16" s="223"/>
      <c r="AVL16" s="223"/>
      <c r="AVM16" s="223"/>
      <c r="AVN16" s="223"/>
      <c r="AVO16" s="223"/>
      <c r="AVP16" s="223"/>
      <c r="AVQ16" s="223"/>
      <c r="AVR16" s="223"/>
      <c r="AVS16" s="223"/>
      <c r="AVT16" s="223"/>
      <c r="AVU16" s="223"/>
      <c r="AVV16" s="223"/>
      <c r="AVW16" s="223"/>
      <c r="AVX16" s="223"/>
      <c r="AVY16" s="223"/>
      <c r="AVZ16" s="223"/>
      <c r="AWA16" s="223"/>
      <c r="AWB16" s="223"/>
      <c r="AWC16" s="223"/>
      <c r="AWD16" s="223"/>
      <c r="AWE16" s="223"/>
      <c r="AWF16" s="223"/>
      <c r="AWG16" s="223"/>
      <c r="AWH16" s="223"/>
      <c r="AWI16" s="223"/>
      <c r="AWJ16" s="223"/>
      <c r="AWK16" s="223"/>
      <c r="AWL16" s="223"/>
      <c r="AWM16" s="223"/>
      <c r="AWN16" s="223"/>
      <c r="AWO16" s="223"/>
      <c r="AWP16" s="223"/>
      <c r="AWQ16" s="223"/>
      <c r="AWR16" s="223"/>
      <c r="AWS16" s="223"/>
      <c r="AWT16" s="223"/>
      <c r="AWU16" s="223"/>
      <c r="AWV16" s="223"/>
      <c r="AWW16" s="223"/>
      <c r="AWX16" s="223"/>
      <c r="AWY16" s="223"/>
      <c r="AWZ16" s="223"/>
      <c r="AXA16" s="223"/>
      <c r="AXB16" s="223"/>
      <c r="AXC16" s="223"/>
      <c r="AXD16" s="223"/>
      <c r="AXE16" s="223"/>
      <c r="AXF16" s="223"/>
      <c r="AXG16" s="223"/>
      <c r="AXH16" s="223"/>
      <c r="AXI16" s="223"/>
      <c r="AXJ16" s="223"/>
      <c r="AXK16" s="223"/>
      <c r="AXL16" s="223"/>
      <c r="AXM16" s="223"/>
      <c r="AXN16" s="223"/>
      <c r="AXO16" s="223"/>
      <c r="AXP16" s="223"/>
      <c r="AXQ16" s="223"/>
      <c r="AXR16" s="223"/>
      <c r="AXS16" s="223"/>
      <c r="AXT16" s="223"/>
      <c r="AXU16" s="223"/>
      <c r="AXV16" s="223"/>
      <c r="AXW16" s="223"/>
      <c r="AXX16" s="223"/>
      <c r="AXY16" s="223"/>
      <c r="AXZ16" s="223"/>
      <c r="AYA16" s="223"/>
      <c r="AYB16" s="223"/>
      <c r="AYC16" s="223"/>
      <c r="AYD16" s="223"/>
      <c r="AYE16" s="223"/>
      <c r="AYF16" s="223"/>
      <c r="AYG16" s="223"/>
      <c r="AYH16" s="223"/>
      <c r="AYI16" s="223"/>
      <c r="AYJ16" s="223"/>
      <c r="AYK16" s="223"/>
      <c r="AYL16" s="223"/>
      <c r="AYM16" s="223"/>
      <c r="AYN16" s="223"/>
      <c r="AYO16" s="223"/>
      <c r="AYP16" s="223"/>
      <c r="AYQ16" s="223"/>
      <c r="AYR16" s="223"/>
      <c r="AYS16" s="223"/>
      <c r="AYT16" s="223"/>
      <c r="AYU16" s="223"/>
      <c r="AYV16" s="223"/>
      <c r="AYW16" s="223"/>
      <c r="AYX16" s="223"/>
      <c r="AYY16" s="223"/>
      <c r="AYZ16" s="223"/>
      <c r="AZA16" s="223"/>
      <c r="AZB16" s="223"/>
      <c r="AZC16" s="223"/>
      <c r="AZD16" s="223"/>
      <c r="AZE16" s="223"/>
      <c r="AZF16" s="223"/>
      <c r="AZG16" s="223"/>
      <c r="AZH16" s="223"/>
      <c r="AZI16" s="223"/>
      <c r="AZJ16" s="223"/>
      <c r="AZK16" s="223"/>
      <c r="AZL16" s="223"/>
      <c r="AZM16" s="223"/>
      <c r="AZN16" s="223"/>
      <c r="AZO16" s="223"/>
      <c r="AZP16" s="223"/>
      <c r="AZQ16" s="223"/>
      <c r="AZR16" s="223"/>
      <c r="AZS16" s="223"/>
      <c r="AZT16" s="223"/>
      <c r="AZU16" s="223"/>
      <c r="AZV16" s="223"/>
      <c r="AZW16" s="223"/>
      <c r="AZX16" s="223"/>
      <c r="AZY16" s="223"/>
      <c r="AZZ16" s="223"/>
      <c r="BAA16" s="223"/>
      <c r="BAB16" s="223"/>
      <c r="BAC16" s="223"/>
      <c r="BAD16" s="223"/>
      <c r="BAE16" s="223"/>
      <c r="BAF16" s="223"/>
      <c r="BAG16" s="223"/>
      <c r="BAH16" s="223"/>
      <c r="BAI16" s="223"/>
      <c r="BAJ16" s="223"/>
      <c r="BAK16" s="223"/>
      <c r="BAL16" s="223"/>
      <c r="BAM16" s="223"/>
      <c r="BAN16" s="223"/>
      <c r="BAO16" s="223"/>
      <c r="BAP16" s="223"/>
      <c r="BAQ16" s="223"/>
      <c r="BAR16" s="223"/>
      <c r="BAS16" s="223"/>
      <c r="BAT16" s="223"/>
      <c r="BAU16" s="223"/>
      <c r="BAV16" s="223"/>
      <c r="BAW16" s="223"/>
      <c r="BAX16" s="223"/>
      <c r="BAY16" s="223"/>
      <c r="BAZ16" s="223"/>
      <c r="BBA16" s="223"/>
      <c r="BBB16" s="223"/>
      <c r="BBC16" s="223"/>
      <c r="BBD16" s="223"/>
      <c r="BBE16" s="223"/>
      <c r="BBF16" s="223"/>
      <c r="BBG16" s="223"/>
      <c r="BBH16" s="223"/>
      <c r="BBI16" s="223"/>
      <c r="BBJ16" s="223"/>
      <c r="BBK16" s="223"/>
      <c r="BBL16" s="223"/>
      <c r="BBM16" s="223"/>
      <c r="BBN16" s="223"/>
      <c r="BBO16" s="223"/>
      <c r="BBP16" s="223"/>
      <c r="BBQ16" s="223"/>
      <c r="BBR16" s="223"/>
      <c r="BBS16" s="223"/>
      <c r="BBT16" s="223"/>
      <c r="BBU16" s="223"/>
      <c r="BBV16" s="223"/>
      <c r="BBW16" s="223"/>
      <c r="BBX16" s="223"/>
      <c r="BBY16" s="223"/>
      <c r="BBZ16" s="223"/>
      <c r="BCA16" s="223"/>
      <c r="BCB16" s="223"/>
      <c r="BCC16" s="223"/>
      <c r="BCD16" s="223"/>
      <c r="BCE16" s="223"/>
      <c r="BCF16" s="223"/>
      <c r="BCG16" s="223"/>
      <c r="BCH16" s="223"/>
      <c r="BCI16" s="223"/>
      <c r="BCJ16" s="223"/>
      <c r="BCK16" s="223"/>
      <c r="BCL16" s="223"/>
      <c r="BCM16" s="223"/>
      <c r="BCN16" s="223"/>
      <c r="BCO16" s="223"/>
      <c r="BCP16" s="223"/>
      <c r="BCQ16" s="223"/>
      <c r="BCR16" s="223"/>
      <c r="BCS16" s="223"/>
      <c r="BCT16" s="223"/>
      <c r="BCU16" s="223"/>
      <c r="BCV16" s="223"/>
      <c r="BCW16" s="223"/>
      <c r="BCX16" s="223"/>
      <c r="BCY16" s="223"/>
      <c r="BCZ16" s="223"/>
      <c r="BDA16" s="223"/>
      <c r="BDB16" s="223"/>
      <c r="BDC16" s="223"/>
      <c r="BDD16" s="223"/>
      <c r="BDE16" s="223"/>
      <c r="BDF16" s="223"/>
      <c r="BDG16" s="223"/>
      <c r="BDH16" s="223"/>
      <c r="BDI16" s="223"/>
      <c r="BDJ16" s="223"/>
      <c r="BDK16" s="223"/>
      <c r="BDL16" s="223"/>
      <c r="BDM16" s="223"/>
      <c r="BDN16" s="223"/>
      <c r="BDO16" s="223"/>
      <c r="BDP16" s="223"/>
      <c r="BDQ16" s="223"/>
      <c r="BDR16" s="223"/>
      <c r="BDS16" s="223"/>
      <c r="BDT16" s="223"/>
      <c r="BDU16" s="223"/>
      <c r="BDV16" s="223"/>
      <c r="BDW16" s="223"/>
      <c r="BDX16" s="223"/>
      <c r="BDY16" s="223"/>
      <c r="BDZ16" s="223"/>
      <c r="BEA16" s="223"/>
      <c r="BEB16" s="223"/>
      <c r="BEC16" s="223"/>
      <c r="BED16" s="223"/>
      <c r="BEE16" s="223"/>
      <c r="BEF16" s="223"/>
      <c r="BEG16" s="223"/>
      <c r="BEH16" s="223"/>
      <c r="BEI16" s="223"/>
      <c r="BEJ16" s="223"/>
      <c r="BEK16" s="223"/>
      <c r="BEL16" s="223"/>
      <c r="BEM16" s="223"/>
      <c r="BEN16" s="223"/>
      <c r="BEO16" s="223"/>
      <c r="BEP16" s="223"/>
      <c r="BEQ16" s="223"/>
      <c r="BER16" s="223"/>
      <c r="BES16" s="223"/>
      <c r="BET16" s="223"/>
      <c r="BEU16" s="223"/>
      <c r="BEV16" s="223"/>
      <c r="BEW16" s="223"/>
      <c r="BEX16" s="223"/>
      <c r="BEY16" s="223"/>
      <c r="BEZ16" s="223"/>
      <c r="BFA16" s="223"/>
      <c r="BFB16" s="223"/>
      <c r="BFC16" s="223"/>
      <c r="BFD16" s="223"/>
      <c r="BFE16" s="223"/>
      <c r="BFF16" s="223"/>
      <c r="BFG16" s="223"/>
      <c r="BFH16" s="223"/>
      <c r="BFI16" s="223"/>
      <c r="BFJ16" s="223"/>
      <c r="BFK16" s="223"/>
      <c r="BFL16" s="223"/>
      <c r="BFM16" s="223"/>
      <c r="BFN16" s="223"/>
      <c r="BFO16" s="223"/>
      <c r="BFP16" s="223"/>
      <c r="BFQ16" s="223"/>
      <c r="BFR16" s="223"/>
      <c r="BFS16" s="223"/>
      <c r="BFT16" s="223"/>
      <c r="BFU16" s="223"/>
      <c r="BFV16" s="223"/>
      <c r="BFW16" s="223"/>
      <c r="BFX16" s="223"/>
      <c r="BFY16" s="223"/>
      <c r="BFZ16" s="223"/>
      <c r="BGA16" s="223"/>
      <c r="BGB16" s="223"/>
      <c r="BGC16" s="223"/>
      <c r="BGD16" s="223"/>
      <c r="BGE16" s="223"/>
      <c r="BGF16" s="223"/>
      <c r="BGG16" s="223"/>
      <c r="BGH16" s="223"/>
      <c r="BGI16" s="223"/>
      <c r="BGJ16" s="223"/>
      <c r="BGK16" s="223"/>
      <c r="BGL16" s="223"/>
      <c r="BGM16" s="223"/>
      <c r="BGN16" s="223"/>
      <c r="BGO16" s="223"/>
      <c r="BGP16" s="223"/>
      <c r="BGQ16" s="223"/>
      <c r="BGR16" s="223"/>
      <c r="BGS16" s="223"/>
      <c r="BGT16" s="223"/>
      <c r="BGU16" s="223"/>
      <c r="BGV16" s="223"/>
      <c r="BGW16" s="223"/>
      <c r="BGX16" s="223"/>
      <c r="BGY16" s="223"/>
      <c r="BGZ16" s="223"/>
      <c r="BHA16" s="223"/>
      <c r="BHB16" s="223"/>
      <c r="BHC16" s="223"/>
      <c r="BHD16" s="223"/>
      <c r="BHE16" s="223"/>
      <c r="BHF16" s="223"/>
      <c r="BHG16" s="223"/>
      <c r="BHH16" s="223"/>
      <c r="BHI16" s="223"/>
      <c r="BHJ16" s="223"/>
      <c r="BHK16" s="223"/>
      <c r="BHL16" s="223"/>
      <c r="BHM16" s="223"/>
      <c r="BHN16" s="223"/>
      <c r="BHO16" s="223"/>
      <c r="BHP16" s="223"/>
      <c r="BHQ16" s="223"/>
      <c r="BHR16" s="223"/>
      <c r="BHS16" s="223"/>
      <c r="BHT16" s="223"/>
      <c r="BHU16" s="223"/>
      <c r="BHV16" s="223"/>
      <c r="BHW16" s="223"/>
      <c r="BHX16" s="223"/>
      <c r="BHY16" s="223"/>
      <c r="BHZ16" s="223"/>
      <c r="BIA16" s="223"/>
      <c r="BIB16" s="223"/>
      <c r="BIC16" s="223"/>
      <c r="BID16" s="223"/>
      <c r="BIE16" s="223"/>
      <c r="BIF16" s="223"/>
      <c r="BIG16" s="223"/>
      <c r="BIH16" s="223"/>
      <c r="BII16" s="223"/>
      <c r="BIJ16" s="223"/>
      <c r="BIK16" s="223"/>
      <c r="BIL16" s="223"/>
      <c r="BIM16" s="223"/>
      <c r="BIN16" s="223"/>
      <c r="BIO16" s="223"/>
      <c r="BIP16" s="223"/>
      <c r="BIQ16" s="223"/>
      <c r="BIR16" s="223"/>
      <c r="BIS16" s="223"/>
      <c r="BIT16" s="223"/>
      <c r="BIU16" s="223"/>
      <c r="BIV16" s="223"/>
      <c r="BIW16" s="223"/>
      <c r="BIX16" s="223"/>
      <c r="BIY16" s="223"/>
      <c r="BIZ16" s="223"/>
      <c r="BJA16" s="223"/>
      <c r="BJB16" s="223"/>
      <c r="BJC16" s="223"/>
      <c r="BJD16" s="223"/>
      <c r="BJE16" s="223"/>
      <c r="BJF16" s="223"/>
      <c r="BJG16" s="223"/>
      <c r="BJH16" s="223"/>
      <c r="BJI16" s="223"/>
      <c r="BJJ16" s="223"/>
      <c r="BJK16" s="223"/>
      <c r="BJL16" s="223"/>
      <c r="BJM16" s="223"/>
      <c r="BJN16" s="223"/>
      <c r="BJO16" s="223"/>
      <c r="BJP16" s="223"/>
      <c r="BJQ16" s="223"/>
      <c r="BJR16" s="223"/>
      <c r="BJS16" s="223"/>
      <c r="BJT16" s="223"/>
      <c r="BJU16" s="223"/>
      <c r="BJV16" s="223"/>
      <c r="BJW16" s="223"/>
      <c r="BJX16" s="223"/>
      <c r="BJY16" s="223"/>
      <c r="BJZ16" s="223"/>
      <c r="BKA16" s="223"/>
      <c r="BKB16" s="223"/>
      <c r="BKC16" s="223"/>
      <c r="BKD16" s="223"/>
      <c r="BKE16" s="223"/>
      <c r="BKF16" s="223"/>
      <c r="BKG16" s="223"/>
      <c r="BKH16" s="223"/>
      <c r="BKI16" s="223"/>
      <c r="BKJ16" s="223"/>
      <c r="BKK16" s="223"/>
      <c r="BKL16" s="223"/>
      <c r="BKM16" s="223"/>
      <c r="BKN16" s="223"/>
      <c r="BKO16" s="223"/>
      <c r="BKP16" s="223"/>
      <c r="BKQ16" s="223"/>
      <c r="BKR16" s="223"/>
      <c r="BKS16" s="223"/>
      <c r="BKT16" s="223"/>
      <c r="BKU16" s="223"/>
      <c r="BKV16" s="223"/>
      <c r="BKW16" s="223"/>
      <c r="BKX16" s="223"/>
      <c r="BKY16" s="223"/>
      <c r="BKZ16" s="223"/>
      <c r="BLA16" s="223"/>
      <c r="BLB16" s="223"/>
      <c r="BLC16" s="223"/>
      <c r="BLD16" s="223"/>
      <c r="BLE16" s="223"/>
      <c r="BLF16" s="223"/>
      <c r="BLG16" s="223"/>
      <c r="BLH16" s="223"/>
      <c r="BLI16" s="223"/>
      <c r="BLJ16" s="223"/>
      <c r="BLK16" s="223"/>
      <c r="BLL16" s="223"/>
      <c r="BLM16" s="223"/>
      <c r="BLN16" s="223"/>
      <c r="BLO16" s="223"/>
      <c r="BLP16" s="223"/>
      <c r="BLQ16" s="223"/>
      <c r="BLR16" s="223"/>
      <c r="BLS16" s="223"/>
      <c r="BLT16" s="223"/>
      <c r="BLU16" s="223"/>
      <c r="BLV16" s="223"/>
      <c r="BLW16" s="223"/>
      <c r="BLX16" s="223"/>
      <c r="BLY16" s="223"/>
      <c r="BLZ16" s="223"/>
      <c r="BMA16" s="223"/>
      <c r="BMB16" s="223"/>
      <c r="BMC16" s="223"/>
      <c r="BMD16" s="223"/>
      <c r="BME16" s="223"/>
      <c r="BMF16" s="223"/>
      <c r="BMG16" s="223"/>
      <c r="BMH16" s="223"/>
      <c r="BMI16" s="223"/>
      <c r="BMJ16" s="223"/>
      <c r="BMK16" s="223"/>
      <c r="BML16" s="223"/>
      <c r="BMM16" s="223"/>
      <c r="BMN16" s="223"/>
      <c r="BMO16" s="223"/>
      <c r="BMP16" s="223"/>
      <c r="BMQ16" s="223"/>
      <c r="BMR16" s="223"/>
      <c r="BMS16" s="223"/>
      <c r="BMT16" s="223"/>
      <c r="BMU16" s="223"/>
      <c r="BMV16" s="223"/>
      <c r="BMW16" s="223"/>
      <c r="BMX16" s="223"/>
      <c r="BMY16" s="223"/>
      <c r="BMZ16" s="223"/>
      <c r="BNA16" s="223"/>
      <c r="BNB16" s="223"/>
      <c r="BNC16" s="223"/>
      <c r="BND16" s="223"/>
      <c r="BNE16" s="223"/>
      <c r="BNF16" s="223"/>
      <c r="BNG16" s="223"/>
      <c r="BNH16" s="223"/>
      <c r="BNI16" s="223"/>
      <c r="BNJ16" s="223"/>
      <c r="BNK16" s="223"/>
      <c r="BNL16" s="223"/>
      <c r="BNM16" s="223"/>
      <c r="BNN16" s="223"/>
      <c r="BNO16" s="223"/>
      <c r="BNP16" s="223"/>
      <c r="BNQ16" s="223"/>
      <c r="BNR16" s="223"/>
      <c r="BNS16" s="223"/>
      <c r="BNT16" s="223"/>
      <c r="BNU16" s="223"/>
      <c r="BNV16" s="223"/>
      <c r="BNW16" s="223"/>
      <c r="BNX16" s="223"/>
      <c r="BNY16" s="223"/>
      <c r="BNZ16" s="223"/>
      <c r="BOA16" s="223"/>
      <c r="BOB16" s="223"/>
      <c r="BOC16" s="223"/>
      <c r="BOD16" s="223"/>
      <c r="BOE16" s="223"/>
      <c r="BOF16" s="223"/>
      <c r="BOG16" s="223"/>
      <c r="BOH16" s="223"/>
      <c r="BOI16" s="223"/>
      <c r="BOJ16" s="223"/>
      <c r="BOK16" s="223"/>
      <c r="BOL16" s="223"/>
      <c r="BOM16" s="223"/>
      <c r="BON16" s="223"/>
      <c r="BOO16" s="223"/>
      <c r="BOP16" s="223"/>
      <c r="BOQ16" s="223"/>
      <c r="BOR16" s="223"/>
      <c r="BOS16" s="223"/>
      <c r="BOT16" s="223"/>
      <c r="BOU16" s="223"/>
      <c r="BOV16" s="223"/>
      <c r="BOW16" s="223"/>
      <c r="BOX16" s="223"/>
      <c r="BOY16" s="223"/>
      <c r="BOZ16" s="223"/>
      <c r="BPA16" s="223"/>
      <c r="BPB16" s="223"/>
      <c r="BPC16" s="223"/>
      <c r="BPD16" s="223"/>
      <c r="BPE16" s="223"/>
      <c r="BPF16" s="223"/>
      <c r="BPG16" s="223"/>
      <c r="BPH16" s="223"/>
      <c r="BPI16" s="223"/>
      <c r="BPJ16" s="223"/>
      <c r="BPK16" s="223"/>
      <c r="BPL16" s="223"/>
      <c r="BPM16" s="223"/>
      <c r="BPN16" s="223"/>
      <c r="BPO16" s="223"/>
      <c r="BPP16" s="223"/>
      <c r="BPQ16" s="223"/>
      <c r="BPR16" s="223"/>
      <c r="BPS16" s="223"/>
      <c r="BPT16" s="223"/>
      <c r="BPU16" s="223"/>
      <c r="BPV16" s="223"/>
      <c r="BPW16" s="223"/>
      <c r="BPX16" s="223"/>
      <c r="BPY16" s="223"/>
      <c r="BPZ16" s="223"/>
      <c r="BQA16" s="223"/>
      <c r="BQB16" s="223"/>
      <c r="BQC16" s="223"/>
      <c r="BQD16" s="223"/>
      <c r="BQE16" s="223"/>
      <c r="BQF16" s="223"/>
      <c r="BQG16" s="223"/>
      <c r="BQH16" s="223"/>
      <c r="BQI16" s="223"/>
      <c r="BQJ16" s="223"/>
      <c r="BQK16" s="223"/>
      <c r="BQL16" s="223"/>
      <c r="BQM16" s="223"/>
      <c r="BQN16" s="223"/>
      <c r="BQO16" s="223"/>
      <c r="BQP16" s="223"/>
      <c r="BQQ16" s="223"/>
      <c r="BQR16" s="223"/>
      <c r="BQS16" s="223"/>
      <c r="BQT16" s="223"/>
      <c r="BQU16" s="223"/>
      <c r="BQV16" s="223"/>
      <c r="BQW16" s="223"/>
      <c r="BQX16" s="223"/>
      <c r="BQY16" s="223"/>
      <c r="BQZ16" s="223"/>
      <c r="BRA16" s="223"/>
      <c r="BRB16" s="223"/>
      <c r="BRC16" s="223"/>
      <c r="BRD16" s="223"/>
      <c r="BRE16" s="223"/>
      <c r="BRF16" s="223"/>
      <c r="BRG16" s="223"/>
      <c r="BRH16" s="223"/>
      <c r="BRI16" s="223"/>
      <c r="BRJ16" s="223"/>
      <c r="BRK16" s="223"/>
      <c r="BRL16" s="223"/>
      <c r="BRM16" s="223"/>
      <c r="BRN16" s="223"/>
      <c r="BRO16" s="223"/>
      <c r="BRP16" s="223"/>
      <c r="BRQ16" s="223"/>
      <c r="BRR16" s="223"/>
      <c r="BRS16" s="223"/>
      <c r="BRT16" s="223"/>
      <c r="BRU16" s="223"/>
      <c r="BRV16" s="223"/>
      <c r="BRW16" s="223"/>
      <c r="BRX16" s="223"/>
      <c r="BRY16" s="223"/>
      <c r="BRZ16" s="223"/>
      <c r="BSA16" s="223"/>
      <c r="BSB16" s="223"/>
      <c r="BSC16" s="223"/>
      <c r="BSD16" s="223"/>
      <c r="BSE16" s="223"/>
      <c r="BSF16" s="223"/>
      <c r="BSG16" s="223"/>
      <c r="BSH16" s="223"/>
      <c r="BSI16" s="223"/>
      <c r="BSJ16" s="223"/>
      <c r="BSK16" s="223"/>
      <c r="BSL16" s="223"/>
      <c r="BSM16" s="223"/>
      <c r="BSN16" s="223"/>
      <c r="BSO16" s="223"/>
      <c r="BSP16" s="223"/>
      <c r="BSQ16" s="223"/>
      <c r="BSR16" s="223"/>
      <c r="BSS16" s="223"/>
      <c r="BST16" s="223"/>
      <c r="BSU16" s="223"/>
      <c r="BSV16" s="223"/>
      <c r="BSW16" s="223"/>
      <c r="BSX16" s="223"/>
      <c r="BSY16" s="223"/>
      <c r="BSZ16" s="223"/>
      <c r="BTA16" s="223"/>
      <c r="BTB16" s="223"/>
      <c r="BTC16" s="223"/>
      <c r="BTD16" s="223"/>
      <c r="BTE16" s="223"/>
      <c r="BTF16" s="223"/>
      <c r="BTG16" s="223"/>
      <c r="BTH16" s="223"/>
      <c r="BTI16" s="223"/>
      <c r="BTJ16" s="223"/>
      <c r="BTK16" s="223"/>
      <c r="BTL16" s="223"/>
      <c r="BTM16" s="223"/>
      <c r="BTN16" s="223"/>
      <c r="BTO16" s="223"/>
      <c r="BTP16" s="223"/>
      <c r="BTQ16" s="223"/>
      <c r="BTR16" s="223"/>
      <c r="BTS16" s="223"/>
      <c r="BTT16" s="223"/>
      <c r="BTU16" s="223"/>
      <c r="BTV16" s="223"/>
      <c r="BTW16" s="223"/>
      <c r="BTX16" s="223"/>
      <c r="BTY16" s="223"/>
      <c r="BTZ16" s="223"/>
      <c r="BUA16" s="223"/>
      <c r="BUB16" s="223"/>
      <c r="BUC16" s="223"/>
      <c r="BUD16" s="223"/>
      <c r="BUE16" s="223"/>
      <c r="BUF16" s="223"/>
      <c r="BUG16" s="223"/>
      <c r="BUH16" s="223"/>
      <c r="BUI16" s="223"/>
      <c r="BUJ16" s="223"/>
      <c r="BUK16" s="223"/>
      <c r="BUL16" s="223"/>
      <c r="BUM16" s="223"/>
      <c r="BUN16" s="223"/>
      <c r="BUO16" s="223"/>
      <c r="BUP16" s="223"/>
      <c r="BUQ16" s="223"/>
      <c r="BUR16" s="223"/>
      <c r="BUS16" s="223"/>
      <c r="BUT16" s="223"/>
      <c r="BUU16" s="223"/>
      <c r="BUV16" s="223"/>
      <c r="BUW16" s="223"/>
      <c r="BUX16" s="223"/>
      <c r="BUY16" s="223"/>
      <c r="BUZ16" s="223"/>
      <c r="BVA16" s="223"/>
      <c r="BVB16" s="223"/>
      <c r="BVC16" s="223"/>
      <c r="BVD16" s="223"/>
      <c r="BVE16" s="223"/>
      <c r="BVF16" s="223"/>
      <c r="BVG16" s="223"/>
      <c r="BVH16" s="223"/>
      <c r="BVI16" s="223"/>
      <c r="BVJ16" s="223"/>
      <c r="BVK16" s="223"/>
      <c r="BVL16" s="223"/>
      <c r="BVM16" s="223"/>
      <c r="BVN16" s="223"/>
      <c r="BVO16" s="223"/>
      <c r="BVP16" s="223"/>
      <c r="BVQ16" s="223"/>
      <c r="BVR16" s="223"/>
      <c r="BVS16" s="223"/>
      <c r="BVT16" s="223"/>
      <c r="BVU16" s="223"/>
      <c r="BVV16" s="223"/>
      <c r="BVW16" s="223"/>
      <c r="BVX16" s="223"/>
      <c r="BVY16" s="223"/>
      <c r="BVZ16" s="223"/>
      <c r="BWA16" s="223"/>
      <c r="BWB16" s="223"/>
      <c r="BWC16" s="223"/>
      <c r="BWD16" s="223"/>
      <c r="BWE16" s="223"/>
      <c r="BWF16" s="223"/>
      <c r="BWG16" s="223"/>
      <c r="BWH16" s="223"/>
      <c r="BWI16" s="223"/>
      <c r="BWJ16" s="223"/>
      <c r="BWK16" s="223"/>
      <c r="BWL16" s="223"/>
      <c r="BWM16" s="223"/>
      <c r="BWN16" s="223"/>
      <c r="BWO16" s="223"/>
      <c r="BWP16" s="223"/>
      <c r="BWQ16" s="223"/>
      <c r="BWR16" s="223"/>
      <c r="BWS16" s="223"/>
      <c r="BWT16" s="223"/>
      <c r="BWU16" s="223"/>
      <c r="BWV16" s="223"/>
      <c r="BWW16" s="223"/>
      <c r="BWX16" s="223"/>
      <c r="BWY16" s="223"/>
      <c r="BWZ16" s="223"/>
      <c r="BXA16" s="223"/>
      <c r="BXB16" s="223"/>
      <c r="BXC16" s="223"/>
      <c r="BXD16" s="223"/>
      <c r="BXE16" s="223"/>
      <c r="BXF16" s="223"/>
      <c r="BXG16" s="223"/>
      <c r="BXH16" s="223"/>
      <c r="BXI16" s="223"/>
      <c r="BXJ16" s="223"/>
      <c r="BXK16" s="223"/>
      <c r="BXL16" s="223"/>
      <c r="BXM16" s="223"/>
      <c r="BXN16" s="223"/>
      <c r="BXO16" s="223"/>
      <c r="BXP16" s="223"/>
      <c r="BXQ16" s="223"/>
      <c r="BXR16" s="223"/>
      <c r="BXS16" s="223"/>
      <c r="BXT16" s="223"/>
      <c r="BXU16" s="223"/>
      <c r="BXV16" s="223"/>
      <c r="BXW16" s="223"/>
      <c r="BXX16" s="223"/>
      <c r="BXY16" s="223"/>
      <c r="BXZ16" s="223"/>
      <c r="BYA16" s="223"/>
      <c r="BYB16" s="223"/>
      <c r="BYC16" s="223"/>
      <c r="BYD16" s="223"/>
      <c r="BYE16" s="223"/>
      <c r="BYF16" s="223"/>
      <c r="BYG16" s="223"/>
      <c r="BYH16" s="223"/>
      <c r="BYI16" s="223"/>
      <c r="BYJ16" s="223"/>
      <c r="BYK16" s="223"/>
      <c r="BYL16" s="223"/>
      <c r="BYM16" s="223"/>
      <c r="BYN16" s="223"/>
      <c r="BYO16" s="223"/>
      <c r="BYP16" s="223"/>
      <c r="BYQ16" s="223"/>
      <c r="BYR16" s="223"/>
      <c r="BYS16" s="223"/>
      <c r="BYT16" s="223"/>
      <c r="BYU16" s="223"/>
      <c r="BYV16" s="223"/>
      <c r="BYW16" s="223"/>
      <c r="BYX16" s="223"/>
      <c r="BYY16" s="223"/>
      <c r="BYZ16" s="223"/>
      <c r="BZA16" s="223"/>
      <c r="BZB16" s="223"/>
      <c r="BZC16" s="223"/>
      <c r="BZD16" s="223"/>
      <c r="BZE16" s="223"/>
      <c r="BZF16" s="223"/>
      <c r="BZG16" s="223"/>
      <c r="BZH16" s="223"/>
      <c r="BZI16" s="223"/>
      <c r="BZJ16" s="223"/>
      <c r="BZK16" s="223"/>
      <c r="BZL16" s="223"/>
      <c r="BZM16" s="223"/>
      <c r="BZN16" s="223"/>
      <c r="BZO16" s="223"/>
      <c r="BZP16" s="223"/>
      <c r="BZQ16" s="223"/>
      <c r="BZR16" s="223"/>
      <c r="BZS16" s="223"/>
      <c r="BZT16" s="223"/>
      <c r="BZU16" s="223"/>
      <c r="BZV16" s="223"/>
      <c r="BZW16" s="223"/>
      <c r="BZX16" s="223"/>
      <c r="BZY16" s="223"/>
      <c r="BZZ16" s="223"/>
      <c r="CAA16" s="223"/>
      <c r="CAB16" s="223"/>
      <c r="CAC16" s="223"/>
      <c r="CAD16" s="223"/>
      <c r="CAE16" s="223"/>
      <c r="CAF16" s="223"/>
      <c r="CAG16" s="223"/>
      <c r="CAH16" s="223"/>
      <c r="CAI16" s="223"/>
      <c r="CAJ16" s="223"/>
      <c r="CAK16" s="223"/>
      <c r="CAL16" s="223"/>
      <c r="CAM16" s="223"/>
      <c r="CAN16" s="223"/>
      <c r="CAO16" s="223"/>
      <c r="CAP16" s="223"/>
      <c r="CAQ16" s="223"/>
      <c r="CAR16" s="223"/>
      <c r="CAS16" s="223"/>
      <c r="CAT16" s="223"/>
      <c r="CAU16" s="223"/>
      <c r="CAV16" s="223"/>
      <c r="CAW16" s="223"/>
      <c r="CAX16" s="223"/>
      <c r="CAY16" s="223"/>
      <c r="CAZ16" s="223"/>
      <c r="CBA16" s="223"/>
      <c r="CBB16" s="223"/>
      <c r="CBC16" s="223"/>
      <c r="CBD16" s="223"/>
      <c r="CBE16" s="223"/>
      <c r="CBF16" s="223"/>
      <c r="CBG16" s="223"/>
      <c r="CBH16" s="223"/>
      <c r="CBI16" s="223"/>
      <c r="CBJ16" s="223"/>
      <c r="CBK16" s="223"/>
      <c r="CBL16" s="223"/>
      <c r="CBM16" s="223"/>
      <c r="CBN16" s="223"/>
      <c r="CBO16" s="223"/>
      <c r="CBP16" s="223"/>
      <c r="CBQ16" s="223"/>
      <c r="CBR16" s="223"/>
      <c r="CBS16" s="223"/>
      <c r="CBT16" s="223"/>
      <c r="CBU16" s="223"/>
      <c r="CBV16" s="223"/>
      <c r="CBW16" s="223"/>
      <c r="CBX16" s="223"/>
      <c r="CBY16" s="223"/>
      <c r="CBZ16" s="223"/>
      <c r="CCA16" s="223"/>
      <c r="CCB16" s="223"/>
      <c r="CCC16" s="223"/>
      <c r="CCD16" s="223"/>
      <c r="CCE16" s="223"/>
      <c r="CCF16" s="223"/>
      <c r="CCG16" s="223"/>
      <c r="CCH16" s="223"/>
      <c r="CCI16" s="223"/>
      <c r="CCJ16" s="223"/>
      <c r="CCK16" s="223"/>
      <c r="CCL16" s="223"/>
      <c r="CCM16" s="223"/>
      <c r="CCN16" s="223"/>
      <c r="CCO16" s="223"/>
      <c r="CCP16" s="223"/>
      <c r="CCQ16" s="223"/>
      <c r="CCR16" s="223"/>
      <c r="CCS16" s="223"/>
      <c r="CCT16" s="223"/>
      <c r="CCU16" s="223"/>
      <c r="CCV16" s="223"/>
      <c r="CCW16" s="223"/>
      <c r="VEX16" s="222"/>
      <c r="VST16" s="221"/>
      <c r="VTB16" s="221"/>
    </row>
    <row r="17" spans="1:2129 15026:15026 15386:15394" s="220" customFormat="1" ht="16.149999999999999" customHeight="1" x14ac:dyDescent="0.25">
      <c r="A17" s="265" t="s">
        <v>65</v>
      </c>
      <c r="B17" s="265">
        <v>5</v>
      </c>
      <c r="C17" s="265"/>
      <c r="D17" s="265"/>
      <c r="E17" s="265"/>
      <c r="F17" s="265"/>
      <c r="G17" s="266" t="s">
        <v>242</v>
      </c>
      <c r="H17" s="267" t="s">
        <v>246</v>
      </c>
      <c r="I17" s="267"/>
      <c r="J17" s="268"/>
      <c r="K17" s="269"/>
      <c r="L17" s="269"/>
      <c r="M17" s="270"/>
      <c r="N17" s="269">
        <v>43005</v>
      </c>
      <c r="O17" s="269">
        <v>43005</v>
      </c>
      <c r="P17" s="270">
        <v>1</v>
      </c>
      <c r="Q17" s="271">
        <v>0</v>
      </c>
      <c r="R17" s="269"/>
      <c r="S17" s="269"/>
      <c r="T17" s="270"/>
      <c r="U17" s="272"/>
      <c r="V17" s="272"/>
      <c r="W17" s="272"/>
      <c r="X17" s="273"/>
      <c r="Y17" s="274"/>
      <c r="Z17" s="274"/>
      <c r="AA17" s="275"/>
      <c r="AB17" s="274"/>
      <c r="AC17" s="276"/>
      <c r="AD17" s="276"/>
      <c r="AE17" s="276"/>
      <c r="AF17" s="276"/>
      <c r="AG17" s="276"/>
      <c r="AH17" s="276"/>
      <c r="AI17" s="276"/>
      <c r="AJ17" s="276"/>
      <c r="AK17" s="276"/>
      <c r="AL17" s="276"/>
      <c r="AM17" s="276"/>
      <c r="AN17" s="276"/>
      <c r="AO17" s="276"/>
      <c r="AP17" s="276"/>
      <c r="AQ17" s="276"/>
      <c r="AR17" s="276"/>
      <c r="AS17" s="276"/>
      <c r="AT17" s="276"/>
      <c r="AU17" s="276"/>
      <c r="AV17" s="276"/>
      <c r="AW17" s="276"/>
      <c r="AX17" s="276"/>
      <c r="AY17" s="276"/>
      <c r="AZ17" s="276"/>
      <c r="BA17" s="276"/>
      <c r="BB17" s="276"/>
      <c r="BC17" s="276"/>
      <c r="BD17" s="276"/>
      <c r="BE17" s="276"/>
      <c r="BF17" s="276"/>
      <c r="BG17" s="276"/>
      <c r="BH17" s="276"/>
      <c r="BI17" s="276"/>
      <c r="BJ17" s="276"/>
      <c r="BK17" s="276"/>
      <c r="BL17" s="276"/>
      <c r="BM17" s="276"/>
      <c r="BN17" s="276"/>
      <c r="BO17" s="276"/>
      <c r="BP17" s="276"/>
      <c r="BQ17" s="276"/>
      <c r="BR17" s="276"/>
      <c r="BS17" s="276"/>
      <c r="BT17" s="276"/>
      <c r="BU17" s="276"/>
      <c r="BV17" s="276"/>
      <c r="BW17" s="276"/>
      <c r="BX17" s="276"/>
      <c r="BY17" s="276"/>
      <c r="BZ17" s="276"/>
      <c r="CA17" s="276"/>
      <c r="CB17" s="276"/>
      <c r="CC17" s="276"/>
      <c r="CD17" s="276"/>
      <c r="CE17" s="276"/>
      <c r="CF17" s="276"/>
      <c r="CG17" s="277"/>
      <c r="CH17" s="277"/>
      <c r="CI17" s="277"/>
      <c r="CJ17" s="277"/>
      <c r="CK17" s="277"/>
      <c r="CL17" s="277"/>
      <c r="CM17" s="277"/>
      <c r="CN17" s="277"/>
      <c r="CO17" s="277"/>
      <c r="CP17" s="277"/>
      <c r="CQ17" s="277"/>
      <c r="CR17" s="277"/>
      <c r="CS17" s="277"/>
      <c r="CT17" s="277"/>
      <c r="CU17" s="277"/>
      <c r="CV17" s="277"/>
      <c r="CW17" s="277"/>
      <c r="CX17" s="277"/>
      <c r="CY17" s="277"/>
      <c r="CZ17" s="277"/>
      <c r="DA17" s="277"/>
      <c r="DB17" s="277"/>
      <c r="DC17" s="277"/>
      <c r="DD17" s="277"/>
      <c r="DE17" s="277"/>
      <c r="DF17" s="277"/>
      <c r="DG17" s="277"/>
      <c r="DH17" s="277"/>
      <c r="DI17" s="277"/>
      <c r="DJ17" s="277"/>
      <c r="DK17" s="277"/>
      <c r="DL17" s="277"/>
      <c r="DM17" s="277"/>
      <c r="DN17" s="277"/>
      <c r="DO17" s="277"/>
      <c r="DP17" s="277"/>
      <c r="DQ17" s="277"/>
      <c r="DR17" s="277"/>
      <c r="DS17" s="277"/>
      <c r="DT17" s="277"/>
      <c r="DU17" s="277"/>
      <c r="DV17" s="277"/>
      <c r="DW17" s="277"/>
      <c r="DX17" s="277"/>
      <c r="DY17" s="277"/>
      <c r="DZ17" s="277"/>
      <c r="EA17" s="277"/>
      <c r="EB17" s="277"/>
      <c r="EC17" s="277"/>
      <c r="ED17" s="277"/>
      <c r="EE17" s="277"/>
      <c r="EF17" s="277"/>
      <c r="EG17" s="277"/>
      <c r="EH17" s="277"/>
      <c r="EI17" s="277"/>
      <c r="EJ17" s="277"/>
      <c r="EK17" s="277"/>
      <c r="EL17" s="277"/>
      <c r="EM17" s="277"/>
      <c r="EN17" s="277"/>
      <c r="EO17" s="277"/>
      <c r="EP17" s="277"/>
      <c r="EQ17" s="277"/>
      <c r="ER17" s="277"/>
      <c r="ES17" s="277"/>
      <c r="ET17" s="277"/>
      <c r="EU17" s="277"/>
      <c r="EV17" s="277"/>
      <c r="EW17" s="277"/>
      <c r="EX17" s="277"/>
      <c r="EY17" s="277"/>
      <c r="EZ17" s="277"/>
      <c r="FA17" s="277"/>
      <c r="FB17" s="277"/>
      <c r="FC17" s="277"/>
      <c r="FD17" s="277"/>
      <c r="FE17" s="277"/>
      <c r="FF17" s="277"/>
      <c r="FG17" s="277"/>
      <c r="FH17" s="277"/>
      <c r="FI17" s="277"/>
      <c r="FJ17" s="277"/>
      <c r="FK17" s="277"/>
      <c r="FL17" s="277"/>
      <c r="FM17" s="277"/>
      <c r="FN17" s="277"/>
      <c r="FO17" s="277"/>
      <c r="FP17" s="277"/>
      <c r="FQ17" s="277"/>
      <c r="FR17" s="277"/>
      <c r="FS17" s="277"/>
      <c r="FT17" s="277"/>
      <c r="FU17" s="277"/>
      <c r="FV17" s="277"/>
      <c r="FW17" s="277"/>
      <c r="FX17" s="277"/>
      <c r="FY17" s="277"/>
      <c r="FZ17" s="277"/>
      <c r="GA17" s="277"/>
      <c r="GB17" s="277"/>
      <c r="GC17" s="277"/>
      <c r="GD17" s="277"/>
      <c r="GE17" s="277"/>
      <c r="GF17" s="277"/>
      <c r="GG17" s="277"/>
      <c r="GH17" s="277"/>
      <c r="GI17" s="277"/>
      <c r="GJ17" s="277"/>
      <c r="GK17" s="277"/>
      <c r="GL17" s="277"/>
      <c r="GM17" s="277"/>
      <c r="GN17" s="277"/>
      <c r="GO17" s="277"/>
      <c r="GP17" s="277"/>
      <c r="GQ17" s="277"/>
      <c r="GR17" s="277"/>
      <c r="GS17" s="277"/>
      <c r="GT17" s="277"/>
      <c r="GU17" s="277"/>
      <c r="GV17" s="277"/>
      <c r="GW17" s="277"/>
      <c r="GX17" s="277"/>
      <c r="GY17" s="277"/>
      <c r="GZ17" s="277"/>
      <c r="HA17" s="277"/>
      <c r="HB17" s="277"/>
      <c r="HC17" s="277"/>
      <c r="HD17" s="277"/>
      <c r="HE17" s="277"/>
      <c r="HF17" s="277"/>
      <c r="HG17" s="277"/>
      <c r="HH17" s="277"/>
      <c r="HI17" s="277"/>
      <c r="HJ17" s="277"/>
      <c r="HK17" s="277"/>
      <c r="HL17" s="277"/>
      <c r="HM17" s="277"/>
      <c r="HN17" s="277"/>
      <c r="HO17" s="277"/>
      <c r="HP17" s="277"/>
      <c r="HQ17" s="277"/>
      <c r="HR17" s="277"/>
      <c r="HS17" s="277"/>
      <c r="HT17" s="277"/>
      <c r="HU17" s="277"/>
      <c r="HV17" s="277"/>
      <c r="HW17" s="277"/>
      <c r="HX17" s="277"/>
      <c r="HY17" s="277"/>
      <c r="HZ17" s="277"/>
      <c r="IA17" s="277"/>
      <c r="IB17" s="277"/>
      <c r="IC17" s="277"/>
      <c r="ID17" s="277"/>
      <c r="IE17" s="277"/>
      <c r="IF17" s="277"/>
      <c r="IG17" s="277"/>
      <c r="IH17" s="277"/>
      <c r="II17" s="277"/>
      <c r="IJ17" s="277"/>
      <c r="IK17" s="277"/>
      <c r="IL17" s="277"/>
      <c r="IM17" s="277"/>
      <c r="IN17" s="277"/>
      <c r="IO17" s="277"/>
      <c r="IP17" s="277"/>
      <c r="IQ17" s="277"/>
      <c r="IR17" s="277"/>
      <c r="IS17" s="277"/>
      <c r="IT17" s="277"/>
      <c r="IU17" s="277"/>
      <c r="IV17" s="277"/>
      <c r="IW17" s="277"/>
      <c r="IX17" s="277"/>
      <c r="IY17" s="277"/>
      <c r="IZ17" s="277"/>
      <c r="JA17" s="277"/>
      <c r="JB17" s="277"/>
      <c r="JC17" s="277"/>
      <c r="JD17" s="277"/>
      <c r="JE17" s="277"/>
      <c r="JF17" s="277"/>
      <c r="JG17" s="277"/>
      <c r="JH17" s="277"/>
      <c r="JI17" s="277"/>
      <c r="JJ17" s="277"/>
      <c r="JK17" s="277"/>
      <c r="JL17" s="277"/>
      <c r="JM17" s="277"/>
      <c r="JN17" s="277"/>
      <c r="JO17" s="277"/>
      <c r="JP17" s="277"/>
      <c r="JQ17" s="277"/>
      <c r="JR17" s="277"/>
      <c r="JS17" s="277"/>
      <c r="JT17" s="277"/>
      <c r="JU17" s="277"/>
      <c r="JV17" s="277"/>
      <c r="JW17" s="277"/>
      <c r="JX17" s="277"/>
      <c r="JY17" s="277"/>
      <c r="JZ17" s="277"/>
      <c r="KA17" s="277"/>
      <c r="KB17" s="277"/>
      <c r="KC17" s="277"/>
      <c r="KD17" s="277"/>
      <c r="KE17" s="277"/>
      <c r="KF17" s="277"/>
      <c r="KG17" s="277"/>
      <c r="KH17" s="277"/>
      <c r="KI17" s="277"/>
      <c r="KJ17" s="277"/>
      <c r="KK17" s="277"/>
      <c r="KL17" s="277"/>
      <c r="KM17" s="277"/>
      <c r="KN17" s="277"/>
      <c r="KO17" s="277"/>
      <c r="KP17" s="277"/>
      <c r="KQ17" s="277"/>
      <c r="KR17" s="277"/>
      <c r="KS17" s="277"/>
      <c r="KT17" s="277"/>
      <c r="KU17" s="277"/>
      <c r="KV17" s="277"/>
      <c r="KW17" s="277"/>
      <c r="KX17" s="277"/>
      <c r="KY17" s="277"/>
      <c r="KZ17" s="277"/>
      <c r="LA17" s="277"/>
      <c r="LB17" s="277"/>
      <c r="LC17" s="277"/>
      <c r="LD17" s="277"/>
      <c r="LE17" s="277"/>
      <c r="LF17" s="277"/>
      <c r="LG17" s="277"/>
      <c r="LH17" s="277"/>
      <c r="LI17" s="277"/>
      <c r="LJ17" s="277"/>
      <c r="LK17" s="277"/>
      <c r="LL17" s="277"/>
      <c r="LM17" s="277"/>
      <c r="LN17" s="277"/>
      <c r="LO17" s="277"/>
      <c r="LP17" s="277"/>
      <c r="LQ17" s="277"/>
      <c r="LR17" s="277"/>
      <c r="LS17" s="277"/>
      <c r="LT17" s="277"/>
      <c r="LU17" s="277"/>
      <c r="LV17" s="277"/>
      <c r="LW17" s="277"/>
      <c r="LX17" s="277"/>
      <c r="LY17" s="277"/>
      <c r="LZ17" s="277"/>
      <c r="MA17" s="277"/>
      <c r="MB17" s="277"/>
      <c r="MC17" s="277"/>
      <c r="MD17" s="277"/>
      <c r="ME17" s="277"/>
      <c r="MF17" s="277"/>
      <c r="MG17" s="277"/>
      <c r="MH17" s="277"/>
      <c r="MI17" s="277"/>
      <c r="MJ17" s="277"/>
      <c r="MK17" s="277"/>
      <c r="ML17" s="277"/>
      <c r="MM17" s="277"/>
      <c r="MN17" s="277"/>
      <c r="MO17" s="277"/>
      <c r="MP17" s="277"/>
      <c r="MQ17" s="277"/>
      <c r="MR17" s="277"/>
      <c r="MS17" s="277"/>
      <c r="MT17" s="277"/>
      <c r="MU17" s="277"/>
      <c r="MV17" s="278"/>
      <c r="MW17" s="277"/>
      <c r="MX17" s="277"/>
      <c r="MY17" s="277"/>
      <c r="MZ17" s="277"/>
      <c r="NA17" s="277"/>
      <c r="NB17" s="277"/>
      <c r="NC17" s="277"/>
      <c r="ND17" s="277"/>
      <c r="NE17" s="277"/>
      <c r="NF17" s="277"/>
      <c r="NG17" s="277"/>
      <c r="NH17" s="277"/>
      <c r="NI17" s="277"/>
      <c r="NJ17" s="277"/>
      <c r="NK17" s="277"/>
      <c r="NL17" s="277"/>
      <c r="NM17" s="277"/>
      <c r="NN17" s="277"/>
      <c r="NO17" s="277"/>
      <c r="NP17" s="277"/>
      <c r="NQ17" s="277"/>
      <c r="NR17" s="277"/>
      <c r="NS17" s="277"/>
      <c r="NT17" s="277"/>
      <c r="NU17" s="277"/>
      <c r="NV17" s="277"/>
      <c r="NW17" s="277"/>
      <c r="NX17" s="277"/>
      <c r="NY17" s="277"/>
      <c r="NZ17" s="277"/>
      <c r="OA17" s="277"/>
      <c r="OB17" s="277"/>
      <c r="OC17" s="277"/>
      <c r="OD17" s="277"/>
      <c r="OE17" s="277"/>
      <c r="OF17" s="277"/>
      <c r="OG17" s="277"/>
      <c r="OH17" s="277"/>
      <c r="OI17" s="277"/>
      <c r="OJ17" s="277"/>
      <c r="OK17" s="277"/>
      <c r="OL17" s="277"/>
      <c r="OM17" s="277"/>
      <c r="ON17" s="277"/>
      <c r="OO17" s="277"/>
      <c r="OP17" s="277"/>
      <c r="OQ17" s="277"/>
      <c r="OR17" s="277"/>
      <c r="OS17" s="277"/>
      <c r="OT17" s="277"/>
      <c r="OU17" s="277"/>
      <c r="OV17" s="277"/>
      <c r="OW17" s="277"/>
      <c r="OX17" s="277"/>
      <c r="OY17" s="277"/>
      <c r="OZ17" s="277"/>
      <c r="PA17" s="277"/>
      <c r="PB17" s="277"/>
      <c r="PC17" s="277"/>
      <c r="PD17" s="277"/>
      <c r="PE17" s="277"/>
      <c r="PF17" s="277"/>
      <c r="PG17" s="277"/>
      <c r="PH17" s="277"/>
      <c r="PI17" s="277"/>
      <c r="PJ17" s="277"/>
      <c r="PK17" s="277"/>
      <c r="PL17" s="277"/>
      <c r="PM17" s="277"/>
      <c r="PN17" s="277"/>
      <c r="PO17" s="277"/>
      <c r="PP17" s="277"/>
      <c r="PQ17" s="277"/>
      <c r="PR17" s="277"/>
      <c r="PS17" s="277"/>
      <c r="PT17" s="277"/>
      <c r="PU17" s="277"/>
      <c r="PV17" s="277"/>
      <c r="PW17" s="277"/>
      <c r="PX17" s="277"/>
      <c r="PY17" s="277"/>
      <c r="PZ17" s="277"/>
      <c r="QA17" s="277"/>
      <c r="QB17" s="277"/>
      <c r="QC17" s="277"/>
      <c r="QD17" s="277"/>
      <c r="QE17" s="277"/>
      <c r="QF17" s="277"/>
      <c r="QG17" s="277"/>
      <c r="QH17" s="277"/>
      <c r="QI17" s="277"/>
      <c r="QJ17" s="277"/>
      <c r="QK17" s="277"/>
      <c r="QL17" s="277"/>
      <c r="QM17" s="277"/>
      <c r="QN17" s="277"/>
      <c r="QO17" s="277"/>
      <c r="QP17" s="277"/>
      <c r="QQ17" s="277"/>
      <c r="QR17" s="277"/>
      <c r="QS17" s="277"/>
      <c r="QT17" s="277"/>
      <c r="QU17" s="277"/>
      <c r="QV17" s="277"/>
      <c r="QW17" s="277"/>
      <c r="QX17" s="277"/>
      <c r="QY17" s="277"/>
      <c r="QZ17" s="277"/>
      <c r="RA17" s="277"/>
      <c r="RB17" s="277"/>
      <c r="RC17" s="277"/>
      <c r="RD17" s="277"/>
      <c r="RE17" s="277"/>
      <c r="RF17" s="277"/>
      <c r="RG17" s="277"/>
      <c r="RH17" s="277"/>
      <c r="RI17" s="277"/>
      <c r="RJ17" s="277"/>
      <c r="RK17" s="277"/>
      <c r="RL17" s="277"/>
      <c r="RM17" s="277"/>
      <c r="RN17" s="277"/>
      <c r="RO17" s="277"/>
      <c r="RP17" s="277"/>
      <c r="RQ17" s="277"/>
      <c r="RR17" s="277"/>
      <c r="RS17" s="277"/>
      <c r="RT17" s="277"/>
      <c r="RU17" s="277"/>
      <c r="RV17" s="277"/>
      <c r="RW17" s="277"/>
      <c r="RX17" s="277"/>
      <c r="RY17" s="277"/>
      <c r="RZ17" s="277"/>
      <c r="SA17" s="277"/>
      <c r="SB17" s="277"/>
      <c r="SC17" s="277"/>
      <c r="SD17" s="277"/>
      <c r="SE17" s="277"/>
      <c r="SF17" s="277"/>
      <c r="SG17" s="277"/>
      <c r="SH17" s="277"/>
      <c r="SI17" s="277"/>
      <c r="SJ17" s="277"/>
      <c r="SK17" s="277"/>
      <c r="SL17" s="277"/>
      <c r="SM17" s="277"/>
      <c r="SN17" s="277"/>
      <c r="SO17" s="277"/>
      <c r="SP17" s="277"/>
      <c r="SQ17" s="277"/>
      <c r="SR17" s="277"/>
      <c r="SS17" s="277"/>
      <c r="ST17" s="277"/>
      <c r="SU17" s="277"/>
      <c r="SV17" s="277"/>
      <c r="SW17" s="277"/>
      <c r="SX17" s="277"/>
      <c r="SY17" s="277"/>
      <c r="SZ17" s="277"/>
      <c r="TA17" s="277"/>
      <c r="TB17" s="277"/>
      <c r="TC17" s="277"/>
      <c r="TD17" s="277"/>
      <c r="TE17" s="277"/>
      <c r="TF17" s="277"/>
      <c r="TG17" s="277"/>
      <c r="TH17" s="277"/>
      <c r="TI17" s="277"/>
      <c r="TJ17" s="277"/>
      <c r="TK17" s="277"/>
      <c r="TL17" s="277"/>
      <c r="TM17" s="277"/>
      <c r="TN17" s="277"/>
      <c r="TO17" s="277"/>
      <c r="TP17" s="277"/>
      <c r="TQ17" s="277"/>
      <c r="TR17" s="277"/>
      <c r="TS17" s="277"/>
      <c r="TT17" s="277"/>
      <c r="TU17" s="277"/>
      <c r="TV17" s="277"/>
      <c r="TW17" s="277"/>
      <c r="TX17" s="277"/>
      <c r="TY17" s="277"/>
      <c r="TZ17" s="277"/>
      <c r="UA17" s="277"/>
      <c r="UB17" s="277"/>
      <c r="UC17" s="277"/>
      <c r="UD17" s="277"/>
      <c r="UE17" s="277"/>
      <c r="UF17" s="277"/>
      <c r="UG17" s="277"/>
      <c r="UH17" s="277"/>
      <c r="UI17" s="277"/>
      <c r="UJ17" s="277"/>
      <c r="UK17" s="277"/>
      <c r="UL17" s="277"/>
      <c r="UM17" s="277"/>
      <c r="UN17" s="277"/>
      <c r="UO17" s="277"/>
      <c r="UP17" s="277"/>
      <c r="UQ17" s="277"/>
      <c r="UR17" s="277"/>
      <c r="US17" s="277"/>
      <c r="UT17" s="277"/>
      <c r="UU17" s="277"/>
      <c r="UV17" s="277"/>
      <c r="UW17" s="277"/>
      <c r="UX17" s="277"/>
      <c r="UY17" s="277"/>
      <c r="UZ17" s="277"/>
      <c r="VA17" s="277"/>
      <c r="VB17" s="277"/>
      <c r="VC17" s="277"/>
      <c r="VD17" s="277"/>
      <c r="VE17" s="277"/>
      <c r="VF17" s="277"/>
      <c r="VG17" s="277"/>
      <c r="VH17" s="277"/>
      <c r="VI17" s="277"/>
      <c r="VJ17" s="277"/>
      <c r="VK17" s="277"/>
      <c r="VL17" s="277"/>
      <c r="VM17" s="277"/>
      <c r="VN17" s="277"/>
      <c r="VO17" s="277"/>
      <c r="VP17" s="277"/>
      <c r="VQ17" s="277"/>
      <c r="VR17" s="277"/>
      <c r="VS17" s="277"/>
      <c r="VT17" s="277"/>
      <c r="VU17" s="277"/>
      <c r="VV17" s="277"/>
      <c r="VW17" s="277"/>
      <c r="VX17" s="277"/>
      <c r="VY17" s="277"/>
      <c r="VZ17" s="277"/>
      <c r="WA17" s="277"/>
      <c r="WB17" s="277"/>
      <c r="WC17" s="277"/>
      <c r="WD17" s="277"/>
      <c r="WE17" s="277"/>
      <c r="WF17" s="277"/>
      <c r="WG17" s="277"/>
      <c r="WH17" s="277"/>
      <c r="WI17" s="277"/>
      <c r="WJ17" s="277"/>
      <c r="WK17" s="277"/>
      <c r="WL17" s="277"/>
      <c r="WM17" s="277"/>
      <c r="WN17" s="277"/>
      <c r="WO17" s="277"/>
      <c r="WP17" s="277"/>
      <c r="WQ17" s="277"/>
      <c r="WR17" s="277"/>
      <c r="WS17" s="277"/>
      <c r="WT17" s="277"/>
      <c r="WU17" s="277"/>
      <c r="WV17" s="277"/>
      <c r="WW17" s="277"/>
      <c r="WX17" s="277"/>
      <c r="WY17" s="277"/>
      <c r="WZ17" s="277"/>
      <c r="XA17" s="277"/>
      <c r="XB17" s="277"/>
      <c r="XC17" s="277"/>
      <c r="XD17" s="277"/>
      <c r="XE17" s="277"/>
      <c r="XF17" s="277"/>
      <c r="XG17" s="277"/>
      <c r="XH17" s="277"/>
      <c r="XI17" s="277"/>
      <c r="XJ17" s="277"/>
      <c r="XK17" s="277"/>
      <c r="XL17" s="277"/>
      <c r="XM17" s="277"/>
      <c r="XN17" s="277"/>
      <c r="XO17" s="277"/>
      <c r="XP17" s="277"/>
      <c r="XQ17" s="277"/>
      <c r="XR17" s="277"/>
      <c r="XS17" s="277"/>
      <c r="XT17" s="277"/>
      <c r="XU17" s="277"/>
      <c r="XV17" s="277"/>
      <c r="XW17" s="277"/>
      <c r="XX17" s="277"/>
      <c r="XY17" s="277"/>
      <c r="XZ17" s="277"/>
      <c r="YA17" s="277"/>
      <c r="YB17" s="277"/>
      <c r="YC17" s="277"/>
      <c r="YD17" s="277"/>
      <c r="YE17" s="277"/>
      <c r="YF17" s="277"/>
      <c r="YG17" s="277"/>
      <c r="YH17" s="277"/>
      <c r="YI17" s="277"/>
      <c r="YJ17" s="277"/>
      <c r="YK17" s="277"/>
      <c r="YL17" s="277"/>
      <c r="YM17" s="277"/>
      <c r="YN17" s="277"/>
      <c r="YO17" s="277"/>
      <c r="YP17" s="277"/>
      <c r="YQ17" s="277"/>
      <c r="YR17" s="277"/>
      <c r="YS17" s="277"/>
      <c r="YT17" s="277"/>
      <c r="YU17" s="277"/>
      <c r="YV17" s="277"/>
      <c r="YW17" s="277"/>
      <c r="YX17" s="277"/>
      <c r="YY17" s="277"/>
      <c r="YZ17" s="277"/>
      <c r="ZA17" s="277"/>
      <c r="ZB17" s="277"/>
      <c r="ZC17" s="277"/>
      <c r="ZD17" s="277"/>
      <c r="ZE17" s="277"/>
      <c r="ZF17" s="277"/>
      <c r="ZG17" s="277"/>
      <c r="ZH17" s="277"/>
      <c r="ZI17" s="277"/>
      <c r="ZJ17" s="277"/>
      <c r="ZK17" s="277"/>
      <c r="ZL17" s="277"/>
      <c r="ZM17" s="277"/>
      <c r="ZN17" s="277"/>
      <c r="ZO17" s="277"/>
      <c r="ZP17" s="277"/>
      <c r="ZQ17" s="277"/>
      <c r="ZR17" s="277"/>
      <c r="ZS17" s="277"/>
      <c r="ZT17" s="277"/>
      <c r="ZU17" s="277"/>
      <c r="ZV17" s="277"/>
      <c r="ZW17" s="277"/>
      <c r="ZX17" s="277"/>
      <c r="ZY17" s="277"/>
      <c r="ZZ17" s="277"/>
      <c r="AAA17" s="277"/>
      <c r="AAB17" s="277"/>
      <c r="AAC17" s="277"/>
      <c r="AAD17" s="277"/>
      <c r="AAE17" s="277"/>
      <c r="AAF17" s="277"/>
      <c r="AAG17" s="277"/>
      <c r="AAH17" s="277"/>
      <c r="AAI17" s="277"/>
      <c r="AAJ17" s="277"/>
      <c r="AAK17" s="277"/>
      <c r="AAL17" s="277"/>
      <c r="AAM17" s="277"/>
      <c r="AAN17" s="277"/>
      <c r="AAO17" s="277"/>
      <c r="AAP17" s="277"/>
      <c r="AAQ17" s="277"/>
      <c r="AAR17" s="277"/>
      <c r="AAS17" s="277"/>
      <c r="AAT17" s="277"/>
      <c r="AAU17" s="277"/>
      <c r="AAV17" s="277"/>
      <c r="AAW17" s="277"/>
      <c r="AAX17" s="277"/>
      <c r="AAY17" s="277"/>
      <c r="AAZ17" s="277"/>
      <c r="ABA17" s="277"/>
      <c r="ABB17" s="277"/>
      <c r="ABC17" s="277"/>
      <c r="ABD17" s="277"/>
      <c r="ABE17" s="277"/>
      <c r="ABF17" s="277"/>
      <c r="ABG17" s="277"/>
      <c r="ABH17" s="277"/>
      <c r="ABI17" s="277"/>
      <c r="ABJ17" s="277"/>
      <c r="ABK17" s="277"/>
      <c r="ABL17" s="277"/>
      <c r="ABM17" s="277"/>
      <c r="ABN17" s="277"/>
      <c r="ABO17" s="277"/>
      <c r="ABP17" s="277"/>
      <c r="ABQ17" s="277"/>
      <c r="ABR17" s="277"/>
      <c r="ABS17" s="277"/>
      <c r="ABT17" s="277"/>
      <c r="ABU17" s="277"/>
      <c r="ABV17" s="277"/>
      <c r="ABW17" s="277"/>
      <c r="ABX17" s="277"/>
      <c r="ABY17" s="277"/>
      <c r="ABZ17" s="277"/>
      <c r="ACA17" s="277"/>
      <c r="ACB17" s="277"/>
      <c r="ACC17" s="277"/>
      <c r="ACD17" s="277"/>
      <c r="ACE17" s="277"/>
      <c r="ACF17" s="277"/>
      <c r="ACG17" s="277"/>
      <c r="ACH17" s="277"/>
      <c r="ACI17" s="277"/>
      <c r="ACJ17" s="277"/>
      <c r="ACK17" s="277"/>
      <c r="ACL17" s="277"/>
      <c r="ACM17" s="277"/>
      <c r="ACN17" s="277"/>
      <c r="ACO17" s="277"/>
      <c r="ACP17" s="277"/>
      <c r="ACQ17" s="277"/>
      <c r="ACR17" s="277"/>
      <c r="ACS17" s="277"/>
      <c r="ACT17" s="277"/>
      <c r="ACU17" s="277"/>
      <c r="ACV17" s="277"/>
      <c r="ACW17" s="277"/>
      <c r="ACX17" s="277"/>
      <c r="ACY17" s="277"/>
      <c r="ACZ17" s="277"/>
      <c r="ADA17" s="277"/>
      <c r="ADB17" s="277"/>
      <c r="ADC17" s="277"/>
      <c r="ADD17" s="277"/>
      <c r="ADE17" s="277"/>
      <c r="ADF17" s="277"/>
      <c r="ADG17" s="277"/>
      <c r="ADH17" s="277"/>
      <c r="ADI17" s="277"/>
      <c r="ADJ17" s="277"/>
      <c r="ADK17" s="277"/>
      <c r="ADL17" s="277"/>
      <c r="ADM17" s="277"/>
      <c r="ADN17" s="277"/>
      <c r="ADO17" s="277"/>
      <c r="ADP17" s="277"/>
      <c r="ADQ17" s="277"/>
      <c r="ADR17" s="277"/>
      <c r="ADS17" s="277"/>
      <c r="ADT17" s="277"/>
      <c r="ADU17" s="277"/>
      <c r="ADV17" s="277"/>
      <c r="ADW17" s="277"/>
      <c r="ADX17" s="277"/>
      <c r="ADY17" s="277"/>
      <c r="ADZ17" s="277"/>
      <c r="AEA17" s="277"/>
      <c r="AEB17" s="277"/>
      <c r="AEC17" s="277"/>
      <c r="AED17" s="277"/>
      <c r="AEE17" s="277"/>
      <c r="AEF17" s="277"/>
      <c r="AEG17" s="277"/>
      <c r="AEH17" s="277"/>
      <c r="AEI17" s="277"/>
      <c r="AEJ17" s="277"/>
      <c r="AEK17" s="277"/>
      <c r="AEL17" s="277"/>
      <c r="AEM17" s="277"/>
      <c r="AEN17" s="277"/>
      <c r="AEO17" s="277"/>
      <c r="AEP17" s="277"/>
      <c r="AEQ17" s="277"/>
      <c r="AER17" s="277"/>
      <c r="AES17" s="277"/>
      <c r="AET17" s="277"/>
      <c r="AEU17" s="277"/>
      <c r="AEV17" s="277"/>
      <c r="AEW17" s="277"/>
      <c r="AEX17" s="277"/>
      <c r="AEY17" s="277"/>
      <c r="AEZ17" s="277"/>
      <c r="AFA17" s="277"/>
      <c r="AFB17" s="277"/>
      <c r="AFC17" s="277"/>
      <c r="AFD17" s="277"/>
      <c r="AFE17" s="277"/>
      <c r="AFF17" s="277"/>
      <c r="AFG17" s="277"/>
      <c r="AFH17" s="277"/>
      <c r="AFI17" s="277"/>
      <c r="AFJ17" s="277"/>
      <c r="AFK17" s="277"/>
      <c r="AFL17" s="277"/>
      <c r="AFM17" s="277"/>
      <c r="AFN17" s="277"/>
      <c r="AFO17" s="277"/>
      <c r="AFP17" s="277"/>
      <c r="AFQ17" s="277"/>
      <c r="AFR17" s="277"/>
      <c r="AFS17" s="277"/>
      <c r="AFT17" s="277"/>
      <c r="AFU17" s="277"/>
      <c r="AFV17" s="277"/>
      <c r="AFW17" s="277"/>
      <c r="AFX17" s="277"/>
      <c r="AFY17" s="277"/>
      <c r="AFZ17" s="277"/>
      <c r="AGA17" s="277"/>
      <c r="AGB17" s="277"/>
      <c r="AGC17" s="277"/>
      <c r="AGD17" s="277"/>
      <c r="AGE17" s="277"/>
      <c r="AGF17" s="277"/>
      <c r="AGG17" s="277"/>
      <c r="AGH17" s="277"/>
      <c r="AGI17" s="277"/>
      <c r="AGJ17" s="277"/>
      <c r="AGK17" s="277"/>
      <c r="AGL17" s="277"/>
      <c r="AGM17" s="277"/>
      <c r="AGN17" s="277"/>
      <c r="AGO17" s="277"/>
      <c r="AGP17" s="277"/>
      <c r="AGQ17" s="277"/>
      <c r="AGR17" s="277"/>
      <c r="AGS17" s="277"/>
      <c r="AGT17" s="277"/>
      <c r="AGU17" s="277"/>
      <c r="AGV17" s="277"/>
      <c r="AGW17" s="277"/>
      <c r="AGX17" s="277"/>
      <c r="AGY17" s="277"/>
      <c r="AGZ17" s="277"/>
      <c r="AHA17" s="277"/>
      <c r="AHB17" s="277"/>
      <c r="AHC17" s="277"/>
      <c r="AHD17" s="277"/>
      <c r="AHE17" s="277"/>
      <c r="AHF17" s="277"/>
      <c r="AHG17" s="277"/>
      <c r="AHH17" s="277"/>
      <c r="AHI17" s="277"/>
      <c r="AHJ17" s="277"/>
      <c r="AHK17" s="277"/>
      <c r="AHL17" s="277"/>
      <c r="AHM17" s="277"/>
      <c r="AHN17" s="277"/>
      <c r="AHO17" s="277"/>
      <c r="AHP17" s="277"/>
      <c r="AHQ17" s="277"/>
      <c r="AHR17" s="277"/>
      <c r="AHS17" s="277"/>
      <c r="AHT17" s="277"/>
      <c r="AHU17" s="277"/>
      <c r="AHV17" s="277"/>
      <c r="AHW17" s="277"/>
      <c r="AHX17" s="277"/>
      <c r="AHY17" s="277"/>
      <c r="AHZ17" s="277"/>
      <c r="AIA17" s="277"/>
      <c r="AIB17" s="277"/>
      <c r="AIC17" s="277"/>
      <c r="AID17" s="277"/>
      <c r="AIE17" s="277"/>
      <c r="AIF17" s="277"/>
      <c r="AIG17" s="277"/>
      <c r="AIH17" s="277"/>
      <c r="AII17" s="277"/>
      <c r="AIJ17" s="277"/>
      <c r="AIK17" s="277"/>
      <c r="AIL17" s="277"/>
      <c r="AIM17" s="277"/>
      <c r="AIN17" s="277"/>
      <c r="AIO17" s="277"/>
      <c r="AIP17" s="277"/>
      <c r="AIQ17" s="277"/>
      <c r="AIR17" s="277"/>
      <c r="AIS17" s="277"/>
      <c r="AIT17" s="277"/>
      <c r="AIU17" s="277"/>
      <c r="AIV17" s="277"/>
      <c r="AIW17" s="277"/>
      <c r="AIX17" s="277"/>
      <c r="AIY17" s="277"/>
      <c r="AIZ17" s="277"/>
      <c r="AJA17" s="277"/>
      <c r="AJB17" s="277"/>
      <c r="AJC17" s="277"/>
      <c r="AJD17" s="277"/>
      <c r="AJE17" s="277"/>
      <c r="AJF17" s="277"/>
      <c r="AJG17" s="277"/>
      <c r="AJH17" s="277"/>
      <c r="AJI17" s="277"/>
      <c r="AJJ17" s="277"/>
      <c r="AJK17" s="277"/>
      <c r="AJL17" s="277"/>
      <c r="AJM17" s="277"/>
      <c r="AJN17" s="277"/>
      <c r="AJO17" s="277"/>
      <c r="AJP17" s="277"/>
      <c r="AJQ17" s="277"/>
      <c r="AJR17" s="277"/>
      <c r="AJS17" s="277"/>
      <c r="AJT17" s="277"/>
      <c r="AJU17" s="277"/>
      <c r="AJV17" s="277"/>
      <c r="AJW17" s="277"/>
      <c r="AJX17" s="277"/>
      <c r="AJY17" s="277"/>
      <c r="AJZ17" s="277"/>
      <c r="AKA17" s="277"/>
      <c r="AKB17" s="277"/>
      <c r="AKC17" s="277"/>
      <c r="AKD17" s="277"/>
      <c r="AKE17" s="277"/>
      <c r="AKF17" s="277"/>
      <c r="AKG17" s="277"/>
      <c r="AKH17" s="277"/>
      <c r="AKI17" s="277"/>
      <c r="AKJ17" s="277"/>
      <c r="AKK17" s="277"/>
      <c r="AKL17" s="277"/>
      <c r="AKM17" s="277"/>
      <c r="AKN17" s="277"/>
      <c r="AKO17" s="277"/>
      <c r="AKP17" s="277"/>
      <c r="AKQ17" s="277"/>
      <c r="AKR17" s="277"/>
      <c r="AKS17" s="277"/>
      <c r="AKT17" s="277"/>
      <c r="AKU17" s="277"/>
      <c r="AKV17" s="277"/>
      <c r="AKW17" s="277"/>
      <c r="AKX17" s="277"/>
      <c r="AKY17" s="277"/>
      <c r="AKZ17" s="277"/>
      <c r="ALA17" s="277"/>
      <c r="ALB17" s="277"/>
      <c r="ALC17" s="277"/>
      <c r="ALD17" s="277"/>
      <c r="ALE17" s="277"/>
      <c r="ALF17" s="277"/>
      <c r="ALG17" s="277"/>
      <c r="ALH17" s="277"/>
      <c r="ALI17" s="277"/>
      <c r="ALJ17" s="277"/>
      <c r="ALK17" s="277"/>
      <c r="ALL17" s="277"/>
      <c r="ALM17" s="277"/>
      <c r="ALN17" s="277"/>
      <c r="ALO17" s="277"/>
      <c r="ALP17" s="277"/>
      <c r="ALQ17" s="277"/>
      <c r="ALR17" s="277"/>
      <c r="ALS17" s="277"/>
      <c r="ALT17" s="277"/>
      <c r="ALU17" s="277"/>
      <c r="ALV17" s="277"/>
      <c r="ALW17" s="277"/>
      <c r="ALX17" s="277"/>
      <c r="ALY17" s="277"/>
      <c r="ALZ17" s="277"/>
      <c r="AMA17" s="277"/>
      <c r="AMB17" s="277"/>
      <c r="AMC17" s="277"/>
      <c r="AMD17" s="277"/>
      <c r="AME17" s="277"/>
      <c r="AMF17" s="277"/>
      <c r="AMG17" s="277"/>
      <c r="AMH17" s="277"/>
      <c r="AMI17" s="277"/>
      <c r="AMJ17" s="277"/>
      <c r="AMK17" s="277"/>
      <c r="AML17" s="277"/>
      <c r="AMM17" s="277"/>
      <c r="AMN17" s="277"/>
      <c r="AMO17" s="277"/>
      <c r="AMP17" s="277"/>
      <c r="AMQ17" s="277"/>
      <c r="AMR17" s="277"/>
      <c r="AMS17" s="277"/>
      <c r="AMT17" s="277"/>
      <c r="AMU17" s="277"/>
      <c r="AMV17" s="277"/>
      <c r="AMW17" s="277"/>
      <c r="AMX17" s="277"/>
      <c r="AMY17" s="277"/>
      <c r="AMZ17" s="277"/>
      <c r="ANA17" s="277"/>
      <c r="ANB17" s="277"/>
      <c r="ANC17" s="277"/>
      <c r="AND17" s="277"/>
      <c r="ANE17" s="277"/>
      <c r="ANF17" s="277"/>
      <c r="ANG17" s="277"/>
      <c r="ANH17" s="277"/>
      <c r="ANI17" s="277"/>
      <c r="ANJ17" s="277"/>
      <c r="ANK17" s="277"/>
      <c r="ANL17" s="277"/>
      <c r="ANM17" s="277"/>
      <c r="ANN17" s="277"/>
      <c r="ANO17" s="277"/>
      <c r="ANP17" s="277"/>
      <c r="ANQ17" s="277"/>
      <c r="ANR17" s="277"/>
      <c r="ANS17" s="277"/>
      <c r="ANT17" s="277"/>
      <c r="ANU17" s="277"/>
      <c r="ANV17" s="277"/>
      <c r="ANW17" s="277"/>
      <c r="ANX17" s="277"/>
      <c r="ANY17" s="277"/>
      <c r="ANZ17" s="277"/>
      <c r="AOA17" s="277"/>
      <c r="AOB17" s="277"/>
      <c r="AOC17" s="277"/>
      <c r="AOD17" s="277"/>
      <c r="AOE17" s="277"/>
      <c r="AOF17" s="277"/>
      <c r="AOG17" s="277"/>
      <c r="AOH17" s="277"/>
      <c r="AOI17" s="277"/>
      <c r="AOJ17" s="277"/>
      <c r="AOK17" s="277"/>
      <c r="AOL17" s="277"/>
      <c r="AOM17" s="277"/>
      <c r="AON17" s="277"/>
      <c r="AOO17" s="277"/>
      <c r="AOP17" s="277"/>
      <c r="AOQ17" s="277"/>
      <c r="AOR17" s="277"/>
      <c r="AOS17" s="277"/>
      <c r="AOT17" s="277"/>
      <c r="AOU17" s="277"/>
      <c r="AOV17" s="277"/>
      <c r="AOW17" s="277"/>
      <c r="AOX17" s="277"/>
      <c r="AOY17" s="277"/>
      <c r="AOZ17" s="277"/>
      <c r="APA17" s="277"/>
      <c r="APB17" s="277"/>
      <c r="APC17" s="277"/>
      <c r="APD17" s="277"/>
      <c r="APE17" s="277"/>
      <c r="APF17" s="277"/>
      <c r="APG17" s="277"/>
      <c r="APH17" s="277"/>
      <c r="API17" s="277"/>
      <c r="APJ17" s="277"/>
      <c r="APK17" s="277"/>
      <c r="APL17" s="277"/>
      <c r="APM17" s="277"/>
      <c r="APN17" s="277"/>
      <c r="APO17" s="277"/>
      <c r="APP17" s="277"/>
      <c r="APQ17" s="277"/>
      <c r="APR17" s="277"/>
      <c r="APS17" s="277"/>
      <c r="APT17" s="277"/>
      <c r="APU17" s="277"/>
      <c r="APV17" s="277"/>
      <c r="APW17" s="277"/>
      <c r="APX17" s="277"/>
      <c r="APY17" s="277"/>
      <c r="APZ17" s="277"/>
      <c r="AQA17" s="277"/>
      <c r="AQB17" s="277"/>
      <c r="AQC17" s="277"/>
      <c r="AQD17" s="277"/>
      <c r="AQE17" s="277"/>
      <c r="AQF17" s="277"/>
      <c r="AQG17" s="277"/>
      <c r="AQH17" s="277"/>
      <c r="AQI17" s="277"/>
      <c r="AQJ17" s="277"/>
      <c r="AQK17" s="277"/>
      <c r="AQL17" s="277"/>
      <c r="AQM17" s="277"/>
      <c r="AQN17" s="277"/>
      <c r="AQO17" s="277"/>
      <c r="AQP17" s="277"/>
      <c r="AQQ17" s="277"/>
      <c r="AQR17" s="277"/>
      <c r="AQS17" s="277"/>
      <c r="AQT17" s="277"/>
      <c r="AQU17" s="277"/>
      <c r="AQV17" s="277"/>
      <c r="AQW17" s="277"/>
      <c r="AQX17" s="277"/>
      <c r="AQY17" s="277"/>
      <c r="AQZ17" s="277"/>
      <c r="ARA17" s="277"/>
      <c r="ARB17" s="277"/>
      <c r="ARC17" s="277"/>
      <c r="ARD17" s="277"/>
      <c r="ARE17" s="277"/>
      <c r="ARF17" s="277"/>
      <c r="ARG17" s="277"/>
      <c r="ARH17" s="277"/>
      <c r="ARI17" s="277"/>
      <c r="ARJ17" s="277"/>
      <c r="ARK17" s="277"/>
      <c r="ARL17" s="277"/>
      <c r="ARM17" s="277"/>
      <c r="ARN17" s="277"/>
      <c r="ARO17" s="277"/>
      <c r="ARP17" s="277"/>
      <c r="ARQ17" s="277"/>
      <c r="ARR17" s="277"/>
      <c r="ARS17" s="277"/>
      <c r="ART17" s="277"/>
      <c r="ARU17" s="277"/>
      <c r="ARV17" s="277"/>
      <c r="ARW17" s="277"/>
      <c r="ARX17" s="277"/>
      <c r="ARY17" s="277"/>
      <c r="ARZ17" s="277"/>
      <c r="ASA17" s="277"/>
      <c r="ASB17" s="277"/>
      <c r="ASC17" s="277"/>
      <c r="ASD17" s="277"/>
      <c r="ASE17" s="277"/>
      <c r="ASF17" s="277"/>
      <c r="ASG17" s="277"/>
      <c r="ASH17" s="277"/>
      <c r="ASI17" s="277"/>
      <c r="ASJ17" s="277"/>
      <c r="ASK17" s="277"/>
      <c r="ASL17" s="277"/>
      <c r="ASM17" s="277"/>
      <c r="ASN17" s="277"/>
      <c r="ASO17" s="277"/>
      <c r="ASP17" s="277"/>
      <c r="ASQ17" s="277"/>
      <c r="ASR17" s="277"/>
      <c r="ASS17" s="277"/>
      <c r="AST17" s="277"/>
      <c r="ASU17" s="277"/>
      <c r="ASV17" s="277"/>
      <c r="ASW17" s="277"/>
      <c r="ASX17" s="277"/>
      <c r="ASY17" s="277"/>
      <c r="ASZ17" s="277"/>
      <c r="ATA17" s="277"/>
      <c r="ATB17" s="277"/>
      <c r="ATC17" s="277"/>
      <c r="ATD17" s="277"/>
      <c r="ATE17" s="277"/>
      <c r="ATF17" s="277"/>
      <c r="ATG17" s="277"/>
      <c r="ATH17" s="277"/>
      <c r="ATI17" s="277"/>
      <c r="ATJ17" s="277"/>
      <c r="ATK17" s="277"/>
      <c r="ATL17" s="277"/>
      <c r="ATM17" s="277"/>
      <c r="ATN17" s="277"/>
      <c r="ATO17" s="277"/>
      <c r="ATP17" s="277"/>
      <c r="ATQ17" s="277"/>
      <c r="ATR17" s="277"/>
      <c r="ATS17" s="277"/>
      <c r="ATT17" s="277"/>
      <c r="ATU17" s="277"/>
      <c r="ATV17" s="277"/>
      <c r="ATW17" s="277"/>
      <c r="ATX17" s="277"/>
      <c r="ATY17" s="277"/>
      <c r="ATZ17" s="277"/>
      <c r="AUA17" s="277"/>
      <c r="AUB17" s="277"/>
      <c r="AUC17" s="277"/>
      <c r="AUD17" s="277"/>
      <c r="AUE17" s="277"/>
      <c r="AUF17" s="277"/>
      <c r="AUG17" s="277"/>
      <c r="AUH17" s="277"/>
      <c r="AUI17" s="277"/>
      <c r="AUJ17" s="277"/>
      <c r="AUK17" s="277"/>
      <c r="AUL17" s="277"/>
      <c r="AUM17" s="277"/>
      <c r="AUN17" s="277"/>
      <c r="AUO17" s="277"/>
      <c r="AUP17" s="277"/>
      <c r="AUQ17" s="277"/>
      <c r="AUR17" s="277"/>
      <c r="AUS17" s="277"/>
      <c r="AUT17" s="277"/>
      <c r="AUU17" s="277"/>
      <c r="AUV17" s="277"/>
      <c r="AUW17" s="277"/>
      <c r="AUX17" s="277"/>
      <c r="AUY17" s="277"/>
      <c r="AUZ17" s="277"/>
      <c r="AVA17" s="277"/>
      <c r="AVB17" s="277"/>
      <c r="AVC17" s="277"/>
      <c r="AVD17" s="277"/>
      <c r="AVE17" s="277"/>
      <c r="AVF17" s="277"/>
      <c r="AVG17" s="277"/>
      <c r="AVH17" s="277"/>
      <c r="AVI17" s="277"/>
      <c r="AVJ17" s="277"/>
      <c r="AVK17" s="277"/>
      <c r="AVL17" s="277"/>
      <c r="AVM17" s="277"/>
      <c r="AVN17" s="277"/>
      <c r="AVO17" s="277"/>
      <c r="AVP17" s="277"/>
      <c r="AVQ17" s="277"/>
      <c r="AVR17" s="277"/>
      <c r="AVS17" s="277"/>
      <c r="AVT17" s="277"/>
      <c r="AVU17" s="277"/>
      <c r="AVV17" s="277"/>
      <c r="AVW17" s="277"/>
      <c r="AVX17" s="277"/>
      <c r="AVY17" s="277"/>
      <c r="AVZ17" s="277"/>
      <c r="AWA17" s="277"/>
      <c r="AWB17" s="277"/>
      <c r="AWC17" s="277"/>
      <c r="AWD17" s="277"/>
      <c r="AWE17" s="277"/>
      <c r="AWF17" s="277"/>
      <c r="AWG17" s="277"/>
      <c r="AWH17" s="277"/>
      <c r="AWI17" s="277"/>
      <c r="AWJ17" s="277"/>
      <c r="AWK17" s="277"/>
      <c r="AWL17" s="277"/>
      <c r="AWM17" s="277"/>
      <c r="AWN17" s="277"/>
      <c r="AWO17" s="277"/>
      <c r="AWP17" s="277"/>
      <c r="AWQ17" s="277"/>
      <c r="AWR17" s="277"/>
      <c r="AWS17" s="277"/>
      <c r="AWT17" s="277"/>
      <c r="AWU17" s="277"/>
      <c r="AWV17" s="277"/>
      <c r="AWW17" s="277"/>
      <c r="AWX17" s="277"/>
      <c r="AWY17" s="277"/>
      <c r="AWZ17" s="277"/>
      <c r="AXA17" s="277"/>
      <c r="AXB17" s="277"/>
      <c r="AXC17" s="277"/>
      <c r="AXD17" s="277"/>
      <c r="AXE17" s="277"/>
      <c r="AXF17" s="277"/>
      <c r="AXG17" s="277"/>
      <c r="AXH17" s="277"/>
      <c r="AXI17" s="277"/>
      <c r="AXJ17" s="277"/>
      <c r="AXK17" s="277"/>
      <c r="AXL17" s="277"/>
      <c r="AXM17" s="277"/>
      <c r="AXN17" s="277"/>
      <c r="AXO17" s="277"/>
      <c r="AXP17" s="277"/>
      <c r="AXQ17" s="277"/>
      <c r="AXR17" s="277"/>
      <c r="AXS17" s="277"/>
      <c r="AXT17" s="277"/>
      <c r="AXU17" s="277"/>
      <c r="AXV17" s="277"/>
      <c r="AXW17" s="277"/>
      <c r="AXX17" s="277"/>
      <c r="AXY17" s="277"/>
      <c r="AXZ17" s="277"/>
      <c r="AYA17" s="277"/>
      <c r="AYB17" s="277"/>
      <c r="AYC17" s="277"/>
      <c r="AYD17" s="277"/>
      <c r="AYE17" s="277"/>
      <c r="AYF17" s="277"/>
      <c r="AYG17" s="277"/>
      <c r="AYH17" s="277"/>
      <c r="AYI17" s="277"/>
      <c r="AYJ17" s="277"/>
      <c r="AYK17" s="277"/>
      <c r="AYL17" s="277"/>
      <c r="AYM17" s="277"/>
      <c r="AYN17" s="277"/>
      <c r="AYO17" s="277"/>
      <c r="AYP17" s="277"/>
      <c r="AYQ17" s="277"/>
      <c r="AYR17" s="277"/>
      <c r="AYS17" s="277"/>
      <c r="AYT17" s="277"/>
      <c r="AYU17" s="277"/>
      <c r="AYV17" s="277"/>
      <c r="AYW17" s="277"/>
      <c r="AYX17" s="277"/>
      <c r="AYY17" s="277"/>
      <c r="AYZ17" s="277"/>
      <c r="AZA17" s="277"/>
      <c r="AZB17" s="277"/>
      <c r="AZC17" s="277"/>
      <c r="AZD17" s="277"/>
      <c r="AZE17" s="277"/>
      <c r="AZF17" s="277"/>
      <c r="AZG17" s="277"/>
      <c r="AZH17" s="277"/>
      <c r="AZI17" s="277"/>
      <c r="AZJ17" s="277"/>
      <c r="AZK17" s="277"/>
      <c r="AZL17" s="277"/>
      <c r="AZM17" s="277"/>
      <c r="AZN17" s="277"/>
      <c r="AZO17" s="277"/>
      <c r="AZP17" s="277"/>
      <c r="AZQ17" s="277"/>
      <c r="AZR17" s="277"/>
      <c r="AZS17" s="277"/>
      <c r="AZT17" s="277"/>
      <c r="AZU17" s="277"/>
      <c r="AZV17" s="277"/>
      <c r="AZW17" s="277"/>
      <c r="AZX17" s="277"/>
      <c r="AZY17" s="277"/>
      <c r="AZZ17" s="277"/>
      <c r="BAA17" s="277"/>
      <c r="BAB17" s="277"/>
      <c r="BAC17" s="277"/>
      <c r="BAD17" s="277"/>
      <c r="BAE17" s="277"/>
      <c r="BAF17" s="277"/>
      <c r="BAG17" s="277"/>
      <c r="BAH17" s="277"/>
      <c r="BAI17" s="277"/>
      <c r="BAJ17" s="277"/>
      <c r="BAK17" s="277"/>
      <c r="BAL17" s="277"/>
      <c r="BAM17" s="277"/>
      <c r="BAN17" s="277"/>
      <c r="BAO17" s="277"/>
      <c r="BAP17" s="277"/>
      <c r="BAQ17" s="277"/>
      <c r="BAR17" s="277"/>
      <c r="BAS17" s="277"/>
      <c r="BAT17" s="277"/>
      <c r="BAU17" s="277"/>
      <c r="BAV17" s="277"/>
      <c r="BAW17" s="277"/>
      <c r="BAX17" s="277"/>
      <c r="BAY17" s="277"/>
      <c r="BAZ17" s="277"/>
      <c r="BBA17" s="277"/>
      <c r="BBB17" s="277"/>
      <c r="BBC17" s="277"/>
      <c r="BBD17" s="277"/>
      <c r="BBE17" s="277"/>
      <c r="BBF17" s="277"/>
      <c r="BBG17" s="277"/>
      <c r="BBH17" s="277"/>
      <c r="BBI17" s="277"/>
      <c r="BBJ17" s="277"/>
      <c r="BBK17" s="277"/>
      <c r="BBL17" s="277"/>
      <c r="BBM17" s="277"/>
      <c r="BBN17" s="277"/>
      <c r="BBO17" s="277"/>
      <c r="BBP17" s="277"/>
      <c r="BBQ17" s="277"/>
      <c r="BBR17" s="277"/>
      <c r="BBS17" s="277"/>
      <c r="BBT17" s="277"/>
      <c r="BBU17" s="277"/>
      <c r="BBV17" s="277"/>
      <c r="BBW17" s="277"/>
      <c r="BBX17" s="277"/>
      <c r="BBY17" s="277"/>
      <c r="BBZ17" s="277"/>
      <c r="BCA17" s="277"/>
      <c r="BCB17" s="277"/>
      <c r="BCC17" s="277"/>
      <c r="BCD17" s="277"/>
      <c r="BCE17" s="277"/>
      <c r="BCF17" s="277"/>
      <c r="BCG17" s="277"/>
      <c r="BCH17" s="277"/>
      <c r="BCI17" s="277"/>
      <c r="BCJ17" s="277"/>
      <c r="BCK17" s="277"/>
      <c r="BCL17" s="277"/>
      <c r="BCM17" s="277"/>
      <c r="BCN17" s="277"/>
      <c r="BCO17" s="277"/>
      <c r="BCP17" s="277"/>
      <c r="BCQ17" s="277"/>
      <c r="BCR17" s="277"/>
      <c r="BCS17" s="277"/>
      <c r="BCT17" s="277"/>
      <c r="BCU17" s="277"/>
      <c r="BCV17" s="277"/>
      <c r="BCW17" s="277"/>
      <c r="BCX17" s="277"/>
      <c r="BCY17" s="277"/>
      <c r="BCZ17" s="277"/>
      <c r="BDA17" s="277"/>
      <c r="BDB17" s="277"/>
      <c r="BDC17" s="277"/>
      <c r="BDD17" s="277"/>
      <c r="BDE17" s="277"/>
      <c r="BDF17" s="277"/>
      <c r="BDG17" s="277"/>
      <c r="BDH17" s="277"/>
      <c r="BDI17" s="277"/>
      <c r="BDJ17" s="277"/>
      <c r="BDK17" s="277"/>
      <c r="BDL17" s="277"/>
      <c r="BDM17" s="277"/>
      <c r="BDN17" s="277"/>
      <c r="BDO17" s="277"/>
      <c r="BDP17" s="277"/>
      <c r="BDQ17" s="277"/>
      <c r="BDR17" s="277"/>
      <c r="BDS17" s="277"/>
      <c r="BDT17" s="277"/>
      <c r="BDU17" s="277"/>
      <c r="BDV17" s="277"/>
      <c r="BDW17" s="277"/>
      <c r="BDX17" s="277"/>
      <c r="BDY17" s="277"/>
      <c r="BDZ17" s="277"/>
      <c r="BEA17" s="277"/>
      <c r="BEB17" s="277"/>
      <c r="BEC17" s="277"/>
      <c r="BED17" s="277"/>
      <c r="BEE17" s="277"/>
      <c r="BEF17" s="277"/>
      <c r="BEG17" s="277"/>
      <c r="BEH17" s="277"/>
      <c r="BEI17" s="277"/>
      <c r="BEJ17" s="277"/>
      <c r="BEK17" s="277"/>
      <c r="BEL17" s="277"/>
      <c r="BEM17" s="277"/>
      <c r="BEN17" s="277"/>
      <c r="BEO17" s="277"/>
      <c r="BEP17" s="277"/>
      <c r="BEQ17" s="277"/>
      <c r="BER17" s="277"/>
      <c r="BES17" s="277"/>
      <c r="BET17" s="277"/>
      <c r="BEU17" s="277"/>
      <c r="BEV17" s="277"/>
      <c r="BEW17" s="277"/>
      <c r="BEX17" s="277"/>
      <c r="BEY17" s="277"/>
      <c r="BEZ17" s="277"/>
      <c r="BFA17" s="277"/>
      <c r="BFB17" s="277"/>
      <c r="BFC17" s="277"/>
      <c r="BFD17" s="277"/>
      <c r="BFE17" s="277"/>
      <c r="BFF17" s="277"/>
      <c r="BFG17" s="277"/>
      <c r="BFH17" s="277"/>
      <c r="BFI17" s="277"/>
      <c r="BFJ17" s="277"/>
      <c r="BFK17" s="277"/>
      <c r="BFL17" s="277"/>
      <c r="BFM17" s="277"/>
      <c r="BFN17" s="277"/>
      <c r="BFO17" s="277"/>
      <c r="BFP17" s="277"/>
      <c r="BFQ17" s="277"/>
      <c r="BFR17" s="277"/>
      <c r="BFS17" s="277"/>
      <c r="BFT17" s="277"/>
      <c r="BFU17" s="277"/>
      <c r="BFV17" s="277"/>
      <c r="BFW17" s="277"/>
      <c r="BFX17" s="277"/>
      <c r="BFY17" s="277"/>
      <c r="BFZ17" s="277"/>
      <c r="BGA17" s="277"/>
      <c r="BGB17" s="277"/>
      <c r="BGC17" s="277"/>
      <c r="BGD17" s="277"/>
      <c r="BGE17" s="277"/>
      <c r="BGF17" s="277"/>
      <c r="BGG17" s="277"/>
      <c r="BGH17" s="277"/>
      <c r="BGI17" s="277"/>
      <c r="BGJ17" s="277"/>
      <c r="BGK17" s="277"/>
      <c r="BGL17" s="277"/>
      <c r="BGM17" s="277"/>
      <c r="BGN17" s="277"/>
      <c r="BGO17" s="277"/>
      <c r="BGP17" s="277"/>
      <c r="BGQ17" s="277"/>
      <c r="BGR17" s="277"/>
      <c r="BGS17" s="277"/>
      <c r="BGT17" s="277"/>
      <c r="BGU17" s="277"/>
      <c r="BGV17" s="277"/>
      <c r="BGW17" s="277"/>
      <c r="BGX17" s="277"/>
      <c r="BGY17" s="277"/>
      <c r="BGZ17" s="277"/>
      <c r="BHA17" s="277"/>
      <c r="BHB17" s="277"/>
      <c r="BHC17" s="277"/>
      <c r="BHD17" s="277"/>
      <c r="BHE17" s="277"/>
      <c r="BHF17" s="277"/>
      <c r="BHG17" s="277"/>
      <c r="BHH17" s="277"/>
      <c r="BHI17" s="277"/>
      <c r="BHJ17" s="277"/>
      <c r="BHK17" s="277"/>
      <c r="BHL17" s="277"/>
      <c r="BHM17" s="277"/>
      <c r="BHN17" s="277"/>
      <c r="BHO17" s="277"/>
      <c r="BHP17" s="277"/>
      <c r="BHQ17" s="277"/>
      <c r="BHR17" s="277"/>
      <c r="BHS17" s="277"/>
      <c r="BHT17" s="277"/>
      <c r="BHU17" s="277"/>
      <c r="BHV17" s="277"/>
      <c r="BHW17" s="277"/>
      <c r="BHX17" s="277"/>
      <c r="BHY17" s="277"/>
      <c r="BHZ17" s="277"/>
      <c r="BIA17" s="277"/>
      <c r="BIB17" s="277"/>
      <c r="BIC17" s="277"/>
      <c r="BID17" s="277"/>
      <c r="BIE17" s="277"/>
      <c r="BIF17" s="277"/>
      <c r="BIG17" s="277"/>
      <c r="BIH17" s="277"/>
      <c r="BII17" s="277"/>
      <c r="BIJ17" s="277"/>
      <c r="BIK17" s="277"/>
      <c r="BIL17" s="277"/>
      <c r="BIM17" s="277"/>
      <c r="BIN17" s="277"/>
      <c r="BIO17" s="277"/>
      <c r="BIP17" s="277"/>
      <c r="BIQ17" s="277"/>
      <c r="BIR17" s="277"/>
      <c r="BIS17" s="277"/>
      <c r="BIT17" s="277"/>
      <c r="BIU17" s="277"/>
      <c r="BIV17" s="277"/>
      <c r="BIW17" s="277"/>
      <c r="BIX17" s="277"/>
      <c r="BIY17" s="277"/>
      <c r="BIZ17" s="277"/>
      <c r="BJA17" s="277"/>
      <c r="BJB17" s="277"/>
      <c r="BJC17" s="277"/>
      <c r="BJD17" s="277"/>
      <c r="BJE17" s="277"/>
      <c r="BJF17" s="277"/>
      <c r="BJG17" s="277"/>
      <c r="BJH17" s="277"/>
      <c r="BJI17" s="277"/>
      <c r="BJJ17" s="277"/>
      <c r="BJK17" s="277"/>
      <c r="BJL17" s="277"/>
      <c r="BJM17" s="277"/>
      <c r="BJN17" s="277"/>
      <c r="BJO17" s="277"/>
      <c r="BJP17" s="277"/>
      <c r="BJQ17" s="277"/>
      <c r="BJR17" s="277"/>
      <c r="BJS17" s="277"/>
      <c r="BJT17" s="277"/>
      <c r="BJU17" s="277"/>
      <c r="BJV17" s="277"/>
      <c r="BJW17" s="277"/>
      <c r="BJX17" s="277"/>
      <c r="BJY17" s="277"/>
      <c r="BJZ17" s="277"/>
      <c r="BKA17" s="277"/>
      <c r="BKB17" s="277"/>
      <c r="BKC17" s="277"/>
      <c r="BKD17" s="277"/>
      <c r="BKE17" s="277"/>
      <c r="BKF17" s="277"/>
      <c r="BKG17" s="277"/>
      <c r="BKH17" s="277"/>
      <c r="BKI17" s="277"/>
      <c r="BKJ17" s="277"/>
      <c r="BKK17" s="277"/>
      <c r="BKL17" s="277"/>
      <c r="BKM17" s="277"/>
      <c r="BKN17" s="277"/>
      <c r="BKO17" s="277"/>
      <c r="BKP17" s="277"/>
      <c r="BKQ17" s="277"/>
      <c r="BKR17" s="277"/>
      <c r="BKS17" s="277"/>
      <c r="BKT17" s="277"/>
      <c r="BKU17" s="277"/>
      <c r="BKV17" s="277"/>
      <c r="BKW17" s="277"/>
      <c r="BKX17" s="277"/>
      <c r="BKY17" s="277"/>
      <c r="BKZ17" s="277"/>
      <c r="BLA17" s="277"/>
      <c r="BLB17" s="277"/>
      <c r="BLC17" s="277"/>
      <c r="BLD17" s="277"/>
      <c r="BLE17" s="277"/>
      <c r="BLF17" s="277"/>
      <c r="BLG17" s="277"/>
      <c r="BLH17" s="277"/>
      <c r="BLI17" s="277"/>
      <c r="BLJ17" s="277"/>
      <c r="BLK17" s="277"/>
      <c r="BLL17" s="277"/>
      <c r="BLM17" s="277"/>
      <c r="BLN17" s="277"/>
      <c r="BLO17" s="277"/>
      <c r="BLP17" s="277"/>
      <c r="BLQ17" s="277"/>
      <c r="BLR17" s="277"/>
      <c r="BLS17" s="277"/>
      <c r="BLT17" s="277"/>
      <c r="BLU17" s="277"/>
      <c r="BLV17" s="277"/>
      <c r="BLW17" s="277"/>
      <c r="BLX17" s="277"/>
      <c r="BLY17" s="277"/>
      <c r="BLZ17" s="277"/>
      <c r="BMA17" s="277"/>
      <c r="BMB17" s="277"/>
      <c r="BMC17" s="277"/>
      <c r="BMD17" s="277"/>
      <c r="BME17" s="277"/>
      <c r="BMF17" s="277"/>
      <c r="BMG17" s="277"/>
      <c r="BMH17" s="277"/>
      <c r="BMI17" s="277"/>
      <c r="BMJ17" s="277"/>
      <c r="BMK17" s="277"/>
      <c r="BML17" s="277"/>
      <c r="BMM17" s="277"/>
      <c r="BMN17" s="277"/>
      <c r="BMO17" s="277"/>
      <c r="BMP17" s="277"/>
      <c r="BMQ17" s="277"/>
      <c r="BMR17" s="277"/>
      <c r="BMS17" s="277"/>
      <c r="BMT17" s="277"/>
      <c r="BMU17" s="277"/>
      <c r="BMV17" s="277"/>
      <c r="BMW17" s="277"/>
      <c r="BMX17" s="277"/>
      <c r="BMY17" s="277"/>
      <c r="BMZ17" s="277"/>
      <c r="BNA17" s="277"/>
      <c r="BNB17" s="277"/>
      <c r="BNC17" s="277"/>
      <c r="BND17" s="277"/>
      <c r="BNE17" s="277"/>
      <c r="BNF17" s="277"/>
      <c r="BNG17" s="277"/>
      <c r="BNH17" s="277"/>
      <c r="BNI17" s="277"/>
      <c r="BNJ17" s="277"/>
      <c r="BNK17" s="277"/>
      <c r="BNL17" s="277"/>
      <c r="BNM17" s="277"/>
      <c r="BNN17" s="277"/>
      <c r="BNO17" s="277"/>
      <c r="BNP17" s="277"/>
      <c r="BNQ17" s="277"/>
      <c r="BNR17" s="277"/>
      <c r="BNS17" s="277"/>
      <c r="BNT17" s="277"/>
      <c r="BNU17" s="277"/>
      <c r="BNV17" s="277"/>
      <c r="BNW17" s="277"/>
      <c r="BNX17" s="277"/>
      <c r="BNY17" s="277"/>
      <c r="BNZ17" s="277"/>
      <c r="BOA17" s="277"/>
      <c r="BOB17" s="277"/>
      <c r="BOC17" s="277"/>
      <c r="BOD17" s="277"/>
      <c r="BOE17" s="277"/>
      <c r="BOF17" s="277"/>
      <c r="BOG17" s="277"/>
      <c r="BOH17" s="277"/>
      <c r="BOI17" s="277"/>
      <c r="BOJ17" s="277"/>
      <c r="BOK17" s="277"/>
      <c r="BOL17" s="277"/>
      <c r="BOM17" s="277"/>
      <c r="BON17" s="277"/>
      <c r="BOO17" s="277"/>
      <c r="BOP17" s="277"/>
      <c r="BOQ17" s="277"/>
      <c r="BOR17" s="277"/>
      <c r="BOS17" s="277"/>
      <c r="BOT17" s="277"/>
      <c r="BOU17" s="277"/>
      <c r="BOV17" s="277"/>
      <c r="BOW17" s="277"/>
      <c r="BOX17" s="277"/>
      <c r="BOY17" s="277"/>
      <c r="BOZ17" s="277"/>
      <c r="BPA17" s="277"/>
      <c r="BPB17" s="277"/>
      <c r="BPC17" s="277"/>
      <c r="BPD17" s="277"/>
      <c r="BPE17" s="277"/>
      <c r="BPF17" s="277"/>
      <c r="BPG17" s="277"/>
      <c r="BPH17" s="277"/>
      <c r="BPI17" s="277"/>
      <c r="BPJ17" s="277"/>
      <c r="BPK17" s="277"/>
      <c r="BPL17" s="277"/>
      <c r="BPM17" s="277"/>
      <c r="BPN17" s="277"/>
      <c r="BPO17" s="277"/>
      <c r="BPP17" s="277"/>
      <c r="BPQ17" s="277"/>
      <c r="BPR17" s="277"/>
      <c r="BPS17" s="277"/>
      <c r="BPT17" s="277"/>
      <c r="BPU17" s="277"/>
      <c r="BPV17" s="277"/>
      <c r="BPW17" s="277"/>
      <c r="BPX17" s="277"/>
      <c r="BPY17" s="277"/>
      <c r="BPZ17" s="277"/>
      <c r="BQA17" s="277"/>
      <c r="BQB17" s="277"/>
      <c r="BQC17" s="277"/>
      <c r="BQD17" s="277"/>
      <c r="BQE17" s="277"/>
      <c r="BQF17" s="277"/>
      <c r="BQG17" s="277"/>
      <c r="BQH17" s="277"/>
      <c r="BQI17" s="277"/>
      <c r="BQJ17" s="277"/>
      <c r="BQK17" s="277"/>
      <c r="BQL17" s="277"/>
      <c r="BQM17" s="277"/>
      <c r="BQN17" s="277"/>
      <c r="BQO17" s="277"/>
      <c r="BQP17" s="277"/>
      <c r="BQQ17" s="277"/>
      <c r="BQR17" s="277"/>
      <c r="BQS17" s="277"/>
      <c r="BQT17" s="277"/>
      <c r="BQU17" s="277"/>
      <c r="BQV17" s="277"/>
      <c r="BQW17" s="277"/>
      <c r="BQX17" s="277"/>
      <c r="BQY17" s="277"/>
      <c r="BQZ17" s="277"/>
      <c r="BRA17" s="277"/>
      <c r="BRB17" s="277"/>
      <c r="BRC17" s="277"/>
      <c r="BRD17" s="277"/>
      <c r="BRE17" s="277"/>
      <c r="BRF17" s="277"/>
      <c r="BRG17" s="277"/>
      <c r="BRH17" s="277"/>
      <c r="BRI17" s="277"/>
      <c r="BRJ17" s="277"/>
      <c r="BRK17" s="277"/>
      <c r="BRL17" s="277"/>
      <c r="BRM17" s="277"/>
      <c r="BRN17" s="277"/>
      <c r="BRO17" s="277"/>
      <c r="BRP17" s="277"/>
      <c r="BRQ17" s="277"/>
      <c r="BRR17" s="277"/>
      <c r="BRS17" s="277"/>
      <c r="BRT17" s="277"/>
      <c r="BRU17" s="277"/>
      <c r="BRV17" s="277"/>
      <c r="BRW17" s="277"/>
      <c r="BRX17" s="277"/>
      <c r="BRY17" s="277"/>
      <c r="BRZ17" s="277"/>
      <c r="BSA17" s="277"/>
      <c r="BSB17" s="277"/>
      <c r="BSC17" s="277"/>
      <c r="BSD17" s="277"/>
      <c r="BSE17" s="277"/>
      <c r="BSF17" s="277"/>
      <c r="BSG17" s="277"/>
      <c r="BSH17" s="277"/>
      <c r="BSI17" s="277"/>
      <c r="BSJ17" s="277"/>
      <c r="BSK17" s="277"/>
      <c r="BSL17" s="277"/>
      <c r="BSM17" s="277"/>
      <c r="BSN17" s="277"/>
      <c r="BSO17" s="277"/>
      <c r="BSP17" s="277"/>
      <c r="BSQ17" s="277"/>
      <c r="BSR17" s="277"/>
      <c r="BSS17" s="277"/>
      <c r="BST17" s="277"/>
      <c r="BSU17" s="277"/>
      <c r="BSV17" s="277"/>
      <c r="BSW17" s="277"/>
      <c r="BSX17" s="277"/>
      <c r="BSY17" s="277"/>
      <c r="BSZ17" s="277"/>
      <c r="BTA17" s="277"/>
      <c r="BTB17" s="277"/>
      <c r="BTC17" s="277"/>
      <c r="BTD17" s="277"/>
      <c r="BTE17" s="277"/>
      <c r="BTF17" s="277"/>
      <c r="BTG17" s="277"/>
      <c r="BTH17" s="277"/>
      <c r="BTI17" s="277"/>
      <c r="BTJ17" s="277"/>
      <c r="BTK17" s="277"/>
      <c r="BTL17" s="277"/>
      <c r="BTM17" s="277"/>
      <c r="BTN17" s="277"/>
      <c r="BTO17" s="277"/>
      <c r="BTP17" s="277"/>
      <c r="BTQ17" s="277"/>
      <c r="BTR17" s="277"/>
      <c r="BTS17" s="277"/>
      <c r="BTT17" s="277"/>
      <c r="BTU17" s="277"/>
      <c r="BTV17" s="277"/>
      <c r="BTW17" s="277"/>
      <c r="BTX17" s="277"/>
      <c r="BTY17" s="277"/>
      <c r="BTZ17" s="277"/>
      <c r="BUA17" s="277"/>
      <c r="BUB17" s="277"/>
      <c r="BUC17" s="277"/>
      <c r="BUD17" s="277"/>
      <c r="BUE17" s="277"/>
      <c r="BUF17" s="277"/>
      <c r="BUG17" s="277"/>
      <c r="BUH17" s="277"/>
      <c r="BUI17" s="277"/>
      <c r="BUJ17" s="277"/>
      <c r="BUK17" s="277"/>
      <c r="BUL17" s="277"/>
      <c r="BUM17" s="277"/>
      <c r="BUN17" s="277"/>
      <c r="BUO17" s="277"/>
      <c r="BUP17" s="277"/>
      <c r="BUQ17" s="277"/>
      <c r="BUR17" s="277"/>
      <c r="BUS17" s="277"/>
      <c r="BUT17" s="277"/>
      <c r="BUU17" s="277"/>
      <c r="BUV17" s="277"/>
      <c r="BUW17" s="277"/>
      <c r="BUX17" s="277"/>
      <c r="BUY17" s="277"/>
      <c r="BUZ17" s="277"/>
      <c r="BVA17" s="277"/>
      <c r="BVB17" s="277"/>
      <c r="BVC17" s="277"/>
      <c r="BVD17" s="277"/>
      <c r="BVE17" s="277"/>
      <c r="BVF17" s="277"/>
      <c r="BVG17" s="277"/>
      <c r="BVH17" s="277"/>
      <c r="BVI17" s="277"/>
      <c r="BVJ17" s="277"/>
      <c r="BVK17" s="277"/>
      <c r="BVL17" s="277"/>
      <c r="BVM17" s="277"/>
      <c r="BVN17" s="277"/>
      <c r="BVO17" s="277"/>
      <c r="BVP17" s="277"/>
      <c r="BVQ17" s="277"/>
      <c r="BVR17" s="277"/>
      <c r="BVS17" s="277"/>
      <c r="BVT17" s="277"/>
      <c r="BVU17" s="277"/>
      <c r="BVV17" s="277"/>
      <c r="BVW17" s="277"/>
      <c r="BVX17" s="277"/>
      <c r="BVY17" s="277"/>
      <c r="BVZ17" s="277"/>
      <c r="BWA17" s="277"/>
      <c r="BWB17" s="277"/>
      <c r="BWC17" s="277"/>
      <c r="BWD17" s="277"/>
      <c r="BWE17" s="277"/>
      <c r="BWF17" s="277"/>
      <c r="BWG17" s="277"/>
      <c r="BWH17" s="277"/>
      <c r="BWI17" s="277"/>
      <c r="BWJ17" s="277"/>
      <c r="BWK17" s="277"/>
      <c r="BWL17" s="277"/>
      <c r="BWM17" s="277"/>
      <c r="BWN17" s="277"/>
      <c r="BWO17" s="277"/>
      <c r="BWP17" s="277"/>
      <c r="BWQ17" s="277"/>
      <c r="BWR17" s="277"/>
      <c r="BWS17" s="277"/>
      <c r="BWT17" s="277"/>
      <c r="BWU17" s="277"/>
      <c r="BWV17" s="277"/>
      <c r="BWW17" s="277"/>
      <c r="BWX17" s="277"/>
      <c r="BWY17" s="277"/>
      <c r="BWZ17" s="277"/>
      <c r="BXA17" s="277"/>
      <c r="BXB17" s="277"/>
      <c r="BXC17" s="277"/>
      <c r="BXD17" s="277"/>
      <c r="BXE17" s="277"/>
      <c r="BXF17" s="277"/>
      <c r="BXG17" s="277"/>
      <c r="BXH17" s="277"/>
      <c r="BXI17" s="277"/>
      <c r="BXJ17" s="277"/>
      <c r="BXK17" s="277"/>
      <c r="BXL17" s="277"/>
      <c r="BXM17" s="277"/>
      <c r="BXN17" s="277"/>
      <c r="BXO17" s="277"/>
      <c r="BXP17" s="277"/>
      <c r="BXQ17" s="277"/>
      <c r="BXR17" s="277"/>
      <c r="BXS17" s="277"/>
      <c r="BXT17" s="277"/>
      <c r="BXU17" s="277"/>
      <c r="BXV17" s="277"/>
      <c r="BXW17" s="277"/>
      <c r="BXX17" s="277"/>
      <c r="BXY17" s="277"/>
      <c r="BXZ17" s="277"/>
      <c r="BYA17" s="277"/>
      <c r="BYB17" s="277"/>
      <c r="BYC17" s="277"/>
      <c r="BYD17" s="277"/>
      <c r="BYE17" s="277"/>
      <c r="BYF17" s="277"/>
      <c r="BYG17" s="277"/>
      <c r="BYH17" s="277"/>
      <c r="BYI17" s="277"/>
      <c r="BYJ17" s="277"/>
      <c r="BYK17" s="277"/>
      <c r="BYL17" s="277"/>
      <c r="BYM17" s="277"/>
      <c r="BYN17" s="277"/>
      <c r="BYO17" s="277"/>
      <c r="BYP17" s="277"/>
      <c r="BYQ17" s="277"/>
      <c r="BYR17" s="277"/>
      <c r="BYS17" s="277"/>
      <c r="BYT17" s="277"/>
      <c r="BYU17" s="277"/>
      <c r="BYV17" s="277"/>
      <c r="BYW17" s="277"/>
      <c r="BYX17" s="277"/>
      <c r="BYY17" s="277"/>
      <c r="BYZ17" s="277"/>
      <c r="BZA17" s="277"/>
      <c r="BZB17" s="277"/>
      <c r="BZC17" s="277"/>
      <c r="BZD17" s="277"/>
      <c r="BZE17" s="277"/>
      <c r="BZF17" s="277"/>
      <c r="BZG17" s="277"/>
      <c r="BZH17" s="277"/>
      <c r="BZI17" s="277"/>
      <c r="BZJ17" s="277"/>
      <c r="BZK17" s="277"/>
      <c r="BZL17" s="277"/>
      <c r="BZM17" s="277"/>
      <c r="BZN17" s="277"/>
      <c r="BZO17" s="277"/>
      <c r="BZP17" s="277"/>
      <c r="BZQ17" s="277"/>
      <c r="BZR17" s="277"/>
      <c r="BZS17" s="277"/>
      <c r="BZT17" s="277"/>
      <c r="BZU17" s="277"/>
      <c r="BZV17" s="277"/>
      <c r="BZW17" s="277"/>
      <c r="BZX17" s="277"/>
      <c r="BZY17" s="277"/>
      <c r="BZZ17" s="277"/>
      <c r="CAA17" s="277"/>
      <c r="CAB17" s="277"/>
      <c r="CAC17" s="277"/>
      <c r="CAD17" s="277"/>
      <c r="CAE17" s="277"/>
      <c r="CAF17" s="277"/>
      <c r="CAG17" s="277"/>
      <c r="CAH17" s="277"/>
      <c r="CAI17" s="277"/>
      <c r="CAJ17" s="277"/>
      <c r="CAK17" s="277"/>
      <c r="CAL17" s="277"/>
      <c r="CAM17" s="277"/>
      <c r="CAN17" s="277"/>
      <c r="CAO17" s="277"/>
      <c r="CAP17" s="277"/>
      <c r="CAQ17" s="277"/>
      <c r="CAR17" s="277"/>
      <c r="CAS17" s="277"/>
      <c r="CAT17" s="277"/>
      <c r="CAU17" s="277"/>
      <c r="CAV17" s="277"/>
      <c r="CAW17" s="277"/>
      <c r="CAX17" s="277"/>
      <c r="CAY17" s="277"/>
      <c r="CAZ17" s="277"/>
      <c r="CBA17" s="277"/>
      <c r="CBB17" s="277"/>
      <c r="CBC17" s="277"/>
      <c r="CBD17" s="277"/>
      <c r="CBE17" s="277"/>
      <c r="CBF17" s="277"/>
      <c r="CBG17" s="277"/>
      <c r="CBH17" s="277"/>
      <c r="CBI17" s="277"/>
      <c r="CBJ17" s="277"/>
      <c r="CBK17" s="277"/>
      <c r="CBL17" s="277"/>
      <c r="CBM17" s="277"/>
      <c r="CBN17" s="277"/>
      <c r="CBO17" s="277"/>
      <c r="CBP17" s="277"/>
      <c r="CBQ17" s="277"/>
      <c r="CBR17" s="277"/>
      <c r="CBS17" s="277"/>
      <c r="CBT17" s="277"/>
      <c r="CBU17" s="277"/>
      <c r="CBV17" s="277"/>
      <c r="CBW17" s="277"/>
      <c r="CBX17" s="277"/>
      <c r="CBY17" s="277"/>
      <c r="CBZ17" s="277"/>
      <c r="CCA17" s="277"/>
      <c r="CCB17" s="277"/>
      <c r="CCC17" s="277"/>
      <c r="CCD17" s="277"/>
      <c r="CCE17" s="277"/>
      <c r="CCF17" s="277"/>
      <c r="CCG17" s="277"/>
      <c r="CCH17" s="277"/>
      <c r="CCI17" s="277"/>
      <c r="CCJ17" s="277"/>
      <c r="CCK17" s="277"/>
      <c r="CCL17" s="277"/>
      <c r="CCM17" s="277"/>
      <c r="CCN17" s="277"/>
      <c r="CCO17" s="277"/>
      <c r="CCP17" s="277"/>
      <c r="CCQ17" s="277"/>
      <c r="CCR17" s="277"/>
      <c r="CCS17" s="277"/>
      <c r="CCT17" s="277"/>
      <c r="CCU17" s="277"/>
      <c r="CCV17" s="277"/>
      <c r="CCW17" s="277"/>
      <c r="VEX17" s="222"/>
      <c r="VST17" s="221"/>
      <c r="VTB17" s="221"/>
    </row>
    <row r="18" spans="1:2129 15026:15026 15386:15394" s="220" customFormat="1" ht="16.149999999999999" customHeight="1" x14ac:dyDescent="0.25">
      <c r="A18" s="209" t="s">
        <v>65</v>
      </c>
      <c r="B18" s="209">
        <v>10</v>
      </c>
      <c r="C18" s="209"/>
      <c r="D18" s="209"/>
      <c r="E18" s="209"/>
      <c r="F18" s="209"/>
      <c r="G18" s="210" t="s">
        <v>244</v>
      </c>
      <c r="H18" s="211" t="s">
        <v>245</v>
      </c>
      <c r="I18" s="211"/>
      <c r="J18" s="212"/>
      <c r="K18" s="213"/>
      <c r="L18" s="213"/>
      <c r="M18" s="214"/>
      <c r="N18" s="213">
        <v>42998</v>
      </c>
      <c r="O18" s="213">
        <v>43091</v>
      </c>
      <c r="P18" s="214">
        <v>81</v>
      </c>
      <c r="Q18" s="215">
        <v>0</v>
      </c>
      <c r="R18" s="213"/>
      <c r="S18" s="213"/>
      <c r="T18" s="214"/>
      <c r="U18" s="216"/>
      <c r="V18" s="216"/>
      <c r="W18" s="216"/>
      <c r="X18" s="217"/>
      <c r="Y18" s="218"/>
      <c r="Z18" s="218"/>
      <c r="AA18" s="225"/>
      <c r="AB18" s="218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  <c r="BR18" s="219"/>
      <c r="BS18" s="219"/>
      <c r="BT18" s="219"/>
      <c r="BU18" s="219"/>
      <c r="BV18" s="219"/>
      <c r="BW18" s="219"/>
      <c r="BX18" s="219"/>
      <c r="BY18" s="219"/>
      <c r="BZ18" s="219"/>
      <c r="CA18" s="219"/>
      <c r="CB18" s="219"/>
      <c r="CC18" s="219"/>
      <c r="CD18" s="219"/>
      <c r="CE18" s="219"/>
      <c r="CF18" s="219"/>
      <c r="CG18" s="223"/>
      <c r="CH18" s="223"/>
      <c r="CI18" s="223"/>
      <c r="CJ18" s="223"/>
      <c r="CK18" s="223"/>
      <c r="CL18" s="223"/>
      <c r="CM18" s="223"/>
      <c r="CN18" s="223"/>
      <c r="CO18" s="223"/>
      <c r="CP18" s="223"/>
      <c r="CQ18" s="223"/>
      <c r="CR18" s="223"/>
      <c r="CS18" s="223"/>
      <c r="CT18" s="223"/>
      <c r="CU18" s="223"/>
      <c r="CV18" s="223"/>
      <c r="CW18" s="223"/>
      <c r="CX18" s="223"/>
      <c r="CY18" s="223"/>
      <c r="CZ18" s="223"/>
      <c r="DA18" s="223"/>
      <c r="DB18" s="223"/>
      <c r="DC18" s="223"/>
      <c r="DD18" s="223"/>
      <c r="DE18" s="223"/>
      <c r="DF18" s="223"/>
      <c r="DG18" s="223"/>
      <c r="DH18" s="223"/>
      <c r="DI18" s="223"/>
      <c r="DJ18" s="223"/>
      <c r="DK18" s="223"/>
      <c r="DL18" s="223"/>
      <c r="DM18" s="223"/>
      <c r="DN18" s="223"/>
      <c r="DO18" s="223"/>
      <c r="DP18" s="223"/>
      <c r="DQ18" s="223"/>
      <c r="DR18" s="223"/>
      <c r="DS18" s="223"/>
      <c r="DT18" s="223"/>
      <c r="DU18" s="223"/>
      <c r="DV18" s="223"/>
      <c r="DW18" s="223"/>
      <c r="DX18" s="223"/>
      <c r="DY18" s="223"/>
      <c r="DZ18" s="223"/>
      <c r="EA18" s="223"/>
      <c r="EB18" s="223"/>
      <c r="EC18" s="223"/>
      <c r="ED18" s="223"/>
      <c r="EE18" s="223"/>
      <c r="EF18" s="223"/>
      <c r="EG18" s="223"/>
      <c r="EH18" s="223"/>
      <c r="EI18" s="223"/>
      <c r="EJ18" s="223"/>
      <c r="EK18" s="223"/>
      <c r="EL18" s="223"/>
      <c r="EM18" s="223"/>
      <c r="EN18" s="223"/>
      <c r="EO18" s="223"/>
      <c r="EP18" s="223"/>
      <c r="EQ18" s="223"/>
      <c r="ER18" s="223"/>
      <c r="ES18" s="223"/>
      <c r="ET18" s="223"/>
      <c r="EU18" s="223"/>
      <c r="EV18" s="223"/>
      <c r="EW18" s="223"/>
      <c r="EX18" s="223"/>
      <c r="EY18" s="223"/>
      <c r="EZ18" s="223"/>
      <c r="FA18" s="223"/>
      <c r="FB18" s="223"/>
      <c r="FC18" s="223"/>
      <c r="FD18" s="223"/>
      <c r="FE18" s="223"/>
      <c r="FF18" s="223"/>
      <c r="FG18" s="223"/>
      <c r="FH18" s="223"/>
      <c r="FI18" s="223"/>
      <c r="FJ18" s="223"/>
      <c r="FK18" s="223"/>
      <c r="FL18" s="223"/>
      <c r="FM18" s="223"/>
      <c r="FN18" s="223"/>
      <c r="FO18" s="223"/>
      <c r="FP18" s="223"/>
      <c r="FQ18" s="223"/>
      <c r="FR18" s="223"/>
      <c r="FS18" s="223"/>
      <c r="FT18" s="223"/>
      <c r="FU18" s="223"/>
      <c r="FV18" s="223"/>
      <c r="FW18" s="223"/>
      <c r="FX18" s="223"/>
      <c r="FY18" s="223"/>
      <c r="FZ18" s="223"/>
      <c r="GA18" s="223"/>
      <c r="GB18" s="223"/>
      <c r="GC18" s="223"/>
      <c r="GD18" s="223"/>
      <c r="GE18" s="223"/>
      <c r="GF18" s="223"/>
      <c r="GG18" s="223"/>
      <c r="GH18" s="223"/>
      <c r="GI18" s="223"/>
      <c r="GJ18" s="223"/>
      <c r="GK18" s="223"/>
      <c r="GL18" s="223"/>
      <c r="GM18" s="223"/>
      <c r="GN18" s="223"/>
      <c r="GO18" s="223"/>
      <c r="GP18" s="223"/>
      <c r="GQ18" s="223"/>
      <c r="GR18" s="223"/>
      <c r="GS18" s="223"/>
      <c r="GT18" s="223"/>
      <c r="GU18" s="223"/>
      <c r="GV18" s="223"/>
      <c r="GW18" s="223"/>
      <c r="GX18" s="223"/>
      <c r="GY18" s="223"/>
      <c r="GZ18" s="223"/>
      <c r="HA18" s="223"/>
      <c r="HB18" s="223"/>
      <c r="HC18" s="223"/>
      <c r="HD18" s="223"/>
      <c r="HE18" s="223"/>
      <c r="HF18" s="223"/>
      <c r="HG18" s="223"/>
      <c r="HH18" s="223"/>
      <c r="HI18" s="223"/>
      <c r="HJ18" s="223"/>
      <c r="HK18" s="223"/>
      <c r="HL18" s="223"/>
      <c r="HM18" s="223"/>
      <c r="HN18" s="223"/>
      <c r="HO18" s="223"/>
      <c r="HP18" s="223"/>
      <c r="HQ18" s="223"/>
      <c r="HR18" s="223"/>
      <c r="HS18" s="223"/>
      <c r="HT18" s="223"/>
      <c r="HU18" s="223"/>
      <c r="HV18" s="223"/>
      <c r="HW18" s="223"/>
      <c r="HX18" s="223"/>
      <c r="HY18" s="223"/>
      <c r="HZ18" s="223"/>
      <c r="IA18" s="223"/>
      <c r="IB18" s="223"/>
      <c r="IC18" s="223"/>
      <c r="ID18" s="223"/>
      <c r="IE18" s="223"/>
      <c r="IF18" s="223"/>
      <c r="IG18" s="223"/>
      <c r="IH18" s="223"/>
      <c r="II18" s="223"/>
      <c r="IJ18" s="223"/>
      <c r="IK18" s="223"/>
      <c r="IL18" s="223"/>
      <c r="IM18" s="223"/>
      <c r="IN18" s="223"/>
      <c r="IO18" s="223"/>
      <c r="IP18" s="223"/>
      <c r="IQ18" s="223"/>
      <c r="IR18" s="223"/>
      <c r="IS18" s="223"/>
      <c r="IT18" s="223"/>
      <c r="IU18" s="223"/>
      <c r="IV18" s="223"/>
      <c r="IW18" s="223"/>
      <c r="IX18" s="223"/>
      <c r="IY18" s="223"/>
      <c r="IZ18" s="223"/>
      <c r="JA18" s="223"/>
      <c r="JB18" s="223"/>
      <c r="JC18" s="223"/>
      <c r="JD18" s="223"/>
      <c r="JE18" s="223"/>
      <c r="JF18" s="223"/>
      <c r="JG18" s="223"/>
      <c r="JH18" s="223"/>
      <c r="JI18" s="223"/>
      <c r="JJ18" s="223"/>
      <c r="JK18" s="223"/>
      <c r="JL18" s="223"/>
      <c r="JM18" s="223"/>
      <c r="JN18" s="223"/>
      <c r="JO18" s="223"/>
      <c r="JP18" s="223"/>
      <c r="JQ18" s="223"/>
      <c r="JR18" s="223"/>
      <c r="JS18" s="223"/>
      <c r="JT18" s="223"/>
      <c r="JU18" s="223"/>
      <c r="JV18" s="223"/>
      <c r="JW18" s="223"/>
      <c r="JX18" s="223"/>
      <c r="JY18" s="223"/>
      <c r="JZ18" s="223"/>
      <c r="KA18" s="223"/>
      <c r="KB18" s="223"/>
      <c r="KC18" s="223"/>
      <c r="KD18" s="223"/>
      <c r="KE18" s="223"/>
      <c r="KF18" s="223"/>
      <c r="KG18" s="223"/>
      <c r="KH18" s="223"/>
      <c r="KI18" s="223"/>
      <c r="KJ18" s="223"/>
      <c r="KK18" s="223"/>
      <c r="KL18" s="223"/>
      <c r="KM18" s="223"/>
      <c r="KN18" s="223"/>
      <c r="KO18" s="223"/>
      <c r="KP18" s="223"/>
      <c r="KQ18" s="223"/>
      <c r="KR18" s="223"/>
      <c r="KS18" s="223"/>
      <c r="KT18" s="223"/>
      <c r="KU18" s="223"/>
      <c r="KV18" s="223"/>
      <c r="KW18" s="223"/>
      <c r="KX18" s="223"/>
      <c r="KY18" s="223"/>
      <c r="KZ18" s="223"/>
      <c r="LA18" s="223"/>
      <c r="LB18" s="223"/>
      <c r="LC18" s="223"/>
      <c r="LD18" s="223"/>
      <c r="LE18" s="223"/>
      <c r="LF18" s="223"/>
      <c r="LG18" s="223"/>
      <c r="LH18" s="223"/>
      <c r="LI18" s="223"/>
      <c r="LJ18" s="223"/>
      <c r="LK18" s="223"/>
      <c r="LL18" s="223"/>
      <c r="LM18" s="223"/>
      <c r="LN18" s="223"/>
      <c r="LO18" s="223"/>
      <c r="LP18" s="223"/>
      <c r="LQ18" s="223"/>
      <c r="LR18" s="223"/>
      <c r="LS18" s="223"/>
      <c r="LT18" s="223"/>
      <c r="LU18" s="223"/>
      <c r="LV18" s="223"/>
      <c r="LW18" s="223"/>
      <c r="LX18" s="223"/>
      <c r="LY18" s="223"/>
      <c r="LZ18" s="223"/>
      <c r="MA18" s="223"/>
      <c r="MB18" s="223"/>
      <c r="MC18" s="223"/>
      <c r="MD18" s="223"/>
      <c r="ME18" s="223"/>
      <c r="MF18" s="223"/>
      <c r="MG18" s="223"/>
      <c r="MH18" s="223"/>
      <c r="MI18" s="223"/>
      <c r="MJ18" s="223"/>
      <c r="MK18" s="223"/>
      <c r="ML18" s="223"/>
      <c r="MM18" s="223"/>
      <c r="MN18" s="223"/>
      <c r="MO18" s="223"/>
      <c r="MP18" s="223"/>
      <c r="MQ18" s="223"/>
      <c r="MR18" s="223"/>
      <c r="MS18" s="223"/>
      <c r="MT18" s="223"/>
      <c r="MU18" s="223"/>
      <c r="MV18" s="224"/>
      <c r="MW18" s="223"/>
      <c r="MX18" s="223"/>
      <c r="MY18" s="223"/>
      <c r="MZ18" s="223"/>
      <c r="NA18" s="223"/>
      <c r="NB18" s="223"/>
      <c r="NC18" s="223"/>
      <c r="ND18" s="223"/>
      <c r="NE18" s="223"/>
      <c r="NF18" s="223"/>
      <c r="NG18" s="223"/>
      <c r="NH18" s="223"/>
      <c r="NI18" s="223"/>
      <c r="NJ18" s="223"/>
      <c r="NK18" s="223"/>
      <c r="NL18" s="223"/>
      <c r="NM18" s="223"/>
      <c r="NN18" s="223"/>
      <c r="NO18" s="223"/>
      <c r="NP18" s="223"/>
      <c r="NQ18" s="223"/>
      <c r="NR18" s="223"/>
      <c r="NS18" s="223"/>
      <c r="NT18" s="223"/>
      <c r="NU18" s="223"/>
      <c r="NV18" s="223"/>
      <c r="NW18" s="223"/>
      <c r="NX18" s="223"/>
      <c r="NY18" s="223"/>
      <c r="NZ18" s="223"/>
      <c r="OA18" s="223"/>
      <c r="OB18" s="223"/>
      <c r="OC18" s="223"/>
      <c r="OD18" s="223"/>
      <c r="OE18" s="223"/>
      <c r="OF18" s="223"/>
      <c r="OG18" s="223"/>
      <c r="OH18" s="223"/>
      <c r="OI18" s="223"/>
      <c r="OJ18" s="223"/>
      <c r="OK18" s="223"/>
      <c r="OL18" s="223"/>
      <c r="OM18" s="223"/>
      <c r="ON18" s="223"/>
      <c r="OO18" s="223"/>
      <c r="OP18" s="223"/>
      <c r="OQ18" s="223"/>
      <c r="OR18" s="223"/>
      <c r="OS18" s="223"/>
      <c r="OT18" s="223"/>
      <c r="OU18" s="223"/>
      <c r="OV18" s="223"/>
      <c r="OW18" s="223"/>
      <c r="OX18" s="223"/>
      <c r="OY18" s="223"/>
      <c r="OZ18" s="223"/>
      <c r="PA18" s="223"/>
      <c r="PB18" s="223"/>
      <c r="PC18" s="223"/>
      <c r="PD18" s="223"/>
      <c r="PE18" s="223"/>
      <c r="PF18" s="223"/>
      <c r="PG18" s="223"/>
      <c r="PH18" s="223"/>
      <c r="PI18" s="223"/>
      <c r="PJ18" s="223"/>
      <c r="PK18" s="223"/>
      <c r="PL18" s="223"/>
      <c r="PM18" s="223"/>
      <c r="PN18" s="223"/>
      <c r="PO18" s="223"/>
      <c r="PP18" s="223"/>
      <c r="PQ18" s="223"/>
      <c r="PR18" s="223"/>
      <c r="PS18" s="223"/>
      <c r="PT18" s="223"/>
      <c r="PU18" s="223"/>
      <c r="PV18" s="223"/>
      <c r="PW18" s="223"/>
      <c r="PX18" s="223"/>
      <c r="PY18" s="223"/>
      <c r="PZ18" s="223"/>
      <c r="QA18" s="223"/>
      <c r="QB18" s="223"/>
      <c r="QC18" s="223"/>
      <c r="QD18" s="223"/>
      <c r="QE18" s="223"/>
      <c r="QF18" s="223"/>
      <c r="QG18" s="223"/>
      <c r="QH18" s="223"/>
      <c r="QI18" s="223"/>
      <c r="QJ18" s="223"/>
      <c r="QK18" s="223"/>
      <c r="QL18" s="223"/>
      <c r="QM18" s="223"/>
      <c r="QN18" s="223"/>
      <c r="QO18" s="223"/>
      <c r="QP18" s="223"/>
      <c r="QQ18" s="223"/>
      <c r="QR18" s="223"/>
      <c r="QS18" s="223"/>
      <c r="QT18" s="223"/>
      <c r="QU18" s="223"/>
      <c r="QV18" s="223"/>
      <c r="QW18" s="223"/>
      <c r="QX18" s="223"/>
      <c r="QY18" s="223"/>
      <c r="QZ18" s="223"/>
      <c r="RA18" s="223"/>
      <c r="RB18" s="223"/>
      <c r="RC18" s="223"/>
      <c r="RD18" s="223"/>
      <c r="RE18" s="223"/>
      <c r="RF18" s="223"/>
      <c r="RG18" s="223"/>
      <c r="RH18" s="223"/>
      <c r="RI18" s="223"/>
      <c r="RJ18" s="223"/>
      <c r="RK18" s="223"/>
      <c r="RL18" s="223"/>
      <c r="RM18" s="223"/>
      <c r="RN18" s="223"/>
      <c r="RO18" s="223"/>
      <c r="RP18" s="223"/>
      <c r="RQ18" s="223"/>
      <c r="RR18" s="223"/>
      <c r="RS18" s="223"/>
      <c r="RT18" s="223"/>
      <c r="RU18" s="223"/>
      <c r="RV18" s="223"/>
      <c r="RW18" s="223"/>
      <c r="RX18" s="223"/>
      <c r="RY18" s="223"/>
      <c r="RZ18" s="223"/>
      <c r="SA18" s="223"/>
      <c r="SB18" s="223"/>
      <c r="SC18" s="223"/>
      <c r="SD18" s="223"/>
      <c r="SE18" s="223"/>
      <c r="SF18" s="223"/>
      <c r="SG18" s="223"/>
      <c r="SH18" s="223"/>
      <c r="SI18" s="223"/>
      <c r="SJ18" s="223"/>
      <c r="SK18" s="223"/>
      <c r="SL18" s="223"/>
      <c r="SM18" s="223"/>
      <c r="SN18" s="223"/>
      <c r="SO18" s="223"/>
      <c r="SP18" s="223"/>
      <c r="SQ18" s="223"/>
      <c r="SR18" s="223"/>
      <c r="SS18" s="223"/>
      <c r="ST18" s="223"/>
      <c r="SU18" s="223"/>
      <c r="SV18" s="223"/>
      <c r="SW18" s="223"/>
      <c r="SX18" s="223"/>
      <c r="SY18" s="223"/>
      <c r="SZ18" s="223"/>
      <c r="TA18" s="223"/>
      <c r="TB18" s="223"/>
      <c r="TC18" s="223"/>
      <c r="TD18" s="223"/>
      <c r="TE18" s="223"/>
      <c r="TF18" s="223"/>
      <c r="TG18" s="223"/>
      <c r="TH18" s="223"/>
      <c r="TI18" s="223"/>
      <c r="TJ18" s="223"/>
      <c r="TK18" s="223"/>
      <c r="TL18" s="223"/>
      <c r="TM18" s="223"/>
      <c r="TN18" s="223"/>
      <c r="TO18" s="223"/>
      <c r="TP18" s="223"/>
      <c r="TQ18" s="223"/>
      <c r="TR18" s="223"/>
      <c r="TS18" s="223"/>
      <c r="TT18" s="223"/>
      <c r="TU18" s="223"/>
      <c r="TV18" s="223"/>
      <c r="TW18" s="223"/>
      <c r="TX18" s="223"/>
      <c r="TY18" s="223"/>
      <c r="TZ18" s="223"/>
      <c r="UA18" s="223"/>
      <c r="UB18" s="223"/>
      <c r="UC18" s="223"/>
      <c r="UD18" s="223"/>
      <c r="UE18" s="223"/>
      <c r="UF18" s="223"/>
      <c r="UG18" s="223"/>
      <c r="UH18" s="223"/>
      <c r="UI18" s="223"/>
      <c r="UJ18" s="223"/>
      <c r="UK18" s="223"/>
      <c r="UL18" s="223"/>
      <c r="UM18" s="223"/>
      <c r="UN18" s="223"/>
      <c r="UO18" s="223"/>
      <c r="UP18" s="223"/>
      <c r="UQ18" s="223"/>
      <c r="UR18" s="223"/>
      <c r="US18" s="223"/>
      <c r="UT18" s="223"/>
      <c r="UU18" s="223"/>
      <c r="UV18" s="223"/>
      <c r="UW18" s="223"/>
      <c r="UX18" s="223"/>
      <c r="UY18" s="223"/>
      <c r="UZ18" s="223"/>
      <c r="VA18" s="223"/>
      <c r="VB18" s="223"/>
      <c r="VC18" s="223"/>
      <c r="VD18" s="223"/>
      <c r="VE18" s="223"/>
      <c r="VF18" s="223"/>
      <c r="VG18" s="223"/>
      <c r="VH18" s="223"/>
      <c r="VI18" s="223"/>
      <c r="VJ18" s="223"/>
      <c r="VK18" s="223"/>
      <c r="VL18" s="223"/>
      <c r="VM18" s="223"/>
      <c r="VN18" s="223"/>
      <c r="VO18" s="223"/>
      <c r="VP18" s="223"/>
      <c r="VQ18" s="223"/>
      <c r="VR18" s="223"/>
      <c r="VS18" s="223"/>
      <c r="VT18" s="223"/>
      <c r="VU18" s="223"/>
      <c r="VV18" s="223"/>
      <c r="VW18" s="223"/>
      <c r="VX18" s="223"/>
      <c r="VY18" s="223"/>
      <c r="VZ18" s="223"/>
      <c r="WA18" s="223"/>
      <c r="WB18" s="223"/>
      <c r="WC18" s="223"/>
      <c r="WD18" s="223"/>
      <c r="WE18" s="223"/>
      <c r="WF18" s="223"/>
      <c r="WG18" s="223"/>
      <c r="WH18" s="223"/>
      <c r="WI18" s="223"/>
      <c r="WJ18" s="223"/>
      <c r="WK18" s="223"/>
      <c r="WL18" s="223"/>
      <c r="WM18" s="223"/>
      <c r="WN18" s="223"/>
      <c r="WO18" s="223"/>
      <c r="WP18" s="223"/>
      <c r="WQ18" s="223"/>
      <c r="WR18" s="223"/>
      <c r="WS18" s="223"/>
      <c r="WT18" s="223"/>
      <c r="WU18" s="223"/>
      <c r="WV18" s="223"/>
      <c r="WW18" s="223"/>
      <c r="WX18" s="223"/>
      <c r="WY18" s="223"/>
      <c r="WZ18" s="223"/>
      <c r="XA18" s="223"/>
      <c r="XB18" s="223"/>
      <c r="XC18" s="223"/>
      <c r="XD18" s="223"/>
      <c r="XE18" s="223"/>
      <c r="XF18" s="223"/>
      <c r="XG18" s="223"/>
      <c r="XH18" s="223"/>
      <c r="XI18" s="223"/>
      <c r="XJ18" s="223"/>
      <c r="XK18" s="223"/>
      <c r="XL18" s="223"/>
      <c r="XM18" s="223"/>
      <c r="XN18" s="223"/>
      <c r="XO18" s="223"/>
      <c r="XP18" s="223"/>
      <c r="XQ18" s="223"/>
      <c r="XR18" s="223"/>
      <c r="XS18" s="223"/>
      <c r="XT18" s="223"/>
      <c r="XU18" s="223"/>
      <c r="XV18" s="223"/>
      <c r="XW18" s="223"/>
      <c r="XX18" s="223"/>
      <c r="XY18" s="223"/>
      <c r="XZ18" s="223"/>
      <c r="YA18" s="223"/>
      <c r="YB18" s="223"/>
      <c r="YC18" s="223"/>
      <c r="YD18" s="223"/>
      <c r="YE18" s="223"/>
      <c r="YF18" s="223"/>
      <c r="YG18" s="223"/>
      <c r="YH18" s="223"/>
      <c r="YI18" s="223"/>
      <c r="YJ18" s="223"/>
      <c r="YK18" s="223"/>
      <c r="YL18" s="223"/>
      <c r="YM18" s="223"/>
      <c r="YN18" s="223"/>
      <c r="YO18" s="223"/>
      <c r="YP18" s="223"/>
      <c r="YQ18" s="223"/>
      <c r="YR18" s="223"/>
      <c r="YS18" s="223"/>
      <c r="YT18" s="223"/>
      <c r="YU18" s="223"/>
      <c r="YV18" s="223"/>
      <c r="YW18" s="223"/>
      <c r="YX18" s="223"/>
      <c r="YY18" s="223"/>
      <c r="YZ18" s="223"/>
      <c r="ZA18" s="223"/>
      <c r="ZB18" s="223"/>
      <c r="ZC18" s="223"/>
      <c r="ZD18" s="223"/>
      <c r="ZE18" s="223"/>
      <c r="ZF18" s="223"/>
      <c r="ZG18" s="223"/>
      <c r="ZH18" s="223"/>
      <c r="ZI18" s="223"/>
      <c r="ZJ18" s="223"/>
      <c r="ZK18" s="223"/>
      <c r="ZL18" s="223"/>
      <c r="ZM18" s="223"/>
      <c r="ZN18" s="223"/>
      <c r="ZO18" s="223"/>
      <c r="ZP18" s="223"/>
      <c r="ZQ18" s="223"/>
      <c r="ZR18" s="223"/>
      <c r="ZS18" s="223"/>
      <c r="ZT18" s="223"/>
      <c r="ZU18" s="223"/>
      <c r="ZV18" s="223"/>
      <c r="ZW18" s="223"/>
      <c r="ZX18" s="223"/>
      <c r="ZY18" s="223"/>
      <c r="ZZ18" s="223"/>
      <c r="AAA18" s="223"/>
      <c r="AAB18" s="223"/>
      <c r="AAC18" s="223"/>
      <c r="AAD18" s="223"/>
      <c r="AAE18" s="223"/>
      <c r="AAF18" s="223"/>
      <c r="AAG18" s="223"/>
      <c r="AAH18" s="223"/>
      <c r="AAI18" s="223"/>
      <c r="AAJ18" s="223"/>
      <c r="AAK18" s="223"/>
      <c r="AAL18" s="223"/>
      <c r="AAM18" s="223"/>
      <c r="AAN18" s="223"/>
      <c r="AAO18" s="223"/>
      <c r="AAP18" s="223"/>
      <c r="AAQ18" s="223"/>
      <c r="AAR18" s="223"/>
      <c r="AAS18" s="223"/>
      <c r="AAT18" s="223"/>
      <c r="AAU18" s="223"/>
      <c r="AAV18" s="223"/>
      <c r="AAW18" s="223"/>
      <c r="AAX18" s="223"/>
      <c r="AAY18" s="223"/>
      <c r="AAZ18" s="223"/>
      <c r="ABA18" s="223"/>
      <c r="ABB18" s="223"/>
      <c r="ABC18" s="223"/>
      <c r="ABD18" s="223"/>
      <c r="ABE18" s="223"/>
      <c r="ABF18" s="223"/>
      <c r="ABG18" s="223"/>
      <c r="ABH18" s="223"/>
      <c r="ABI18" s="223"/>
      <c r="ABJ18" s="223"/>
      <c r="ABK18" s="223"/>
      <c r="ABL18" s="223"/>
      <c r="ABM18" s="223"/>
      <c r="ABN18" s="223"/>
      <c r="ABO18" s="223"/>
      <c r="ABP18" s="223"/>
      <c r="ABQ18" s="223"/>
      <c r="ABR18" s="223"/>
      <c r="ABS18" s="223"/>
      <c r="ABT18" s="223"/>
      <c r="ABU18" s="223"/>
      <c r="ABV18" s="223"/>
      <c r="ABW18" s="223"/>
      <c r="ABX18" s="223"/>
      <c r="ABY18" s="223"/>
      <c r="ABZ18" s="223"/>
      <c r="ACA18" s="223"/>
      <c r="ACB18" s="223"/>
      <c r="ACC18" s="223"/>
      <c r="ACD18" s="223"/>
      <c r="ACE18" s="223"/>
      <c r="ACF18" s="223"/>
      <c r="ACG18" s="223"/>
      <c r="ACH18" s="223"/>
      <c r="ACI18" s="223"/>
      <c r="ACJ18" s="223"/>
      <c r="ACK18" s="223"/>
      <c r="ACL18" s="223"/>
      <c r="ACM18" s="223"/>
      <c r="ACN18" s="223"/>
      <c r="ACO18" s="223"/>
      <c r="ACP18" s="223"/>
      <c r="ACQ18" s="223"/>
      <c r="ACR18" s="223"/>
      <c r="ACS18" s="223"/>
      <c r="ACT18" s="223"/>
      <c r="ACU18" s="223"/>
      <c r="ACV18" s="223"/>
      <c r="ACW18" s="223"/>
      <c r="ACX18" s="223"/>
      <c r="ACY18" s="223"/>
      <c r="ACZ18" s="223"/>
      <c r="ADA18" s="223"/>
      <c r="ADB18" s="223"/>
      <c r="ADC18" s="223"/>
      <c r="ADD18" s="223"/>
      <c r="ADE18" s="223"/>
      <c r="ADF18" s="223"/>
      <c r="ADG18" s="223"/>
      <c r="ADH18" s="223"/>
      <c r="ADI18" s="223"/>
      <c r="ADJ18" s="223"/>
      <c r="ADK18" s="223"/>
      <c r="ADL18" s="223"/>
      <c r="ADM18" s="223"/>
      <c r="ADN18" s="223"/>
      <c r="ADO18" s="223"/>
      <c r="ADP18" s="223"/>
      <c r="ADQ18" s="223"/>
      <c r="ADR18" s="223"/>
      <c r="ADS18" s="223"/>
      <c r="ADT18" s="223"/>
      <c r="ADU18" s="223"/>
      <c r="ADV18" s="223"/>
      <c r="ADW18" s="223"/>
      <c r="ADX18" s="223"/>
      <c r="ADY18" s="223"/>
      <c r="ADZ18" s="223"/>
      <c r="AEA18" s="223"/>
      <c r="AEB18" s="223"/>
      <c r="AEC18" s="223"/>
      <c r="AED18" s="223"/>
      <c r="AEE18" s="223"/>
      <c r="AEF18" s="223"/>
      <c r="AEG18" s="223"/>
      <c r="AEH18" s="223"/>
      <c r="AEI18" s="223"/>
      <c r="AEJ18" s="223"/>
      <c r="AEK18" s="223"/>
      <c r="AEL18" s="223"/>
      <c r="AEM18" s="223"/>
      <c r="AEN18" s="223"/>
      <c r="AEO18" s="223"/>
      <c r="AEP18" s="223"/>
      <c r="AEQ18" s="223"/>
      <c r="AER18" s="223"/>
      <c r="AES18" s="223"/>
      <c r="AET18" s="223"/>
      <c r="AEU18" s="223"/>
      <c r="AEV18" s="223"/>
      <c r="AEW18" s="223"/>
      <c r="AEX18" s="223"/>
      <c r="AEY18" s="223"/>
      <c r="AEZ18" s="223"/>
      <c r="AFA18" s="223"/>
      <c r="AFB18" s="223"/>
      <c r="AFC18" s="223"/>
      <c r="AFD18" s="223"/>
      <c r="AFE18" s="223"/>
      <c r="AFF18" s="223"/>
      <c r="AFG18" s="223"/>
      <c r="AFH18" s="223"/>
      <c r="AFI18" s="223"/>
      <c r="AFJ18" s="223"/>
      <c r="AFK18" s="223"/>
      <c r="AFL18" s="223"/>
      <c r="AFM18" s="223"/>
      <c r="AFN18" s="223"/>
      <c r="AFO18" s="223"/>
      <c r="AFP18" s="223"/>
      <c r="AFQ18" s="223"/>
      <c r="AFR18" s="223"/>
      <c r="AFS18" s="223"/>
      <c r="AFT18" s="223"/>
      <c r="AFU18" s="223"/>
      <c r="AFV18" s="223"/>
      <c r="AFW18" s="223"/>
      <c r="AFX18" s="223"/>
      <c r="AFY18" s="223"/>
      <c r="AFZ18" s="223"/>
      <c r="AGA18" s="223"/>
      <c r="AGB18" s="223"/>
      <c r="AGC18" s="223"/>
      <c r="AGD18" s="223"/>
      <c r="AGE18" s="223"/>
      <c r="AGF18" s="223"/>
      <c r="AGG18" s="223"/>
      <c r="AGH18" s="223"/>
      <c r="AGI18" s="223"/>
      <c r="AGJ18" s="223"/>
      <c r="AGK18" s="223"/>
      <c r="AGL18" s="223"/>
      <c r="AGM18" s="223"/>
      <c r="AGN18" s="223"/>
      <c r="AGO18" s="223"/>
      <c r="AGP18" s="223"/>
      <c r="AGQ18" s="223"/>
      <c r="AGR18" s="223"/>
      <c r="AGS18" s="223"/>
      <c r="AGT18" s="223"/>
      <c r="AGU18" s="223"/>
      <c r="AGV18" s="223"/>
      <c r="AGW18" s="223"/>
      <c r="AGX18" s="223"/>
      <c r="AGY18" s="223"/>
      <c r="AGZ18" s="223"/>
      <c r="AHA18" s="223"/>
      <c r="AHB18" s="223"/>
      <c r="AHC18" s="223"/>
      <c r="AHD18" s="223"/>
      <c r="AHE18" s="223"/>
      <c r="AHF18" s="223"/>
      <c r="AHG18" s="223"/>
      <c r="AHH18" s="223"/>
      <c r="AHI18" s="223"/>
      <c r="AHJ18" s="223"/>
      <c r="AHK18" s="223"/>
      <c r="AHL18" s="223"/>
      <c r="AHM18" s="223"/>
      <c r="AHN18" s="223"/>
      <c r="AHO18" s="223"/>
      <c r="AHP18" s="223"/>
      <c r="AHQ18" s="223"/>
      <c r="AHR18" s="223"/>
      <c r="AHS18" s="223"/>
      <c r="AHT18" s="223"/>
      <c r="AHU18" s="223"/>
      <c r="AHV18" s="223"/>
      <c r="AHW18" s="223"/>
      <c r="AHX18" s="223"/>
      <c r="AHY18" s="223"/>
      <c r="AHZ18" s="223"/>
      <c r="AIA18" s="223"/>
      <c r="AIB18" s="223"/>
      <c r="AIC18" s="223"/>
      <c r="AID18" s="223"/>
      <c r="AIE18" s="223"/>
      <c r="AIF18" s="223"/>
      <c r="AIG18" s="223"/>
      <c r="AIH18" s="223"/>
      <c r="AII18" s="223"/>
      <c r="AIJ18" s="223"/>
      <c r="AIK18" s="223"/>
      <c r="AIL18" s="223"/>
      <c r="AIM18" s="223"/>
      <c r="AIN18" s="223"/>
      <c r="AIO18" s="223"/>
      <c r="AIP18" s="223"/>
      <c r="AIQ18" s="223"/>
      <c r="AIR18" s="223"/>
      <c r="AIS18" s="223"/>
      <c r="AIT18" s="223"/>
      <c r="AIU18" s="223"/>
      <c r="AIV18" s="223"/>
      <c r="AIW18" s="223"/>
      <c r="AIX18" s="223"/>
      <c r="AIY18" s="223"/>
      <c r="AIZ18" s="223"/>
      <c r="AJA18" s="223"/>
      <c r="AJB18" s="223"/>
      <c r="AJC18" s="223"/>
      <c r="AJD18" s="223"/>
      <c r="AJE18" s="223"/>
      <c r="AJF18" s="223"/>
      <c r="AJG18" s="223"/>
      <c r="AJH18" s="223"/>
      <c r="AJI18" s="223"/>
      <c r="AJJ18" s="223"/>
      <c r="AJK18" s="223"/>
      <c r="AJL18" s="223"/>
      <c r="AJM18" s="223"/>
      <c r="AJN18" s="223"/>
      <c r="AJO18" s="223"/>
      <c r="AJP18" s="223"/>
      <c r="AJQ18" s="223"/>
      <c r="AJR18" s="223"/>
      <c r="AJS18" s="223"/>
      <c r="AJT18" s="223"/>
      <c r="AJU18" s="223"/>
      <c r="AJV18" s="223"/>
      <c r="AJW18" s="223"/>
      <c r="AJX18" s="223"/>
      <c r="AJY18" s="223"/>
      <c r="AJZ18" s="223"/>
      <c r="AKA18" s="223"/>
      <c r="AKB18" s="223"/>
      <c r="AKC18" s="223"/>
      <c r="AKD18" s="223"/>
      <c r="AKE18" s="223"/>
      <c r="AKF18" s="223"/>
      <c r="AKG18" s="223"/>
      <c r="AKH18" s="223"/>
      <c r="AKI18" s="223"/>
      <c r="AKJ18" s="223"/>
      <c r="AKK18" s="223"/>
      <c r="AKL18" s="223"/>
      <c r="AKM18" s="223"/>
      <c r="AKN18" s="223"/>
      <c r="AKO18" s="223"/>
      <c r="AKP18" s="223"/>
      <c r="AKQ18" s="223"/>
      <c r="AKR18" s="223"/>
      <c r="AKS18" s="223"/>
      <c r="AKT18" s="223"/>
      <c r="AKU18" s="223"/>
      <c r="AKV18" s="223"/>
      <c r="AKW18" s="223"/>
      <c r="AKX18" s="223"/>
      <c r="AKY18" s="223"/>
      <c r="AKZ18" s="223"/>
      <c r="ALA18" s="223"/>
      <c r="ALB18" s="223"/>
      <c r="ALC18" s="223"/>
      <c r="ALD18" s="223"/>
      <c r="ALE18" s="223"/>
      <c r="ALF18" s="223"/>
      <c r="ALG18" s="223"/>
      <c r="ALH18" s="223"/>
      <c r="ALI18" s="223"/>
      <c r="ALJ18" s="223"/>
      <c r="ALK18" s="223"/>
      <c r="ALL18" s="223"/>
      <c r="ALM18" s="223"/>
      <c r="ALN18" s="223"/>
      <c r="ALO18" s="223"/>
      <c r="ALP18" s="223"/>
      <c r="ALQ18" s="223"/>
      <c r="ALR18" s="223"/>
      <c r="ALS18" s="223"/>
      <c r="ALT18" s="223"/>
      <c r="ALU18" s="223"/>
      <c r="ALV18" s="223"/>
      <c r="ALW18" s="223"/>
      <c r="ALX18" s="223"/>
      <c r="ALY18" s="223"/>
      <c r="ALZ18" s="223"/>
      <c r="AMA18" s="223"/>
      <c r="AMB18" s="223"/>
      <c r="AMC18" s="223"/>
      <c r="AMD18" s="223"/>
      <c r="AME18" s="223"/>
      <c r="AMF18" s="223"/>
      <c r="AMG18" s="223"/>
      <c r="AMH18" s="223"/>
      <c r="AMI18" s="223"/>
      <c r="AMJ18" s="223"/>
      <c r="AMK18" s="223"/>
      <c r="AML18" s="223"/>
      <c r="AMM18" s="223"/>
      <c r="AMN18" s="223"/>
      <c r="AMO18" s="223"/>
      <c r="AMP18" s="223"/>
      <c r="AMQ18" s="223"/>
      <c r="AMR18" s="223"/>
      <c r="AMS18" s="223"/>
      <c r="AMT18" s="223"/>
      <c r="AMU18" s="223"/>
      <c r="AMV18" s="223"/>
      <c r="AMW18" s="223"/>
      <c r="AMX18" s="223"/>
      <c r="AMY18" s="223"/>
      <c r="AMZ18" s="223"/>
      <c r="ANA18" s="223"/>
      <c r="ANB18" s="223"/>
      <c r="ANC18" s="223"/>
      <c r="AND18" s="223"/>
      <c r="ANE18" s="223"/>
      <c r="ANF18" s="223"/>
      <c r="ANG18" s="223"/>
      <c r="ANH18" s="223"/>
      <c r="ANI18" s="223"/>
      <c r="ANJ18" s="223"/>
      <c r="ANK18" s="223"/>
      <c r="ANL18" s="223"/>
      <c r="ANM18" s="223"/>
      <c r="ANN18" s="223"/>
      <c r="ANO18" s="223"/>
      <c r="ANP18" s="223"/>
      <c r="ANQ18" s="223"/>
      <c r="ANR18" s="223"/>
      <c r="ANS18" s="223"/>
      <c r="ANT18" s="223"/>
      <c r="ANU18" s="223"/>
      <c r="ANV18" s="223"/>
      <c r="ANW18" s="223"/>
      <c r="ANX18" s="223"/>
      <c r="ANY18" s="223"/>
      <c r="ANZ18" s="223"/>
      <c r="AOA18" s="223"/>
      <c r="AOB18" s="223"/>
      <c r="AOC18" s="223"/>
      <c r="AOD18" s="223"/>
      <c r="AOE18" s="223"/>
      <c r="AOF18" s="223"/>
      <c r="AOG18" s="223"/>
      <c r="AOH18" s="223"/>
      <c r="AOI18" s="223"/>
      <c r="AOJ18" s="223"/>
      <c r="AOK18" s="223"/>
      <c r="AOL18" s="223"/>
      <c r="AOM18" s="223"/>
      <c r="AON18" s="223"/>
      <c r="AOO18" s="223"/>
      <c r="AOP18" s="223"/>
      <c r="AOQ18" s="223"/>
      <c r="AOR18" s="223"/>
      <c r="AOS18" s="223"/>
      <c r="AOT18" s="223"/>
      <c r="AOU18" s="223"/>
      <c r="AOV18" s="223"/>
      <c r="AOW18" s="223"/>
      <c r="AOX18" s="223"/>
      <c r="AOY18" s="223"/>
      <c r="AOZ18" s="223"/>
      <c r="APA18" s="223"/>
      <c r="APB18" s="223"/>
      <c r="APC18" s="223"/>
      <c r="APD18" s="223"/>
      <c r="APE18" s="223"/>
      <c r="APF18" s="223"/>
      <c r="APG18" s="223"/>
      <c r="APH18" s="223"/>
      <c r="API18" s="223"/>
      <c r="APJ18" s="223"/>
      <c r="APK18" s="223"/>
      <c r="APL18" s="223"/>
      <c r="APM18" s="223"/>
      <c r="APN18" s="223"/>
      <c r="APO18" s="223"/>
      <c r="APP18" s="223"/>
      <c r="APQ18" s="223"/>
      <c r="APR18" s="223"/>
      <c r="APS18" s="223"/>
      <c r="APT18" s="223"/>
      <c r="APU18" s="223"/>
      <c r="APV18" s="223"/>
      <c r="APW18" s="223"/>
      <c r="APX18" s="223"/>
      <c r="APY18" s="223"/>
      <c r="APZ18" s="223"/>
      <c r="AQA18" s="223"/>
      <c r="AQB18" s="223"/>
      <c r="AQC18" s="223"/>
      <c r="AQD18" s="223"/>
      <c r="AQE18" s="223"/>
      <c r="AQF18" s="223"/>
      <c r="AQG18" s="223"/>
      <c r="AQH18" s="223"/>
      <c r="AQI18" s="223"/>
      <c r="AQJ18" s="223"/>
      <c r="AQK18" s="223"/>
      <c r="AQL18" s="223"/>
      <c r="AQM18" s="223"/>
      <c r="AQN18" s="223"/>
      <c r="AQO18" s="223"/>
      <c r="AQP18" s="223"/>
      <c r="AQQ18" s="223"/>
      <c r="AQR18" s="223"/>
      <c r="AQS18" s="223"/>
      <c r="AQT18" s="223"/>
      <c r="AQU18" s="223"/>
      <c r="AQV18" s="223"/>
      <c r="AQW18" s="223"/>
      <c r="AQX18" s="223"/>
      <c r="AQY18" s="223"/>
      <c r="AQZ18" s="223"/>
      <c r="ARA18" s="223"/>
      <c r="ARB18" s="223"/>
      <c r="ARC18" s="223"/>
      <c r="ARD18" s="223"/>
      <c r="ARE18" s="223"/>
      <c r="ARF18" s="223"/>
      <c r="ARG18" s="223"/>
      <c r="ARH18" s="223"/>
      <c r="ARI18" s="223"/>
      <c r="ARJ18" s="223"/>
      <c r="ARK18" s="223"/>
      <c r="ARL18" s="223"/>
      <c r="ARM18" s="223"/>
      <c r="ARN18" s="223"/>
      <c r="ARO18" s="223"/>
      <c r="ARP18" s="223"/>
      <c r="ARQ18" s="223"/>
      <c r="ARR18" s="223"/>
      <c r="ARS18" s="223"/>
      <c r="ART18" s="223"/>
      <c r="ARU18" s="223"/>
      <c r="ARV18" s="223"/>
      <c r="ARW18" s="223"/>
      <c r="ARX18" s="223"/>
      <c r="ARY18" s="223"/>
      <c r="ARZ18" s="223"/>
      <c r="ASA18" s="223"/>
      <c r="ASB18" s="223"/>
      <c r="ASC18" s="223"/>
      <c r="ASD18" s="223"/>
      <c r="ASE18" s="223"/>
      <c r="ASF18" s="223"/>
      <c r="ASG18" s="223"/>
      <c r="ASH18" s="223"/>
      <c r="ASI18" s="223"/>
      <c r="ASJ18" s="223"/>
      <c r="ASK18" s="223"/>
      <c r="ASL18" s="223"/>
      <c r="ASM18" s="223"/>
      <c r="ASN18" s="223"/>
      <c r="ASO18" s="223"/>
      <c r="ASP18" s="223"/>
      <c r="ASQ18" s="223"/>
      <c r="ASR18" s="223"/>
      <c r="ASS18" s="223"/>
      <c r="AST18" s="223"/>
      <c r="ASU18" s="223"/>
      <c r="ASV18" s="223"/>
      <c r="ASW18" s="223"/>
      <c r="ASX18" s="223"/>
      <c r="ASY18" s="223"/>
      <c r="ASZ18" s="223"/>
      <c r="ATA18" s="223"/>
      <c r="ATB18" s="223"/>
      <c r="ATC18" s="223"/>
      <c r="ATD18" s="223"/>
      <c r="ATE18" s="223"/>
      <c r="ATF18" s="223"/>
      <c r="ATG18" s="223"/>
      <c r="ATH18" s="223"/>
      <c r="ATI18" s="223"/>
      <c r="ATJ18" s="223"/>
      <c r="ATK18" s="223"/>
      <c r="ATL18" s="223"/>
      <c r="ATM18" s="223"/>
      <c r="ATN18" s="223"/>
      <c r="ATO18" s="223"/>
      <c r="ATP18" s="223"/>
      <c r="ATQ18" s="223"/>
      <c r="ATR18" s="223"/>
      <c r="ATS18" s="223"/>
      <c r="ATT18" s="223"/>
      <c r="ATU18" s="223"/>
      <c r="ATV18" s="223"/>
      <c r="ATW18" s="223"/>
      <c r="ATX18" s="223"/>
      <c r="ATY18" s="223"/>
      <c r="ATZ18" s="223"/>
      <c r="AUA18" s="223"/>
      <c r="AUB18" s="223"/>
      <c r="AUC18" s="223"/>
      <c r="AUD18" s="223"/>
      <c r="AUE18" s="223"/>
      <c r="AUF18" s="223"/>
      <c r="AUG18" s="223"/>
      <c r="AUH18" s="223"/>
      <c r="AUI18" s="223"/>
      <c r="AUJ18" s="223"/>
      <c r="AUK18" s="223"/>
      <c r="AUL18" s="223"/>
      <c r="AUM18" s="223"/>
      <c r="AUN18" s="223"/>
      <c r="AUO18" s="223"/>
      <c r="AUP18" s="223"/>
      <c r="AUQ18" s="223"/>
      <c r="AUR18" s="223"/>
      <c r="AUS18" s="223"/>
      <c r="AUT18" s="223"/>
      <c r="AUU18" s="223"/>
      <c r="AUV18" s="223"/>
      <c r="AUW18" s="223"/>
      <c r="AUX18" s="223"/>
      <c r="AUY18" s="223"/>
      <c r="AUZ18" s="223"/>
      <c r="AVA18" s="223"/>
      <c r="AVB18" s="223"/>
      <c r="AVC18" s="223"/>
      <c r="AVD18" s="223"/>
      <c r="AVE18" s="223"/>
      <c r="AVF18" s="223"/>
      <c r="AVG18" s="223"/>
      <c r="AVH18" s="223"/>
      <c r="AVI18" s="223"/>
      <c r="AVJ18" s="223"/>
      <c r="AVK18" s="223"/>
      <c r="AVL18" s="223"/>
      <c r="AVM18" s="223"/>
      <c r="AVN18" s="223"/>
      <c r="AVO18" s="223"/>
      <c r="AVP18" s="223"/>
      <c r="AVQ18" s="223"/>
      <c r="AVR18" s="223"/>
      <c r="AVS18" s="223"/>
      <c r="AVT18" s="223"/>
      <c r="AVU18" s="223"/>
      <c r="AVV18" s="223"/>
      <c r="AVW18" s="223"/>
      <c r="AVX18" s="223"/>
      <c r="AVY18" s="223"/>
      <c r="AVZ18" s="223"/>
      <c r="AWA18" s="223"/>
      <c r="AWB18" s="223"/>
      <c r="AWC18" s="223"/>
      <c r="AWD18" s="223"/>
      <c r="AWE18" s="223"/>
      <c r="AWF18" s="223"/>
      <c r="AWG18" s="223"/>
      <c r="AWH18" s="223"/>
      <c r="AWI18" s="223"/>
      <c r="AWJ18" s="223"/>
      <c r="AWK18" s="223"/>
      <c r="AWL18" s="223"/>
      <c r="AWM18" s="223"/>
      <c r="AWN18" s="223"/>
      <c r="AWO18" s="223"/>
      <c r="AWP18" s="223"/>
      <c r="AWQ18" s="223"/>
      <c r="AWR18" s="223"/>
      <c r="AWS18" s="223"/>
      <c r="AWT18" s="223"/>
      <c r="AWU18" s="223"/>
      <c r="AWV18" s="223"/>
      <c r="AWW18" s="223"/>
      <c r="AWX18" s="223"/>
      <c r="AWY18" s="223"/>
      <c r="AWZ18" s="223"/>
      <c r="AXA18" s="223"/>
      <c r="AXB18" s="223"/>
      <c r="AXC18" s="223"/>
      <c r="AXD18" s="223"/>
      <c r="AXE18" s="223"/>
      <c r="AXF18" s="223"/>
      <c r="AXG18" s="223"/>
      <c r="AXH18" s="223"/>
      <c r="AXI18" s="223"/>
      <c r="AXJ18" s="223"/>
      <c r="AXK18" s="223"/>
      <c r="AXL18" s="223"/>
      <c r="AXM18" s="223"/>
      <c r="AXN18" s="223"/>
      <c r="AXO18" s="223"/>
      <c r="AXP18" s="223"/>
      <c r="AXQ18" s="223"/>
      <c r="AXR18" s="223"/>
      <c r="AXS18" s="223"/>
      <c r="AXT18" s="223"/>
      <c r="AXU18" s="223"/>
      <c r="AXV18" s="223"/>
      <c r="AXW18" s="223"/>
      <c r="AXX18" s="223"/>
      <c r="AXY18" s="223"/>
      <c r="AXZ18" s="223"/>
      <c r="AYA18" s="223"/>
      <c r="AYB18" s="223"/>
      <c r="AYC18" s="223"/>
      <c r="AYD18" s="223"/>
      <c r="AYE18" s="223"/>
      <c r="AYF18" s="223"/>
      <c r="AYG18" s="223"/>
      <c r="AYH18" s="223"/>
      <c r="AYI18" s="223"/>
      <c r="AYJ18" s="223"/>
      <c r="AYK18" s="223"/>
      <c r="AYL18" s="223"/>
      <c r="AYM18" s="223"/>
      <c r="AYN18" s="223"/>
      <c r="AYO18" s="223"/>
      <c r="AYP18" s="223"/>
      <c r="AYQ18" s="223"/>
      <c r="AYR18" s="223"/>
      <c r="AYS18" s="223"/>
      <c r="AYT18" s="223"/>
      <c r="AYU18" s="223"/>
      <c r="AYV18" s="223"/>
      <c r="AYW18" s="223"/>
      <c r="AYX18" s="223"/>
      <c r="AYY18" s="223"/>
      <c r="AYZ18" s="223"/>
      <c r="AZA18" s="223"/>
      <c r="AZB18" s="223"/>
      <c r="AZC18" s="223"/>
      <c r="AZD18" s="223"/>
      <c r="AZE18" s="223"/>
      <c r="AZF18" s="223"/>
      <c r="AZG18" s="223"/>
      <c r="AZH18" s="223"/>
      <c r="AZI18" s="223"/>
      <c r="AZJ18" s="223"/>
      <c r="AZK18" s="223"/>
      <c r="AZL18" s="223"/>
      <c r="AZM18" s="223"/>
      <c r="AZN18" s="223"/>
      <c r="AZO18" s="223"/>
      <c r="AZP18" s="223"/>
      <c r="AZQ18" s="223"/>
      <c r="AZR18" s="223"/>
      <c r="AZS18" s="223"/>
      <c r="AZT18" s="223"/>
      <c r="AZU18" s="223"/>
      <c r="AZV18" s="223"/>
      <c r="AZW18" s="223"/>
      <c r="AZX18" s="223"/>
      <c r="AZY18" s="223"/>
      <c r="AZZ18" s="223"/>
      <c r="BAA18" s="223"/>
      <c r="BAB18" s="223"/>
      <c r="BAC18" s="223"/>
      <c r="BAD18" s="223"/>
      <c r="BAE18" s="223"/>
      <c r="BAF18" s="223"/>
      <c r="BAG18" s="223"/>
      <c r="BAH18" s="223"/>
      <c r="BAI18" s="223"/>
      <c r="BAJ18" s="223"/>
      <c r="BAK18" s="223"/>
      <c r="BAL18" s="223"/>
      <c r="BAM18" s="223"/>
      <c r="BAN18" s="223"/>
      <c r="BAO18" s="223"/>
      <c r="BAP18" s="223"/>
      <c r="BAQ18" s="223"/>
      <c r="BAR18" s="223"/>
      <c r="BAS18" s="223"/>
      <c r="BAT18" s="223"/>
      <c r="BAU18" s="223"/>
      <c r="BAV18" s="223"/>
      <c r="BAW18" s="223"/>
      <c r="BAX18" s="223"/>
      <c r="BAY18" s="223"/>
      <c r="BAZ18" s="223"/>
      <c r="BBA18" s="223"/>
      <c r="BBB18" s="223"/>
      <c r="BBC18" s="223"/>
      <c r="BBD18" s="223"/>
      <c r="BBE18" s="223"/>
      <c r="BBF18" s="223"/>
      <c r="BBG18" s="223"/>
      <c r="BBH18" s="223"/>
      <c r="BBI18" s="223"/>
      <c r="BBJ18" s="223"/>
      <c r="BBK18" s="223"/>
      <c r="BBL18" s="223"/>
      <c r="BBM18" s="223"/>
      <c r="BBN18" s="223"/>
      <c r="BBO18" s="223"/>
      <c r="BBP18" s="223"/>
      <c r="BBQ18" s="223"/>
      <c r="BBR18" s="223"/>
      <c r="BBS18" s="223"/>
      <c r="BBT18" s="223"/>
      <c r="BBU18" s="223"/>
      <c r="BBV18" s="223"/>
      <c r="BBW18" s="223"/>
      <c r="BBX18" s="223"/>
      <c r="BBY18" s="223"/>
      <c r="BBZ18" s="223"/>
      <c r="BCA18" s="223"/>
      <c r="BCB18" s="223"/>
      <c r="BCC18" s="223"/>
      <c r="BCD18" s="223"/>
      <c r="BCE18" s="223"/>
      <c r="BCF18" s="223"/>
      <c r="BCG18" s="223"/>
      <c r="BCH18" s="223"/>
      <c r="BCI18" s="223"/>
      <c r="BCJ18" s="223"/>
      <c r="BCK18" s="223"/>
      <c r="BCL18" s="223"/>
      <c r="BCM18" s="223"/>
      <c r="BCN18" s="223"/>
      <c r="BCO18" s="223"/>
      <c r="BCP18" s="223"/>
      <c r="BCQ18" s="223"/>
      <c r="BCR18" s="223"/>
      <c r="BCS18" s="223"/>
      <c r="BCT18" s="223"/>
      <c r="BCU18" s="223"/>
      <c r="BCV18" s="223"/>
      <c r="BCW18" s="223"/>
      <c r="BCX18" s="223"/>
      <c r="BCY18" s="223"/>
      <c r="BCZ18" s="223"/>
      <c r="BDA18" s="223"/>
      <c r="BDB18" s="223"/>
      <c r="BDC18" s="223"/>
      <c r="BDD18" s="223"/>
      <c r="BDE18" s="223"/>
      <c r="BDF18" s="223"/>
      <c r="BDG18" s="223"/>
      <c r="BDH18" s="223"/>
      <c r="BDI18" s="223"/>
      <c r="BDJ18" s="223"/>
      <c r="BDK18" s="223"/>
      <c r="BDL18" s="223"/>
      <c r="BDM18" s="223"/>
      <c r="BDN18" s="223"/>
      <c r="BDO18" s="223"/>
      <c r="BDP18" s="223"/>
      <c r="BDQ18" s="223"/>
      <c r="BDR18" s="223"/>
      <c r="BDS18" s="223"/>
      <c r="BDT18" s="223"/>
      <c r="BDU18" s="223"/>
      <c r="BDV18" s="223"/>
      <c r="BDW18" s="223"/>
      <c r="BDX18" s="223"/>
      <c r="BDY18" s="223"/>
      <c r="BDZ18" s="223"/>
      <c r="BEA18" s="223"/>
      <c r="BEB18" s="223"/>
      <c r="BEC18" s="223"/>
      <c r="BED18" s="223"/>
      <c r="BEE18" s="223"/>
      <c r="BEF18" s="223"/>
      <c r="BEG18" s="223"/>
      <c r="BEH18" s="223"/>
      <c r="BEI18" s="223"/>
      <c r="BEJ18" s="223"/>
      <c r="BEK18" s="223"/>
      <c r="BEL18" s="223"/>
      <c r="BEM18" s="223"/>
      <c r="BEN18" s="223"/>
      <c r="BEO18" s="223"/>
      <c r="BEP18" s="223"/>
      <c r="BEQ18" s="223"/>
      <c r="BER18" s="223"/>
      <c r="BES18" s="223"/>
      <c r="BET18" s="223"/>
      <c r="BEU18" s="223"/>
      <c r="BEV18" s="223"/>
      <c r="BEW18" s="223"/>
      <c r="BEX18" s="223"/>
      <c r="BEY18" s="223"/>
      <c r="BEZ18" s="223"/>
      <c r="BFA18" s="223"/>
      <c r="BFB18" s="223"/>
      <c r="BFC18" s="223"/>
      <c r="BFD18" s="223"/>
      <c r="BFE18" s="223"/>
      <c r="BFF18" s="223"/>
      <c r="BFG18" s="223"/>
      <c r="BFH18" s="223"/>
      <c r="BFI18" s="223"/>
      <c r="BFJ18" s="223"/>
      <c r="BFK18" s="223"/>
      <c r="BFL18" s="223"/>
      <c r="BFM18" s="223"/>
      <c r="BFN18" s="223"/>
      <c r="BFO18" s="223"/>
      <c r="BFP18" s="223"/>
      <c r="BFQ18" s="223"/>
      <c r="BFR18" s="223"/>
      <c r="BFS18" s="223"/>
      <c r="BFT18" s="223"/>
      <c r="BFU18" s="223"/>
      <c r="BFV18" s="223"/>
      <c r="BFW18" s="223"/>
      <c r="BFX18" s="223"/>
      <c r="BFY18" s="223"/>
      <c r="BFZ18" s="223"/>
      <c r="BGA18" s="223"/>
      <c r="BGB18" s="223"/>
      <c r="BGC18" s="223"/>
      <c r="BGD18" s="223"/>
      <c r="BGE18" s="223"/>
      <c r="BGF18" s="223"/>
      <c r="BGG18" s="223"/>
      <c r="BGH18" s="223"/>
      <c r="BGI18" s="223"/>
      <c r="BGJ18" s="223"/>
      <c r="BGK18" s="223"/>
      <c r="BGL18" s="223"/>
      <c r="BGM18" s="223"/>
      <c r="BGN18" s="223"/>
      <c r="BGO18" s="223"/>
      <c r="BGP18" s="223"/>
      <c r="BGQ18" s="223"/>
      <c r="BGR18" s="223"/>
      <c r="BGS18" s="223"/>
      <c r="BGT18" s="223"/>
      <c r="BGU18" s="223"/>
      <c r="BGV18" s="223"/>
      <c r="BGW18" s="223"/>
      <c r="BGX18" s="223"/>
      <c r="BGY18" s="223"/>
      <c r="BGZ18" s="223"/>
      <c r="BHA18" s="223"/>
      <c r="BHB18" s="223"/>
      <c r="BHC18" s="223"/>
      <c r="BHD18" s="223"/>
      <c r="BHE18" s="223"/>
      <c r="BHF18" s="223"/>
      <c r="BHG18" s="223"/>
      <c r="BHH18" s="223"/>
      <c r="BHI18" s="223"/>
      <c r="BHJ18" s="223"/>
      <c r="BHK18" s="223"/>
      <c r="BHL18" s="223"/>
      <c r="BHM18" s="223"/>
      <c r="BHN18" s="223"/>
      <c r="BHO18" s="223"/>
      <c r="BHP18" s="223"/>
      <c r="BHQ18" s="223"/>
      <c r="BHR18" s="223"/>
      <c r="BHS18" s="223"/>
      <c r="BHT18" s="223"/>
      <c r="BHU18" s="223"/>
      <c r="BHV18" s="223"/>
      <c r="BHW18" s="223"/>
      <c r="BHX18" s="223"/>
      <c r="BHY18" s="223"/>
      <c r="BHZ18" s="223"/>
      <c r="BIA18" s="223"/>
      <c r="BIB18" s="223"/>
      <c r="BIC18" s="223"/>
      <c r="BID18" s="223"/>
      <c r="BIE18" s="223"/>
      <c r="BIF18" s="223"/>
      <c r="BIG18" s="223"/>
      <c r="BIH18" s="223"/>
      <c r="BII18" s="223"/>
      <c r="BIJ18" s="223"/>
      <c r="BIK18" s="223"/>
      <c r="BIL18" s="223"/>
      <c r="BIM18" s="223"/>
      <c r="BIN18" s="223"/>
      <c r="BIO18" s="223"/>
      <c r="BIP18" s="223"/>
      <c r="BIQ18" s="223"/>
      <c r="BIR18" s="223"/>
      <c r="BIS18" s="223"/>
      <c r="BIT18" s="223"/>
      <c r="BIU18" s="223"/>
      <c r="BIV18" s="223"/>
      <c r="BIW18" s="223"/>
      <c r="BIX18" s="223"/>
      <c r="BIY18" s="223"/>
      <c r="BIZ18" s="223"/>
      <c r="BJA18" s="223"/>
      <c r="BJB18" s="223"/>
      <c r="BJC18" s="223"/>
      <c r="BJD18" s="223"/>
      <c r="BJE18" s="223"/>
      <c r="BJF18" s="223"/>
      <c r="BJG18" s="223"/>
      <c r="BJH18" s="223"/>
      <c r="BJI18" s="223"/>
      <c r="BJJ18" s="223"/>
      <c r="BJK18" s="223"/>
      <c r="BJL18" s="223"/>
      <c r="BJM18" s="223"/>
      <c r="BJN18" s="223"/>
      <c r="BJO18" s="223"/>
      <c r="BJP18" s="223"/>
      <c r="BJQ18" s="223"/>
      <c r="BJR18" s="223"/>
      <c r="BJS18" s="223"/>
      <c r="BJT18" s="223"/>
      <c r="BJU18" s="223"/>
      <c r="BJV18" s="223"/>
      <c r="BJW18" s="223"/>
      <c r="BJX18" s="223"/>
      <c r="BJY18" s="223"/>
      <c r="BJZ18" s="223"/>
      <c r="BKA18" s="223"/>
      <c r="BKB18" s="223"/>
      <c r="BKC18" s="223"/>
      <c r="BKD18" s="223"/>
      <c r="BKE18" s="223"/>
      <c r="BKF18" s="223"/>
      <c r="BKG18" s="223"/>
      <c r="BKH18" s="223"/>
      <c r="BKI18" s="223"/>
      <c r="BKJ18" s="223"/>
      <c r="BKK18" s="223"/>
      <c r="BKL18" s="223"/>
      <c r="BKM18" s="223"/>
      <c r="BKN18" s="223"/>
      <c r="BKO18" s="223"/>
      <c r="BKP18" s="223"/>
      <c r="BKQ18" s="223"/>
      <c r="BKR18" s="223"/>
      <c r="BKS18" s="223"/>
      <c r="BKT18" s="223"/>
      <c r="BKU18" s="223"/>
      <c r="BKV18" s="223"/>
      <c r="BKW18" s="223"/>
      <c r="BKX18" s="223"/>
      <c r="BKY18" s="223"/>
      <c r="BKZ18" s="223"/>
      <c r="BLA18" s="223"/>
      <c r="BLB18" s="223"/>
      <c r="BLC18" s="223"/>
      <c r="BLD18" s="223"/>
      <c r="BLE18" s="223"/>
      <c r="BLF18" s="223"/>
      <c r="BLG18" s="223"/>
      <c r="BLH18" s="223"/>
      <c r="BLI18" s="223"/>
      <c r="BLJ18" s="223"/>
      <c r="BLK18" s="223"/>
      <c r="BLL18" s="223"/>
      <c r="BLM18" s="223"/>
      <c r="BLN18" s="223"/>
      <c r="BLO18" s="223"/>
      <c r="BLP18" s="223"/>
      <c r="BLQ18" s="223"/>
      <c r="BLR18" s="223"/>
      <c r="BLS18" s="223"/>
      <c r="BLT18" s="223"/>
      <c r="BLU18" s="223"/>
      <c r="BLV18" s="223"/>
      <c r="BLW18" s="223"/>
      <c r="BLX18" s="223"/>
      <c r="BLY18" s="223"/>
      <c r="BLZ18" s="223"/>
      <c r="BMA18" s="223"/>
      <c r="BMB18" s="223"/>
      <c r="BMC18" s="223"/>
      <c r="BMD18" s="223"/>
      <c r="BME18" s="223"/>
      <c r="BMF18" s="223"/>
      <c r="BMG18" s="223"/>
      <c r="BMH18" s="223"/>
      <c r="BMI18" s="223"/>
      <c r="BMJ18" s="223"/>
      <c r="BMK18" s="223"/>
      <c r="BML18" s="223"/>
      <c r="BMM18" s="223"/>
      <c r="BMN18" s="223"/>
      <c r="BMO18" s="223"/>
      <c r="BMP18" s="223"/>
      <c r="BMQ18" s="223"/>
      <c r="BMR18" s="223"/>
      <c r="BMS18" s="223"/>
      <c r="BMT18" s="223"/>
      <c r="BMU18" s="223"/>
      <c r="BMV18" s="223"/>
      <c r="BMW18" s="223"/>
      <c r="BMX18" s="223"/>
      <c r="BMY18" s="223"/>
      <c r="BMZ18" s="223"/>
      <c r="BNA18" s="223"/>
      <c r="BNB18" s="223"/>
      <c r="BNC18" s="223"/>
      <c r="BND18" s="223"/>
      <c r="BNE18" s="223"/>
      <c r="BNF18" s="223"/>
      <c r="BNG18" s="223"/>
      <c r="BNH18" s="223"/>
      <c r="BNI18" s="223"/>
      <c r="BNJ18" s="223"/>
      <c r="BNK18" s="223"/>
      <c r="BNL18" s="223"/>
      <c r="BNM18" s="223"/>
      <c r="BNN18" s="223"/>
      <c r="BNO18" s="223"/>
      <c r="BNP18" s="223"/>
      <c r="BNQ18" s="223"/>
      <c r="BNR18" s="223"/>
      <c r="BNS18" s="223"/>
      <c r="BNT18" s="223"/>
      <c r="BNU18" s="223"/>
      <c r="BNV18" s="223"/>
      <c r="BNW18" s="223"/>
      <c r="BNX18" s="223"/>
      <c r="BNY18" s="223"/>
      <c r="BNZ18" s="223"/>
      <c r="BOA18" s="223"/>
      <c r="BOB18" s="223"/>
      <c r="BOC18" s="223"/>
      <c r="BOD18" s="223"/>
      <c r="BOE18" s="223"/>
      <c r="BOF18" s="223"/>
      <c r="BOG18" s="223"/>
      <c r="BOH18" s="223"/>
      <c r="BOI18" s="223"/>
      <c r="BOJ18" s="223"/>
      <c r="BOK18" s="223"/>
      <c r="BOL18" s="223"/>
      <c r="BOM18" s="223"/>
      <c r="BON18" s="223"/>
      <c r="BOO18" s="223"/>
      <c r="BOP18" s="223"/>
      <c r="BOQ18" s="223"/>
      <c r="BOR18" s="223"/>
      <c r="BOS18" s="223"/>
      <c r="BOT18" s="223"/>
      <c r="BOU18" s="223"/>
      <c r="BOV18" s="223"/>
      <c r="BOW18" s="223"/>
      <c r="BOX18" s="223"/>
      <c r="BOY18" s="223"/>
      <c r="BOZ18" s="223"/>
      <c r="BPA18" s="223"/>
      <c r="BPB18" s="223"/>
      <c r="BPC18" s="223"/>
      <c r="BPD18" s="223"/>
      <c r="BPE18" s="223"/>
      <c r="BPF18" s="223"/>
      <c r="BPG18" s="223"/>
      <c r="BPH18" s="223"/>
      <c r="BPI18" s="223"/>
      <c r="BPJ18" s="223"/>
      <c r="BPK18" s="223"/>
      <c r="BPL18" s="223"/>
      <c r="BPM18" s="223"/>
      <c r="BPN18" s="223"/>
      <c r="BPO18" s="223"/>
      <c r="BPP18" s="223"/>
      <c r="BPQ18" s="223"/>
      <c r="BPR18" s="223"/>
      <c r="BPS18" s="223"/>
      <c r="BPT18" s="223"/>
      <c r="BPU18" s="223"/>
      <c r="BPV18" s="223"/>
      <c r="BPW18" s="223"/>
      <c r="BPX18" s="223"/>
      <c r="BPY18" s="223"/>
      <c r="BPZ18" s="223"/>
      <c r="BQA18" s="223"/>
      <c r="BQB18" s="223"/>
      <c r="BQC18" s="223"/>
      <c r="BQD18" s="223"/>
      <c r="BQE18" s="223"/>
      <c r="BQF18" s="223"/>
      <c r="BQG18" s="223"/>
      <c r="BQH18" s="223"/>
      <c r="BQI18" s="223"/>
      <c r="BQJ18" s="223"/>
      <c r="BQK18" s="223"/>
      <c r="BQL18" s="223"/>
      <c r="BQM18" s="223"/>
      <c r="BQN18" s="223"/>
      <c r="BQO18" s="223"/>
      <c r="BQP18" s="223"/>
      <c r="BQQ18" s="223"/>
      <c r="BQR18" s="223"/>
      <c r="BQS18" s="223"/>
      <c r="BQT18" s="223"/>
      <c r="BQU18" s="223"/>
      <c r="BQV18" s="223"/>
      <c r="BQW18" s="223"/>
      <c r="BQX18" s="223"/>
      <c r="BQY18" s="223"/>
      <c r="BQZ18" s="223"/>
      <c r="BRA18" s="223"/>
      <c r="BRB18" s="223"/>
      <c r="BRC18" s="223"/>
      <c r="BRD18" s="223"/>
      <c r="BRE18" s="223"/>
      <c r="BRF18" s="223"/>
      <c r="BRG18" s="223"/>
      <c r="BRH18" s="223"/>
      <c r="BRI18" s="223"/>
      <c r="BRJ18" s="223"/>
      <c r="BRK18" s="223"/>
      <c r="BRL18" s="223"/>
      <c r="BRM18" s="223"/>
      <c r="BRN18" s="223"/>
      <c r="BRO18" s="223"/>
      <c r="BRP18" s="223"/>
      <c r="BRQ18" s="223"/>
      <c r="BRR18" s="223"/>
      <c r="BRS18" s="223"/>
      <c r="BRT18" s="223"/>
      <c r="BRU18" s="223"/>
      <c r="BRV18" s="223"/>
      <c r="BRW18" s="223"/>
      <c r="BRX18" s="223"/>
      <c r="BRY18" s="223"/>
      <c r="BRZ18" s="223"/>
      <c r="BSA18" s="223"/>
      <c r="BSB18" s="223"/>
      <c r="BSC18" s="223"/>
      <c r="BSD18" s="223"/>
      <c r="BSE18" s="223"/>
      <c r="BSF18" s="223"/>
      <c r="BSG18" s="223"/>
      <c r="BSH18" s="223"/>
      <c r="BSI18" s="223"/>
      <c r="BSJ18" s="223"/>
      <c r="BSK18" s="223"/>
      <c r="BSL18" s="223"/>
      <c r="BSM18" s="223"/>
      <c r="BSN18" s="223"/>
      <c r="BSO18" s="223"/>
      <c r="BSP18" s="223"/>
      <c r="BSQ18" s="223"/>
      <c r="BSR18" s="223"/>
      <c r="BSS18" s="223"/>
      <c r="BST18" s="223"/>
      <c r="BSU18" s="223"/>
      <c r="BSV18" s="223"/>
      <c r="BSW18" s="223"/>
      <c r="BSX18" s="223"/>
      <c r="BSY18" s="223"/>
      <c r="BSZ18" s="223"/>
      <c r="BTA18" s="223"/>
      <c r="BTB18" s="223"/>
      <c r="BTC18" s="223"/>
      <c r="BTD18" s="223"/>
      <c r="BTE18" s="223"/>
      <c r="BTF18" s="223"/>
      <c r="BTG18" s="223"/>
      <c r="BTH18" s="223"/>
      <c r="BTI18" s="223"/>
      <c r="BTJ18" s="223"/>
      <c r="BTK18" s="223"/>
      <c r="BTL18" s="223"/>
      <c r="BTM18" s="223"/>
      <c r="BTN18" s="223"/>
      <c r="BTO18" s="223"/>
      <c r="BTP18" s="223"/>
      <c r="BTQ18" s="223"/>
      <c r="BTR18" s="223"/>
      <c r="BTS18" s="223"/>
      <c r="BTT18" s="223"/>
      <c r="BTU18" s="223"/>
      <c r="BTV18" s="223"/>
      <c r="BTW18" s="223"/>
      <c r="BTX18" s="223"/>
      <c r="BTY18" s="223"/>
      <c r="BTZ18" s="223"/>
      <c r="BUA18" s="223"/>
      <c r="BUB18" s="223"/>
      <c r="BUC18" s="223"/>
      <c r="BUD18" s="223"/>
      <c r="BUE18" s="223"/>
      <c r="BUF18" s="223"/>
      <c r="BUG18" s="223"/>
      <c r="BUH18" s="223"/>
      <c r="BUI18" s="223"/>
      <c r="BUJ18" s="223"/>
      <c r="BUK18" s="223"/>
      <c r="BUL18" s="223"/>
      <c r="BUM18" s="223"/>
      <c r="BUN18" s="223"/>
      <c r="BUO18" s="223"/>
      <c r="BUP18" s="223"/>
      <c r="BUQ18" s="223"/>
      <c r="BUR18" s="223"/>
      <c r="BUS18" s="223"/>
      <c r="BUT18" s="223"/>
      <c r="BUU18" s="223"/>
      <c r="BUV18" s="223"/>
      <c r="BUW18" s="223"/>
      <c r="BUX18" s="223"/>
      <c r="BUY18" s="223"/>
      <c r="BUZ18" s="223"/>
      <c r="BVA18" s="223"/>
      <c r="BVB18" s="223"/>
      <c r="BVC18" s="223"/>
      <c r="BVD18" s="223"/>
      <c r="BVE18" s="223"/>
      <c r="BVF18" s="223"/>
      <c r="BVG18" s="223"/>
      <c r="BVH18" s="223"/>
      <c r="BVI18" s="223"/>
      <c r="BVJ18" s="223"/>
      <c r="BVK18" s="223"/>
      <c r="BVL18" s="223"/>
      <c r="BVM18" s="223"/>
      <c r="BVN18" s="223"/>
      <c r="BVO18" s="223"/>
      <c r="BVP18" s="223"/>
      <c r="BVQ18" s="223"/>
      <c r="BVR18" s="223"/>
      <c r="BVS18" s="223"/>
      <c r="BVT18" s="223"/>
      <c r="BVU18" s="223"/>
      <c r="BVV18" s="223"/>
      <c r="BVW18" s="223"/>
      <c r="BVX18" s="223"/>
      <c r="BVY18" s="223"/>
      <c r="BVZ18" s="223"/>
      <c r="BWA18" s="223"/>
      <c r="BWB18" s="223"/>
      <c r="BWC18" s="223"/>
      <c r="BWD18" s="223"/>
      <c r="BWE18" s="223"/>
      <c r="BWF18" s="223"/>
      <c r="BWG18" s="223"/>
      <c r="BWH18" s="223"/>
      <c r="BWI18" s="223"/>
      <c r="BWJ18" s="223"/>
      <c r="BWK18" s="223"/>
      <c r="BWL18" s="223"/>
      <c r="BWM18" s="223"/>
      <c r="BWN18" s="223"/>
      <c r="BWO18" s="223"/>
      <c r="BWP18" s="223"/>
      <c r="BWQ18" s="223"/>
      <c r="BWR18" s="223"/>
      <c r="BWS18" s="223"/>
      <c r="BWT18" s="223"/>
      <c r="BWU18" s="223"/>
      <c r="BWV18" s="223"/>
      <c r="BWW18" s="223"/>
      <c r="BWX18" s="223"/>
      <c r="BWY18" s="223"/>
      <c r="BWZ18" s="223"/>
      <c r="BXA18" s="223"/>
      <c r="BXB18" s="223"/>
      <c r="BXC18" s="223"/>
      <c r="BXD18" s="223"/>
      <c r="BXE18" s="223"/>
      <c r="BXF18" s="223"/>
      <c r="BXG18" s="223"/>
      <c r="BXH18" s="223"/>
      <c r="BXI18" s="223"/>
      <c r="BXJ18" s="223"/>
      <c r="BXK18" s="223"/>
      <c r="BXL18" s="223"/>
      <c r="BXM18" s="223"/>
      <c r="BXN18" s="223"/>
      <c r="BXO18" s="223"/>
      <c r="BXP18" s="223"/>
      <c r="BXQ18" s="223"/>
      <c r="BXR18" s="223"/>
      <c r="BXS18" s="223"/>
      <c r="BXT18" s="223"/>
      <c r="BXU18" s="223"/>
      <c r="BXV18" s="223"/>
      <c r="BXW18" s="223"/>
      <c r="BXX18" s="223"/>
      <c r="BXY18" s="223"/>
      <c r="BXZ18" s="223"/>
      <c r="BYA18" s="223"/>
      <c r="BYB18" s="223"/>
      <c r="BYC18" s="223"/>
      <c r="BYD18" s="223"/>
      <c r="BYE18" s="223"/>
      <c r="BYF18" s="223"/>
      <c r="BYG18" s="223"/>
      <c r="BYH18" s="223"/>
      <c r="BYI18" s="223"/>
      <c r="BYJ18" s="223"/>
      <c r="BYK18" s="223"/>
      <c r="BYL18" s="223"/>
      <c r="BYM18" s="223"/>
      <c r="BYN18" s="223"/>
      <c r="BYO18" s="223"/>
      <c r="BYP18" s="223"/>
      <c r="BYQ18" s="223"/>
      <c r="BYR18" s="223"/>
      <c r="BYS18" s="223"/>
      <c r="BYT18" s="223"/>
      <c r="BYU18" s="223"/>
      <c r="BYV18" s="223"/>
      <c r="BYW18" s="223"/>
      <c r="BYX18" s="223"/>
      <c r="BYY18" s="223"/>
      <c r="BYZ18" s="223"/>
      <c r="BZA18" s="223"/>
      <c r="BZB18" s="223"/>
      <c r="BZC18" s="223"/>
      <c r="BZD18" s="223"/>
      <c r="BZE18" s="223"/>
      <c r="BZF18" s="223"/>
      <c r="BZG18" s="223"/>
      <c r="BZH18" s="223"/>
      <c r="BZI18" s="223"/>
      <c r="BZJ18" s="223"/>
      <c r="BZK18" s="223"/>
      <c r="BZL18" s="223"/>
      <c r="BZM18" s="223"/>
      <c r="BZN18" s="223"/>
      <c r="BZO18" s="223"/>
      <c r="BZP18" s="223"/>
      <c r="BZQ18" s="223"/>
      <c r="BZR18" s="223"/>
      <c r="BZS18" s="223"/>
      <c r="BZT18" s="223"/>
      <c r="BZU18" s="223"/>
      <c r="BZV18" s="223"/>
      <c r="BZW18" s="223"/>
      <c r="BZX18" s="223"/>
      <c r="BZY18" s="223"/>
      <c r="BZZ18" s="223"/>
      <c r="CAA18" s="223"/>
      <c r="CAB18" s="223"/>
      <c r="CAC18" s="223"/>
      <c r="CAD18" s="223"/>
      <c r="CAE18" s="223"/>
      <c r="CAF18" s="223"/>
      <c r="CAG18" s="223"/>
      <c r="CAH18" s="223"/>
      <c r="CAI18" s="223"/>
      <c r="CAJ18" s="223"/>
      <c r="CAK18" s="223"/>
      <c r="CAL18" s="223"/>
      <c r="CAM18" s="223"/>
      <c r="CAN18" s="223"/>
      <c r="CAO18" s="223"/>
      <c r="CAP18" s="223"/>
      <c r="CAQ18" s="223"/>
      <c r="CAR18" s="223"/>
      <c r="CAS18" s="223"/>
      <c r="CAT18" s="223"/>
      <c r="CAU18" s="223"/>
      <c r="CAV18" s="223"/>
      <c r="CAW18" s="223"/>
      <c r="CAX18" s="223"/>
      <c r="CAY18" s="223"/>
      <c r="CAZ18" s="223"/>
      <c r="CBA18" s="223"/>
      <c r="CBB18" s="223"/>
      <c r="CBC18" s="223"/>
      <c r="CBD18" s="223"/>
      <c r="CBE18" s="223"/>
      <c r="CBF18" s="223"/>
      <c r="CBG18" s="223"/>
      <c r="CBH18" s="223"/>
      <c r="CBI18" s="223"/>
      <c r="CBJ18" s="223"/>
      <c r="CBK18" s="223"/>
      <c r="CBL18" s="223"/>
      <c r="CBM18" s="223"/>
      <c r="CBN18" s="223"/>
      <c r="CBO18" s="223"/>
      <c r="CBP18" s="223"/>
      <c r="CBQ18" s="223"/>
      <c r="CBR18" s="223"/>
      <c r="CBS18" s="223"/>
      <c r="CBT18" s="223"/>
      <c r="CBU18" s="223"/>
      <c r="CBV18" s="223"/>
      <c r="CBW18" s="223"/>
      <c r="CBX18" s="223"/>
      <c r="CBY18" s="223"/>
      <c r="CBZ18" s="223"/>
      <c r="CCA18" s="223"/>
      <c r="CCB18" s="223"/>
      <c r="CCC18" s="223"/>
      <c r="CCD18" s="223"/>
      <c r="CCE18" s="223"/>
      <c r="CCF18" s="223"/>
      <c r="CCG18" s="223"/>
      <c r="CCH18" s="223"/>
      <c r="CCI18" s="223"/>
      <c r="CCJ18" s="223"/>
      <c r="CCK18" s="223"/>
      <c r="CCL18" s="223"/>
      <c r="CCM18" s="223"/>
      <c r="CCN18" s="223"/>
      <c r="CCO18" s="223"/>
      <c r="CCP18" s="223"/>
      <c r="CCQ18" s="223"/>
      <c r="CCR18" s="223"/>
      <c r="CCS18" s="223"/>
      <c r="CCT18" s="223"/>
      <c r="CCU18" s="223"/>
      <c r="CCV18" s="223"/>
      <c r="CCW18" s="223"/>
      <c r="VEX18" s="222"/>
      <c r="VST18" s="221"/>
      <c r="VTB18" s="221"/>
    </row>
    <row r="19" spans="1:2129 15026:15026 15386:15394" ht="16.149999999999999" customHeight="1" x14ac:dyDescent="0.25">
      <c r="A19"/>
      <c r="B19"/>
      <c r="C19"/>
      <c r="D19"/>
      <c r="E19"/>
      <c r="F19"/>
      <c r="H19" s="264" t="s">
        <v>59</v>
      </c>
      <c r="I19" s="74"/>
      <c r="J19" s="187"/>
      <c r="K19" s="73"/>
      <c r="L19" s="72"/>
      <c r="M19" s="71"/>
      <c r="N19" s="72"/>
      <c r="O19" s="72"/>
      <c r="P19" s="71"/>
      <c r="Q19" s="176"/>
      <c r="R19" s="72"/>
      <c r="S19" s="72"/>
      <c r="T19" s="71"/>
      <c r="U19" s="185"/>
      <c r="V19" s="185"/>
      <c r="W19" s="185"/>
      <c r="X19" s="65"/>
      <c r="Y19" s="65"/>
      <c r="Z19" s="65"/>
      <c r="AA19" s="65"/>
      <c r="AB19" s="65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</row>
    <row r="20" spans="1:2129 15026:15026 15386:15394" ht="16.149999999999999" customHeight="1" x14ac:dyDescent="0.25">
      <c r="A20"/>
      <c r="B20"/>
      <c r="C20"/>
      <c r="D20"/>
      <c r="E20"/>
      <c r="F20"/>
      <c r="H20" s="74"/>
      <c r="I20" s="74"/>
      <c r="J20" s="187"/>
      <c r="K20" s="73"/>
      <c r="L20" s="72"/>
      <c r="M20" s="71"/>
      <c r="N20" s="72"/>
      <c r="O20" s="72"/>
      <c r="P20" s="71"/>
      <c r="Q20" s="177"/>
      <c r="R20" s="72"/>
      <c r="S20" s="72"/>
      <c r="T20" s="71"/>
      <c r="U20" s="185"/>
      <c r="V20" s="185"/>
      <c r="W20" s="185"/>
      <c r="X20" s="65"/>
      <c r="Y20" s="65"/>
      <c r="Z20" s="65"/>
      <c r="AA20" s="65"/>
      <c r="AB20" s="65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</row>
    <row r="21" spans="1:2129 15026:15026 15386:15394" ht="16.149999999999999" customHeight="1" x14ac:dyDescent="0.25">
      <c r="A21"/>
      <c r="B21"/>
      <c r="C21"/>
      <c r="D21"/>
      <c r="E21"/>
      <c r="F21"/>
      <c r="H21" s="74"/>
      <c r="I21" s="74"/>
      <c r="J21" s="187"/>
      <c r="K21" s="73"/>
      <c r="L21" s="72"/>
      <c r="M21" s="71"/>
      <c r="N21" s="72"/>
      <c r="O21" s="72"/>
      <c r="P21" s="71"/>
      <c r="Q21" s="176"/>
      <c r="R21" s="72"/>
      <c r="S21" s="72"/>
      <c r="T21" s="71"/>
      <c r="U21" s="185"/>
      <c r="V21" s="185"/>
      <c r="W21" s="185"/>
      <c r="X21" s="65"/>
      <c r="Y21" s="65"/>
      <c r="Z21" s="65"/>
      <c r="AA21" s="65"/>
      <c r="AB21" s="65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4"/>
      <c r="CB21" s="64"/>
      <c r="CC21" s="64"/>
      <c r="CD21" s="64"/>
      <c r="CE21" s="64"/>
      <c r="CF21" s="64"/>
    </row>
    <row r="22" spans="1:2129 15026:15026 15386:15394" ht="16.149999999999999" customHeight="1" x14ac:dyDescent="0.2">
      <c r="A22" s="70"/>
      <c r="B22" s="70"/>
      <c r="C22" s="70"/>
      <c r="D22" s="70"/>
      <c r="E22" s="70"/>
      <c r="F22" s="70"/>
      <c r="H22" s="62"/>
      <c r="I22" s="69"/>
      <c r="J22" s="188"/>
      <c r="K22" s="68"/>
      <c r="L22" s="67"/>
      <c r="M22" s="66"/>
      <c r="N22" s="169"/>
      <c r="O22" s="169"/>
      <c r="P22" s="71"/>
      <c r="Q22" s="176"/>
      <c r="R22" s="67"/>
      <c r="S22" s="67"/>
      <c r="T22" s="66"/>
      <c r="U22" s="185"/>
      <c r="V22" s="185"/>
      <c r="W22" s="185"/>
      <c r="X22" s="65"/>
      <c r="Y22" s="65"/>
      <c r="Z22" s="65"/>
      <c r="AA22" s="65"/>
      <c r="AB22" s="65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4"/>
      <c r="CB22" s="64"/>
      <c r="CC22" s="64"/>
      <c r="CD22" s="64"/>
      <c r="CE22" s="64"/>
      <c r="CF22" s="64"/>
    </row>
    <row r="23" spans="1:2129 15026:15026 15386:15394" ht="16.149999999999999" customHeight="1" x14ac:dyDescent="0.2">
      <c r="H23" s="62"/>
    </row>
    <row r="24" spans="1:2129 15026:15026 15386:15394" ht="16.149999999999999" customHeight="1" x14ac:dyDescent="0.2">
      <c r="H24" s="62"/>
      <c r="AE24" s="63"/>
    </row>
    <row r="25" spans="1:2129 15026:15026 15386:15394" ht="16.149999999999999" customHeight="1" x14ac:dyDescent="0.2">
      <c r="H25" s="62"/>
    </row>
    <row r="26" spans="1:2129 15026:15026 15386:15394" s="60" customFormat="1" ht="16.149999999999999" customHeight="1" x14ac:dyDescent="0.2">
      <c r="A26" s="52"/>
      <c r="B26" s="52"/>
      <c r="C26" s="52"/>
      <c r="D26" s="52"/>
      <c r="E26" s="52"/>
      <c r="F26" s="52"/>
      <c r="G26" s="208"/>
      <c r="H26" s="62"/>
      <c r="I26" s="58"/>
      <c r="J26" s="189"/>
      <c r="K26" s="57"/>
      <c r="L26" s="57"/>
      <c r="M26" s="56"/>
      <c r="N26" s="170"/>
      <c r="O26" s="170"/>
      <c r="P26" s="183"/>
      <c r="Q26" s="178"/>
      <c r="R26" s="57"/>
      <c r="S26" s="57"/>
      <c r="T26" s="56"/>
      <c r="U26" s="186"/>
      <c r="V26" s="186"/>
      <c r="W26" s="186"/>
      <c r="X26" s="55"/>
      <c r="Y26" s="55"/>
      <c r="Z26" s="55"/>
      <c r="AA26" s="55"/>
      <c r="AB26" s="55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54"/>
      <c r="CE26" s="54"/>
      <c r="CF26" s="54"/>
      <c r="CG26" s="53"/>
    </row>
    <row r="27" spans="1:2129 15026:15026 15386:15394" s="60" customFormat="1" ht="16.149999999999999" customHeight="1" x14ac:dyDescent="0.2">
      <c r="A27" s="52"/>
      <c r="B27" s="52"/>
      <c r="C27" s="52"/>
      <c r="D27" s="52"/>
      <c r="E27" s="52"/>
      <c r="F27" s="52"/>
      <c r="G27" s="208"/>
      <c r="H27" s="62"/>
      <c r="I27" s="58"/>
      <c r="J27" s="189"/>
      <c r="K27" s="57"/>
      <c r="L27" s="57"/>
      <c r="M27" s="56"/>
      <c r="N27" s="170"/>
      <c r="O27" s="170"/>
      <c r="P27" s="183"/>
      <c r="Q27" s="178"/>
      <c r="R27" s="57"/>
      <c r="S27" s="57"/>
      <c r="T27" s="56"/>
      <c r="U27" s="186"/>
      <c r="V27" s="186"/>
      <c r="W27" s="186"/>
      <c r="X27" s="55"/>
      <c r="Y27" s="55"/>
      <c r="Z27" s="55"/>
      <c r="AA27" s="55"/>
      <c r="AB27" s="55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3"/>
    </row>
    <row r="28" spans="1:2129 15026:15026 15386:15394" s="60" customFormat="1" ht="16.149999999999999" customHeight="1" x14ac:dyDescent="0.2">
      <c r="A28" s="52"/>
      <c r="B28" s="52"/>
      <c r="C28" s="52"/>
      <c r="D28" s="52"/>
      <c r="E28" s="52"/>
      <c r="F28" s="52"/>
      <c r="G28" s="208"/>
      <c r="H28" s="62"/>
      <c r="I28" s="58"/>
      <c r="J28" s="189"/>
      <c r="K28" s="57"/>
      <c r="L28" s="57"/>
      <c r="M28" s="56"/>
      <c r="N28" s="170"/>
      <c r="O28" s="170"/>
      <c r="P28" s="183"/>
      <c r="Q28" s="178"/>
      <c r="R28" s="57"/>
      <c r="S28" s="57"/>
      <c r="T28" s="56"/>
      <c r="U28" s="186"/>
      <c r="V28" s="186"/>
      <c r="W28" s="186"/>
      <c r="X28" s="55"/>
      <c r="Y28" s="55"/>
      <c r="Z28" s="55"/>
      <c r="AA28" s="55"/>
      <c r="AB28" s="55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3"/>
    </row>
    <row r="29" spans="1:2129 15026:15026 15386:15394" s="60" customFormat="1" ht="16.149999999999999" customHeight="1" x14ac:dyDescent="0.2">
      <c r="A29" s="52"/>
      <c r="B29" s="52"/>
      <c r="C29" s="52"/>
      <c r="D29" s="52"/>
      <c r="E29" s="52"/>
      <c r="F29" s="52"/>
      <c r="G29" s="208"/>
      <c r="H29" s="62"/>
      <c r="I29" s="58"/>
      <c r="J29" s="189"/>
      <c r="K29" s="57"/>
      <c r="L29" s="57"/>
      <c r="M29" s="56"/>
      <c r="N29" s="170"/>
      <c r="O29" s="170"/>
      <c r="P29" s="183"/>
      <c r="Q29" s="178"/>
      <c r="R29" s="57"/>
      <c r="S29" s="57"/>
      <c r="T29" s="56"/>
      <c r="U29" s="186"/>
      <c r="V29" s="186"/>
      <c r="W29" s="186"/>
      <c r="X29" s="55"/>
      <c r="Y29" s="55"/>
      <c r="Z29" s="55"/>
      <c r="AA29" s="55"/>
      <c r="AB29" s="55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3"/>
    </row>
    <row r="30" spans="1:2129 15026:15026 15386:15394" s="60" customFormat="1" ht="16.149999999999999" customHeight="1" x14ac:dyDescent="0.2">
      <c r="A30" s="52"/>
      <c r="B30" s="52"/>
      <c r="C30" s="52"/>
      <c r="D30" s="52"/>
      <c r="E30" s="52"/>
      <c r="F30" s="52"/>
      <c r="G30" s="208"/>
      <c r="H30" s="62"/>
      <c r="I30" s="58"/>
      <c r="J30" s="189"/>
      <c r="K30" s="57"/>
      <c r="L30" s="57"/>
      <c r="M30" s="56"/>
      <c r="N30" s="170"/>
      <c r="O30" s="170"/>
      <c r="P30" s="183"/>
      <c r="Q30" s="178"/>
      <c r="R30" s="57"/>
      <c r="S30" s="57"/>
      <c r="T30" s="56"/>
      <c r="U30" s="186"/>
      <c r="V30" s="186"/>
      <c r="W30" s="186"/>
      <c r="X30" s="55"/>
      <c r="Y30" s="55"/>
      <c r="Z30" s="55"/>
      <c r="AA30" s="55"/>
      <c r="AB30" s="55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3"/>
    </row>
    <row r="31" spans="1:2129 15026:15026 15386:15394" s="60" customFormat="1" ht="16.149999999999999" customHeight="1" x14ac:dyDescent="0.2">
      <c r="A31" s="52"/>
      <c r="B31" s="52"/>
      <c r="C31" s="52"/>
      <c r="D31" s="52"/>
      <c r="E31" s="52"/>
      <c r="F31" s="52"/>
      <c r="G31" s="208"/>
      <c r="H31" s="62"/>
      <c r="I31" s="58"/>
      <c r="J31" s="189"/>
      <c r="K31" s="57"/>
      <c r="L31" s="57"/>
      <c r="M31" s="56"/>
      <c r="N31" s="170"/>
      <c r="O31" s="170"/>
      <c r="P31" s="183"/>
      <c r="Q31" s="178"/>
      <c r="R31" s="57"/>
      <c r="S31" s="57"/>
      <c r="T31" s="56"/>
      <c r="U31" s="186"/>
      <c r="V31" s="186"/>
      <c r="W31" s="186"/>
      <c r="X31" s="55"/>
      <c r="Y31" s="55"/>
      <c r="Z31" s="55"/>
      <c r="AA31" s="55"/>
      <c r="AB31" s="55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3"/>
    </row>
    <row r="32" spans="1:2129 15026:15026 15386:15394" s="60" customFormat="1" ht="16.149999999999999" customHeight="1" x14ac:dyDescent="0.2">
      <c r="A32" s="52"/>
      <c r="B32" s="52"/>
      <c r="C32" s="52"/>
      <c r="D32" s="52"/>
      <c r="E32" s="52"/>
      <c r="F32" s="52"/>
      <c r="G32" s="208"/>
      <c r="H32" s="62"/>
      <c r="I32" s="58"/>
      <c r="J32" s="189"/>
      <c r="K32" s="57"/>
      <c r="L32" s="57"/>
      <c r="M32" s="56"/>
      <c r="N32" s="170"/>
      <c r="O32" s="170"/>
      <c r="P32" s="183"/>
      <c r="Q32" s="178"/>
      <c r="R32" s="57"/>
      <c r="S32" s="57"/>
      <c r="T32" s="56"/>
      <c r="U32" s="186"/>
      <c r="V32" s="186"/>
      <c r="W32" s="186"/>
      <c r="X32" s="55"/>
      <c r="Y32" s="55"/>
      <c r="Z32" s="55"/>
      <c r="AA32" s="55"/>
      <c r="AB32" s="55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3"/>
    </row>
    <row r="33" spans="1:15394" ht="16.149999999999999" customHeight="1" x14ac:dyDescent="0.2">
      <c r="H33" s="61"/>
    </row>
    <row r="36" spans="1:15394" ht="16.149999999999999" customHeight="1" x14ac:dyDescent="0.2">
      <c r="A36" s="60"/>
      <c r="B36" s="60"/>
      <c r="C36" s="60"/>
      <c r="D36" s="60"/>
      <c r="E36" s="60"/>
      <c r="F36" s="60"/>
    </row>
    <row r="37" spans="1:15394" ht="16.149999999999999" customHeight="1" x14ac:dyDescent="0.2">
      <c r="A37" s="60"/>
      <c r="B37" s="60"/>
      <c r="C37" s="60"/>
      <c r="D37" s="60"/>
      <c r="E37" s="60"/>
      <c r="F37" s="60"/>
    </row>
    <row r="38" spans="1:15394" ht="16.149999999999999" customHeight="1" x14ac:dyDescent="0.2">
      <c r="A38" s="60"/>
      <c r="B38" s="60"/>
      <c r="C38" s="60"/>
      <c r="D38" s="60"/>
      <c r="E38" s="60"/>
      <c r="F38" s="60"/>
    </row>
    <row r="39" spans="1:15394" ht="16.149999999999999" customHeight="1" x14ac:dyDescent="0.2">
      <c r="A39" s="60"/>
      <c r="B39" s="60"/>
      <c r="C39" s="60"/>
      <c r="D39" s="60"/>
      <c r="E39" s="60"/>
      <c r="F39" s="60"/>
    </row>
    <row r="40" spans="1:15394" ht="16.149999999999999" customHeight="1" x14ac:dyDescent="0.2">
      <c r="A40" s="60"/>
      <c r="B40" s="60"/>
      <c r="C40" s="60"/>
      <c r="D40" s="60"/>
      <c r="E40" s="60"/>
      <c r="F40" s="60"/>
    </row>
    <row r="41" spans="1:15394" s="59" customFormat="1" ht="16.149999999999999" customHeight="1" x14ac:dyDescent="0.2">
      <c r="A41" s="60"/>
      <c r="B41" s="60"/>
      <c r="C41" s="60"/>
      <c r="D41" s="60"/>
      <c r="E41" s="60"/>
      <c r="F41" s="60"/>
      <c r="G41" s="208"/>
      <c r="H41" s="58"/>
      <c r="I41" s="58"/>
      <c r="J41" s="189"/>
      <c r="K41" s="57"/>
      <c r="L41" s="57"/>
      <c r="M41" s="56"/>
      <c r="N41" s="170"/>
      <c r="O41" s="170"/>
      <c r="P41" s="183"/>
      <c r="Q41" s="178"/>
      <c r="R41" s="57"/>
      <c r="S41" s="57"/>
      <c r="T41" s="56"/>
      <c r="U41" s="186"/>
      <c r="V41" s="186"/>
      <c r="W41" s="186"/>
      <c r="X41" s="55"/>
      <c r="Y41" s="55"/>
      <c r="Z41" s="55"/>
      <c r="AA41" s="55"/>
      <c r="AB41" s="55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 s="54"/>
      <c r="BQ41" s="54"/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54"/>
      <c r="CC41" s="54"/>
      <c r="CD41" s="54"/>
      <c r="CE41" s="54"/>
      <c r="CF41" s="54"/>
      <c r="CG41" s="53"/>
      <c r="CH41" s="52"/>
      <c r="CI41" s="52"/>
      <c r="CJ41" s="52"/>
      <c r="CK41" s="52"/>
      <c r="CL41" s="52"/>
      <c r="CM41" s="52"/>
      <c r="CN41" s="52"/>
      <c r="CO41" s="52"/>
      <c r="CP41" s="52"/>
      <c r="CQ41" s="52"/>
      <c r="CR41" s="52"/>
      <c r="CS41" s="52"/>
      <c r="CT41" s="52"/>
      <c r="CU41" s="52"/>
      <c r="CV41" s="52"/>
      <c r="CW41" s="52"/>
      <c r="CX41" s="52"/>
      <c r="CY41" s="52"/>
      <c r="CZ41" s="52"/>
      <c r="DA41" s="52"/>
      <c r="DB41" s="52"/>
      <c r="DC41" s="52"/>
      <c r="DD41" s="52"/>
      <c r="DE41" s="52"/>
      <c r="DF41" s="52"/>
      <c r="DG41" s="52"/>
      <c r="DH41" s="52"/>
      <c r="DI41" s="52"/>
      <c r="DJ41" s="52"/>
      <c r="DK41" s="52"/>
      <c r="DL41" s="52"/>
      <c r="DM41" s="52"/>
      <c r="DN41" s="52"/>
      <c r="DO41" s="52"/>
      <c r="DP41" s="52"/>
      <c r="DQ41" s="52"/>
      <c r="DR41" s="52"/>
      <c r="DS41" s="52"/>
      <c r="DT41" s="52"/>
      <c r="DU41" s="52"/>
      <c r="DV41" s="52"/>
      <c r="DW41" s="52"/>
      <c r="DX41" s="52"/>
      <c r="DY41" s="52"/>
      <c r="DZ41" s="52"/>
      <c r="EA41" s="52"/>
      <c r="EB41" s="52"/>
      <c r="EC41" s="52"/>
      <c r="ED41" s="52"/>
      <c r="EE41" s="52"/>
      <c r="EF41" s="52"/>
      <c r="EG41" s="52"/>
      <c r="EH41" s="52"/>
      <c r="EI41" s="52"/>
      <c r="EJ41" s="52"/>
      <c r="EK41" s="52"/>
      <c r="EL41" s="52"/>
      <c r="EM41" s="52"/>
      <c r="EN41" s="52"/>
      <c r="EO41" s="52"/>
      <c r="EP41" s="52"/>
      <c r="EQ41" s="52"/>
      <c r="ER41" s="52"/>
      <c r="ES41" s="52"/>
      <c r="ET41" s="52"/>
      <c r="EU41" s="52"/>
      <c r="EV41" s="52"/>
      <c r="EW41" s="52"/>
      <c r="EX41" s="52"/>
      <c r="EY41" s="52"/>
      <c r="EZ41" s="52"/>
      <c r="FA41" s="52"/>
      <c r="FB41" s="52"/>
      <c r="FC41" s="52"/>
      <c r="FD41" s="52"/>
      <c r="FE41" s="52"/>
      <c r="FF41" s="52"/>
      <c r="FG41" s="52"/>
      <c r="FH41" s="52"/>
      <c r="FI41" s="52"/>
      <c r="FJ41" s="52"/>
      <c r="FK41" s="52"/>
      <c r="FL41" s="52"/>
      <c r="FM41" s="52"/>
      <c r="FN41" s="52"/>
      <c r="FO41" s="52"/>
      <c r="FP41" s="52"/>
      <c r="FQ41" s="52"/>
      <c r="FR41" s="52"/>
      <c r="FS41" s="52"/>
      <c r="FT41" s="52"/>
      <c r="FU41" s="52"/>
      <c r="FV41" s="52"/>
      <c r="FW41" s="52"/>
      <c r="FX41" s="52"/>
      <c r="FY41" s="52"/>
      <c r="FZ41" s="52"/>
      <c r="GA41" s="52"/>
      <c r="GB41" s="52"/>
      <c r="GC41" s="52"/>
      <c r="GD41" s="52"/>
      <c r="GE41" s="52"/>
      <c r="GF41" s="52"/>
      <c r="GG41" s="52"/>
      <c r="GH41" s="52"/>
      <c r="GI41" s="52"/>
      <c r="GJ41" s="52"/>
      <c r="GK41" s="52"/>
      <c r="GL41" s="52"/>
      <c r="GM41" s="52"/>
      <c r="GN41" s="52"/>
      <c r="GO41" s="52"/>
      <c r="GP41" s="52"/>
      <c r="GQ41" s="52"/>
      <c r="GR41" s="52"/>
      <c r="GS41" s="52"/>
      <c r="GT41" s="52"/>
      <c r="GU41" s="52"/>
      <c r="GV41" s="52"/>
      <c r="GW41" s="52"/>
      <c r="GX41" s="52"/>
      <c r="GY41" s="52"/>
      <c r="GZ41" s="52"/>
      <c r="HA41" s="52"/>
      <c r="HB41" s="52"/>
      <c r="HC41" s="52"/>
      <c r="HD41" s="52"/>
      <c r="HE41" s="52"/>
      <c r="HF41" s="52"/>
      <c r="HG41" s="52"/>
      <c r="HH41" s="52"/>
      <c r="HI41" s="52"/>
      <c r="HJ41" s="52"/>
      <c r="HK41" s="52"/>
      <c r="HL41" s="52"/>
      <c r="HM41" s="52"/>
      <c r="HN41" s="52"/>
      <c r="HO41" s="52"/>
      <c r="HP41" s="52"/>
      <c r="HQ41" s="52"/>
      <c r="HR41" s="52"/>
      <c r="HS41" s="52"/>
      <c r="HT41" s="52"/>
      <c r="HU41" s="52"/>
      <c r="HV41" s="52"/>
      <c r="HW41" s="52"/>
      <c r="HX41" s="52"/>
      <c r="HY41" s="52"/>
      <c r="HZ41" s="52"/>
      <c r="IA41" s="52"/>
      <c r="IB41" s="52"/>
      <c r="IC41" s="52"/>
      <c r="ID41" s="52"/>
      <c r="IE41" s="52"/>
      <c r="IF41" s="52"/>
      <c r="IG41" s="52"/>
      <c r="IH41" s="52"/>
      <c r="II41" s="52"/>
      <c r="IJ41" s="52"/>
      <c r="IK41" s="52"/>
      <c r="IL41" s="52"/>
      <c r="IM41" s="52"/>
      <c r="IN41" s="52"/>
      <c r="IO41" s="52"/>
      <c r="IP41" s="52"/>
      <c r="IQ41" s="52"/>
      <c r="IR41" s="52"/>
      <c r="IS41" s="52"/>
      <c r="IT41" s="52"/>
      <c r="IU41" s="52"/>
      <c r="IV41" s="52"/>
      <c r="IW41" s="52"/>
      <c r="IX41" s="52"/>
      <c r="IY41" s="52"/>
      <c r="IZ41" s="52"/>
      <c r="JA41" s="52"/>
      <c r="JB41" s="52"/>
      <c r="JC41" s="52"/>
      <c r="JD41" s="52"/>
      <c r="JE41" s="52"/>
      <c r="JF41" s="52"/>
      <c r="JG41" s="52"/>
      <c r="JH41" s="52"/>
      <c r="JI41" s="52"/>
      <c r="JJ41" s="52"/>
      <c r="JK41" s="52"/>
      <c r="JL41" s="52"/>
      <c r="JM41" s="52"/>
      <c r="JN41" s="52"/>
      <c r="JO41" s="52"/>
      <c r="JP41" s="52"/>
      <c r="JQ41" s="52"/>
      <c r="JR41" s="52"/>
      <c r="JS41" s="52"/>
      <c r="JT41" s="52"/>
      <c r="JU41" s="52"/>
      <c r="JV41" s="52"/>
      <c r="JW41" s="52"/>
      <c r="JX41" s="52"/>
      <c r="JY41" s="52"/>
      <c r="JZ41" s="52"/>
      <c r="KA41" s="52"/>
      <c r="KB41" s="52"/>
      <c r="KC41" s="52"/>
      <c r="KD41" s="52"/>
      <c r="KE41" s="52"/>
      <c r="KF41" s="52"/>
      <c r="KG41" s="52"/>
      <c r="KH41" s="52"/>
      <c r="KI41" s="52"/>
      <c r="KJ41" s="52"/>
      <c r="KK41" s="52"/>
      <c r="KL41" s="52"/>
      <c r="KM41" s="52"/>
      <c r="KN41" s="52"/>
      <c r="KO41" s="52"/>
      <c r="KP41" s="52"/>
      <c r="KQ41" s="52"/>
      <c r="KR41" s="52"/>
      <c r="KS41" s="52"/>
      <c r="KT41" s="52"/>
      <c r="KU41" s="52"/>
      <c r="KV41" s="52"/>
      <c r="KW41" s="52"/>
      <c r="KX41" s="52"/>
      <c r="KY41" s="52"/>
      <c r="KZ41" s="52"/>
      <c r="LA41" s="52"/>
      <c r="LB41" s="52"/>
      <c r="LC41" s="52"/>
      <c r="LD41" s="52"/>
      <c r="LE41" s="52"/>
      <c r="LF41" s="52"/>
      <c r="LG41" s="52"/>
      <c r="LH41" s="52"/>
      <c r="LI41" s="52"/>
      <c r="LJ41" s="52"/>
      <c r="LK41" s="52"/>
      <c r="LL41" s="52"/>
      <c r="LM41" s="52"/>
      <c r="LN41" s="52"/>
      <c r="LO41" s="52"/>
      <c r="LP41" s="52"/>
      <c r="LQ41" s="52"/>
      <c r="LR41" s="52"/>
      <c r="LS41" s="52"/>
      <c r="LT41" s="52"/>
      <c r="LU41" s="52"/>
      <c r="LV41" s="52"/>
      <c r="LW41" s="52"/>
      <c r="LX41" s="52"/>
      <c r="LY41" s="52"/>
      <c r="LZ41" s="52"/>
      <c r="MA41" s="52"/>
      <c r="MB41" s="52"/>
      <c r="MC41" s="52"/>
      <c r="MD41" s="52"/>
      <c r="ME41" s="52"/>
      <c r="MF41" s="52"/>
      <c r="MG41" s="52"/>
      <c r="MH41" s="52"/>
      <c r="MI41" s="52"/>
      <c r="MJ41" s="52"/>
      <c r="MK41" s="52"/>
      <c r="ML41" s="52"/>
      <c r="MM41" s="52"/>
      <c r="MN41" s="52"/>
      <c r="MO41" s="52"/>
      <c r="MP41" s="52"/>
      <c r="MQ41" s="52"/>
      <c r="MR41" s="52"/>
      <c r="MS41" s="52"/>
      <c r="MT41" s="52"/>
      <c r="MU41" s="52"/>
      <c r="MV41" s="52"/>
      <c r="MW41" s="52"/>
      <c r="MX41" s="52"/>
      <c r="MY41" s="52"/>
      <c r="MZ41" s="52"/>
      <c r="NA41" s="52"/>
      <c r="NB41" s="52"/>
      <c r="NC41" s="52"/>
      <c r="ND41" s="52"/>
      <c r="NE41" s="52"/>
      <c r="NF41" s="52"/>
      <c r="NG41" s="52"/>
      <c r="NH41" s="52"/>
      <c r="NI41" s="52"/>
      <c r="NJ41" s="52"/>
      <c r="NK41" s="52"/>
      <c r="NL41" s="52"/>
      <c r="NM41" s="52"/>
      <c r="NN41" s="52"/>
      <c r="NO41" s="52"/>
      <c r="NP41" s="52"/>
      <c r="NQ41" s="52"/>
      <c r="NR41" s="52"/>
      <c r="NS41" s="52"/>
      <c r="NT41" s="52"/>
      <c r="NU41" s="52"/>
      <c r="NV41" s="52"/>
      <c r="NW41" s="52"/>
      <c r="NX41" s="52"/>
      <c r="NY41" s="52"/>
      <c r="NZ41" s="52"/>
      <c r="OA41" s="52"/>
      <c r="OB41" s="52"/>
      <c r="OC41" s="52"/>
      <c r="OD41" s="52"/>
      <c r="OE41" s="52"/>
      <c r="OF41" s="52"/>
      <c r="OG41" s="52"/>
      <c r="OH41" s="52"/>
      <c r="OI41" s="52"/>
      <c r="OJ41" s="52"/>
      <c r="OK41" s="52"/>
      <c r="OL41" s="52"/>
      <c r="OM41" s="52"/>
      <c r="ON41" s="52"/>
      <c r="OO41" s="52"/>
      <c r="OP41" s="52"/>
      <c r="OQ41" s="52"/>
      <c r="OR41" s="52"/>
      <c r="OS41" s="52"/>
      <c r="OT41" s="52"/>
      <c r="OU41" s="52"/>
      <c r="OV41" s="52"/>
      <c r="OW41" s="52"/>
      <c r="OX41" s="52"/>
      <c r="OY41" s="52"/>
      <c r="OZ41" s="52"/>
      <c r="PA41" s="52"/>
      <c r="PB41" s="52"/>
      <c r="PC41" s="52"/>
      <c r="PD41" s="52"/>
      <c r="PE41" s="52"/>
      <c r="PF41" s="52"/>
      <c r="PG41" s="52"/>
      <c r="PH41" s="52"/>
      <c r="PI41" s="52"/>
      <c r="PJ41" s="52"/>
      <c r="PK41" s="52"/>
      <c r="PL41" s="52"/>
      <c r="PM41" s="52"/>
      <c r="PN41" s="52"/>
      <c r="PO41" s="52"/>
      <c r="PP41" s="52"/>
      <c r="PQ41" s="52"/>
      <c r="PR41" s="52"/>
      <c r="PS41" s="52"/>
      <c r="PT41" s="52"/>
      <c r="PU41" s="52"/>
      <c r="PV41" s="52"/>
      <c r="PW41" s="52"/>
      <c r="PX41" s="52"/>
      <c r="PY41" s="52"/>
      <c r="PZ41" s="52"/>
      <c r="QA41" s="52"/>
      <c r="QB41" s="52"/>
      <c r="QC41" s="52"/>
      <c r="QD41" s="52"/>
      <c r="QE41" s="52"/>
      <c r="QF41" s="52"/>
      <c r="QG41" s="52"/>
      <c r="QH41" s="52"/>
      <c r="QI41" s="52"/>
      <c r="QJ41" s="52"/>
      <c r="QK41" s="52"/>
      <c r="QL41" s="52"/>
      <c r="QM41" s="52"/>
      <c r="QN41" s="52"/>
      <c r="QO41" s="52"/>
      <c r="QP41" s="52"/>
      <c r="QQ41" s="52"/>
      <c r="QR41" s="52"/>
      <c r="QS41" s="52"/>
      <c r="QT41" s="52"/>
      <c r="QU41" s="52"/>
      <c r="QV41" s="52"/>
      <c r="QW41" s="52"/>
      <c r="QX41" s="52"/>
      <c r="QY41" s="52"/>
      <c r="QZ41" s="52"/>
      <c r="RA41" s="52"/>
      <c r="RB41" s="52"/>
      <c r="RC41" s="52"/>
      <c r="RD41" s="52"/>
      <c r="RE41" s="52"/>
      <c r="RF41" s="52"/>
      <c r="RG41" s="52"/>
      <c r="RH41" s="52"/>
      <c r="RI41" s="52"/>
      <c r="RJ41" s="52"/>
      <c r="RK41" s="52"/>
      <c r="RL41" s="52"/>
      <c r="RM41" s="52"/>
      <c r="RN41" s="52"/>
      <c r="RO41" s="52"/>
      <c r="RP41" s="52"/>
      <c r="RQ41" s="52"/>
      <c r="RR41" s="52"/>
      <c r="RS41" s="52"/>
      <c r="RT41" s="52"/>
      <c r="RU41" s="52"/>
      <c r="RV41" s="52"/>
      <c r="RW41" s="52"/>
      <c r="RX41" s="52"/>
      <c r="RY41" s="52"/>
      <c r="RZ41" s="52"/>
      <c r="SA41" s="52"/>
      <c r="SB41" s="52"/>
      <c r="SC41" s="52"/>
      <c r="SD41" s="52"/>
      <c r="SE41" s="52"/>
      <c r="SF41" s="52"/>
      <c r="SG41" s="52"/>
      <c r="SH41" s="52"/>
      <c r="SI41" s="52"/>
      <c r="SJ41" s="52"/>
      <c r="SK41" s="52"/>
      <c r="SL41" s="52"/>
      <c r="SM41" s="52"/>
      <c r="SN41" s="52"/>
      <c r="SO41" s="52"/>
      <c r="SP41" s="52"/>
      <c r="SQ41" s="52"/>
      <c r="SR41" s="52"/>
      <c r="SS41" s="52"/>
      <c r="ST41" s="52"/>
      <c r="SU41" s="52"/>
      <c r="SV41" s="52"/>
      <c r="SW41" s="52"/>
      <c r="SX41" s="52"/>
      <c r="SY41" s="52"/>
      <c r="SZ41" s="52"/>
      <c r="TA41" s="52"/>
      <c r="TB41" s="52"/>
      <c r="TC41" s="52"/>
      <c r="TD41" s="52"/>
      <c r="TE41" s="52"/>
      <c r="TF41" s="52"/>
      <c r="TG41" s="52"/>
      <c r="TH41" s="52"/>
      <c r="TI41" s="52"/>
      <c r="TJ41" s="52"/>
      <c r="TK41" s="52"/>
      <c r="TL41" s="52"/>
      <c r="TM41" s="52"/>
      <c r="TN41" s="52"/>
      <c r="TO41" s="52"/>
      <c r="TP41" s="52"/>
      <c r="TQ41" s="52"/>
      <c r="TR41" s="52"/>
      <c r="TS41" s="52"/>
      <c r="TT41" s="52"/>
      <c r="TU41" s="52"/>
      <c r="TV41" s="52"/>
      <c r="TW41" s="52"/>
      <c r="TX41" s="52"/>
      <c r="TY41" s="52"/>
      <c r="TZ41" s="52"/>
      <c r="UA41" s="52"/>
      <c r="UB41" s="52"/>
      <c r="UC41" s="52"/>
      <c r="UD41" s="52"/>
      <c r="UE41" s="52"/>
      <c r="UF41" s="52"/>
      <c r="UG41" s="52"/>
      <c r="UH41" s="52"/>
      <c r="UI41" s="52"/>
      <c r="UJ41" s="52"/>
      <c r="UK41" s="52"/>
      <c r="UL41" s="52"/>
      <c r="UM41" s="52"/>
      <c r="UN41" s="52"/>
      <c r="UO41" s="52"/>
      <c r="UP41" s="52"/>
      <c r="UQ41" s="52"/>
      <c r="UR41" s="52"/>
      <c r="US41" s="52"/>
      <c r="UT41" s="52"/>
      <c r="UU41" s="52"/>
      <c r="UV41" s="52"/>
      <c r="UW41" s="52"/>
      <c r="UX41" s="52"/>
      <c r="UY41" s="52"/>
      <c r="UZ41" s="52"/>
      <c r="VA41" s="52"/>
      <c r="VB41" s="52"/>
      <c r="VC41" s="52"/>
      <c r="VD41" s="52"/>
      <c r="VE41" s="52"/>
      <c r="VF41" s="52"/>
      <c r="VG41" s="52"/>
      <c r="VH41" s="52"/>
      <c r="VI41" s="52"/>
      <c r="VJ41" s="52"/>
      <c r="VK41" s="52"/>
      <c r="VL41" s="52"/>
      <c r="VM41" s="52"/>
      <c r="VN41" s="52"/>
      <c r="VO41" s="52"/>
      <c r="VP41" s="52"/>
      <c r="VQ41" s="52"/>
      <c r="VR41" s="52"/>
      <c r="VS41" s="52"/>
      <c r="VT41" s="52"/>
      <c r="VU41" s="52"/>
      <c r="VV41" s="52"/>
      <c r="VW41" s="52"/>
      <c r="VX41" s="52"/>
      <c r="VY41" s="52"/>
      <c r="VZ41" s="52"/>
      <c r="WA41" s="52"/>
      <c r="WB41" s="52"/>
      <c r="WC41" s="52"/>
      <c r="WD41" s="52"/>
      <c r="WE41" s="52"/>
      <c r="WF41" s="52"/>
      <c r="WG41" s="52"/>
      <c r="WH41" s="52"/>
      <c r="WI41" s="52"/>
      <c r="WJ41" s="52"/>
      <c r="WK41" s="52"/>
      <c r="WL41" s="52"/>
      <c r="WM41" s="52"/>
      <c r="WN41" s="52"/>
      <c r="WO41" s="52"/>
      <c r="WP41" s="52"/>
      <c r="WQ41" s="52"/>
      <c r="WR41" s="52"/>
      <c r="WS41" s="52"/>
      <c r="WT41" s="52"/>
      <c r="WU41" s="52"/>
      <c r="WV41" s="52"/>
      <c r="WW41" s="52"/>
      <c r="WX41" s="52"/>
      <c r="WY41" s="52"/>
      <c r="WZ41" s="52"/>
      <c r="XA41" s="52"/>
      <c r="XB41" s="52"/>
      <c r="XC41" s="52"/>
      <c r="XD41" s="52"/>
      <c r="XE41" s="52"/>
      <c r="XF41" s="52"/>
      <c r="XG41" s="52"/>
      <c r="XH41" s="52"/>
      <c r="XI41" s="52"/>
      <c r="XJ41" s="52"/>
      <c r="XK41" s="52"/>
      <c r="XL41" s="52"/>
      <c r="XM41" s="52"/>
      <c r="XN41" s="52"/>
      <c r="XO41" s="52"/>
      <c r="XP41" s="52"/>
      <c r="XQ41" s="52"/>
      <c r="XR41" s="52"/>
      <c r="XS41" s="52"/>
      <c r="XT41" s="52"/>
      <c r="XU41" s="52"/>
      <c r="XV41" s="52"/>
      <c r="XW41" s="52"/>
      <c r="XX41" s="52"/>
      <c r="XY41" s="52"/>
      <c r="XZ41" s="52"/>
      <c r="YA41" s="52"/>
      <c r="YB41" s="52"/>
      <c r="YC41" s="52"/>
      <c r="YD41" s="52"/>
      <c r="YE41" s="52"/>
      <c r="YF41" s="52"/>
      <c r="YG41" s="52"/>
      <c r="YH41" s="52"/>
      <c r="YI41" s="52"/>
      <c r="YJ41" s="52"/>
      <c r="YK41" s="52"/>
      <c r="YL41" s="52"/>
      <c r="YM41" s="52"/>
      <c r="YN41" s="52"/>
      <c r="YO41" s="52"/>
      <c r="YP41" s="52"/>
      <c r="YQ41" s="52"/>
      <c r="YR41" s="52"/>
      <c r="YS41" s="52"/>
      <c r="YT41" s="52"/>
      <c r="YU41" s="52"/>
      <c r="YV41" s="52"/>
      <c r="YW41" s="52"/>
      <c r="YX41" s="52"/>
      <c r="YY41" s="52"/>
      <c r="YZ41" s="52"/>
      <c r="ZA41" s="52"/>
      <c r="ZB41" s="52"/>
      <c r="ZC41" s="52"/>
      <c r="ZD41" s="52"/>
      <c r="ZE41" s="52"/>
      <c r="ZF41" s="52"/>
      <c r="ZG41" s="52"/>
      <c r="ZH41" s="52"/>
      <c r="ZI41" s="52"/>
      <c r="ZJ41" s="52"/>
      <c r="ZK41" s="52"/>
      <c r="ZL41" s="52"/>
      <c r="ZM41" s="52"/>
      <c r="ZN41" s="52"/>
      <c r="ZO41" s="52"/>
      <c r="ZP41" s="52"/>
      <c r="ZQ41" s="52"/>
      <c r="ZR41" s="52"/>
      <c r="ZS41" s="52"/>
      <c r="ZT41" s="52"/>
      <c r="ZU41" s="52"/>
      <c r="ZV41" s="52"/>
      <c r="ZW41" s="52"/>
      <c r="ZX41" s="52"/>
      <c r="ZY41" s="52"/>
      <c r="ZZ41" s="52"/>
      <c r="AAA41" s="52"/>
      <c r="AAB41" s="52"/>
      <c r="AAC41" s="52"/>
      <c r="AAD41" s="52"/>
      <c r="AAE41" s="52"/>
      <c r="AAF41" s="52"/>
      <c r="AAG41" s="52"/>
      <c r="AAH41" s="52"/>
      <c r="AAI41" s="52"/>
      <c r="AAJ41" s="52"/>
      <c r="AAK41" s="52"/>
      <c r="AAL41" s="52"/>
      <c r="AAM41" s="52"/>
      <c r="AAN41" s="52"/>
      <c r="AAO41" s="52"/>
      <c r="AAP41" s="52"/>
      <c r="AAQ41" s="52"/>
      <c r="AAR41" s="52"/>
      <c r="AAS41" s="52"/>
      <c r="AAT41" s="52"/>
      <c r="AAU41" s="52"/>
      <c r="AAV41" s="52"/>
      <c r="AAW41" s="52"/>
      <c r="AAX41" s="52"/>
      <c r="AAY41" s="52"/>
      <c r="AAZ41" s="52"/>
      <c r="ABA41" s="52"/>
      <c r="ABB41" s="52"/>
      <c r="ABC41" s="52"/>
      <c r="ABD41" s="52"/>
      <c r="ABE41" s="52"/>
      <c r="ABF41" s="52"/>
      <c r="ABG41" s="52"/>
      <c r="ABH41" s="52"/>
      <c r="ABI41" s="52"/>
      <c r="ABJ41" s="52"/>
      <c r="ABK41" s="52"/>
      <c r="ABL41" s="52"/>
      <c r="ABM41" s="52"/>
      <c r="ABN41" s="52"/>
      <c r="ABO41" s="52"/>
      <c r="ABP41" s="52"/>
      <c r="ABQ41" s="52"/>
      <c r="ABR41" s="52"/>
      <c r="ABS41" s="52"/>
      <c r="ABT41" s="52"/>
      <c r="ABU41" s="52"/>
      <c r="ABV41" s="52"/>
      <c r="ABW41" s="52"/>
      <c r="ABX41" s="52"/>
      <c r="ABY41" s="52"/>
      <c r="ABZ41" s="52"/>
      <c r="ACA41" s="52"/>
      <c r="ACB41" s="52"/>
      <c r="ACC41" s="52"/>
      <c r="ACD41" s="52"/>
      <c r="ACE41" s="52"/>
      <c r="ACF41" s="52"/>
      <c r="ACG41" s="52"/>
      <c r="ACH41" s="52"/>
      <c r="ACI41" s="52"/>
      <c r="ACJ41" s="52"/>
      <c r="ACK41" s="52"/>
      <c r="ACL41" s="52"/>
      <c r="ACM41" s="52"/>
      <c r="ACN41" s="52"/>
      <c r="ACO41" s="52"/>
      <c r="ACP41" s="52"/>
      <c r="ACQ41" s="52"/>
      <c r="ACR41" s="52"/>
      <c r="ACS41" s="52"/>
      <c r="ACT41" s="52"/>
      <c r="ACU41" s="52"/>
      <c r="ACV41" s="52"/>
      <c r="ACW41" s="52"/>
      <c r="ACX41" s="52"/>
      <c r="ACY41" s="52"/>
      <c r="ACZ41" s="52"/>
      <c r="ADA41" s="52"/>
      <c r="ADB41" s="52"/>
      <c r="ADC41" s="52"/>
      <c r="ADD41" s="52"/>
      <c r="ADE41" s="52"/>
      <c r="ADF41" s="52"/>
      <c r="ADG41" s="52"/>
      <c r="ADH41" s="52"/>
      <c r="ADI41" s="52"/>
      <c r="ADJ41" s="52"/>
      <c r="ADK41" s="52"/>
      <c r="ADL41" s="52"/>
      <c r="ADM41" s="52"/>
      <c r="ADN41" s="52"/>
      <c r="ADO41" s="52"/>
      <c r="ADP41" s="52"/>
      <c r="ADQ41" s="52"/>
      <c r="ADR41" s="52"/>
      <c r="ADS41" s="52"/>
      <c r="ADT41" s="52"/>
      <c r="ADU41" s="52"/>
      <c r="ADV41" s="52"/>
      <c r="ADW41" s="52"/>
      <c r="ADX41" s="52"/>
      <c r="ADY41" s="52"/>
      <c r="ADZ41" s="52"/>
      <c r="AEA41" s="52"/>
      <c r="AEB41" s="52"/>
      <c r="AEC41" s="52"/>
      <c r="AED41" s="52"/>
      <c r="AEE41" s="52"/>
      <c r="AEF41" s="52"/>
      <c r="AEG41" s="52"/>
      <c r="AEH41" s="52"/>
      <c r="AEI41" s="52"/>
      <c r="AEJ41" s="52"/>
      <c r="AEK41" s="52"/>
      <c r="AEL41" s="52"/>
      <c r="AEM41" s="52"/>
      <c r="AEN41" s="52"/>
      <c r="AEO41" s="52"/>
      <c r="AEP41" s="52"/>
      <c r="AEQ41" s="52"/>
      <c r="AER41" s="52"/>
      <c r="AES41" s="52"/>
      <c r="AET41" s="52"/>
      <c r="AEU41" s="52"/>
      <c r="AEV41" s="52"/>
      <c r="AEW41" s="52"/>
      <c r="AEX41" s="52"/>
      <c r="AEY41" s="52"/>
      <c r="AEZ41" s="52"/>
      <c r="AFA41" s="52"/>
      <c r="AFB41" s="52"/>
      <c r="AFC41" s="52"/>
      <c r="AFD41" s="52"/>
      <c r="AFE41" s="52"/>
      <c r="AFF41" s="52"/>
      <c r="AFG41" s="52"/>
      <c r="AFH41" s="52"/>
      <c r="AFI41" s="52"/>
      <c r="AFJ41" s="52"/>
      <c r="AFK41" s="52"/>
      <c r="AFL41" s="52"/>
      <c r="AFM41" s="52"/>
      <c r="AFN41" s="52"/>
      <c r="AFO41" s="52"/>
      <c r="AFP41" s="52"/>
      <c r="AFQ41" s="52"/>
      <c r="AFR41" s="52"/>
      <c r="AFS41" s="52"/>
      <c r="AFT41" s="52"/>
      <c r="AFU41" s="52"/>
      <c r="AFV41" s="52"/>
      <c r="AFW41" s="52"/>
      <c r="AFX41" s="52"/>
      <c r="AFY41" s="52"/>
      <c r="AFZ41" s="52"/>
      <c r="AGA41" s="52"/>
      <c r="AGB41" s="52"/>
      <c r="AGC41" s="52"/>
      <c r="AGD41" s="52"/>
      <c r="AGE41" s="52"/>
      <c r="AGF41" s="52"/>
      <c r="AGG41" s="52"/>
      <c r="AGH41" s="52"/>
      <c r="AGI41" s="52"/>
      <c r="AGJ41" s="52"/>
      <c r="AGK41" s="52"/>
      <c r="AGL41" s="52"/>
      <c r="AGM41" s="52"/>
      <c r="AGN41" s="52"/>
      <c r="AGO41" s="52"/>
      <c r="AGP41" s="52"/>
      <c r="AGQ41" s="52"/>
      <c r="AGR41" s="52"/>
      <c r="AGS41" s="52"/>
      <c r="AGT41" s="52"/>
      <c r="AGU41" s="52"/>
      <c r="AGV41" s="52"/>
      <c r="AGW41" s="52"/>
      <c r="AGX41" s="52"/>
      <c r="AGY41" s="52"/>
      <c r="AGZ41" s="52"/>
      <c r="AHA41" s="52"/>
      <c r="AHB41" s="52"/>
      <c r="AHC41" s="52"/>
      <c r="AHD41" s="52"/>
      <c r="AHE41" s="52"/>
      <c r="AHF41" s="52"/>
      <c r="AHG41" s="52"/>
      <c r="AHH41" s="52"/>
      <c r="AHI41" s="52"/>
      <c r="AHJ41" s="52"/>
      <c r="AHK41" s="52"/>
      <c r="AHL41" s="52"/>
      <c r="AHM41" s="52"/>
      <c r="AHN41" s="52"/>
      <c r="AHO41" s="52"/>
      <c r="AHP41" s="52"/>
      <c r="AHQ41" s="52"/>
      <c r="AHR41" s="52"/>
      <c r="AHS41" s="52"/>
      <c r="AHT41" s="52"/>
      <c r="AHU41" s="52"/>
      <c r="AHV41" s="52"/>
      <c r="AHW41" s="52"/>
      <c r="AHX41" s="52"/>
      <c r="AHY41" s="52"/>
      <c r="AHZ41" s="52"/>
      <c r="AIA41" s="52"/>
      <c r="AIB41" s="52"/>
      <c r="AIC41" s="52"/>
      <c r="AID41" s="52"/>
      <c r="AIE41" s="52"/>
      <c r="AIF41" s="52"/>
      <c r="AIG41" s="52"/>
      <c r="AIH41" s="52"/>
      <c r="AII41" s="52"/>
      <c r="AIJ41" s="52"/>
      <c r="AIK41" s="52"/>
      <c r="AIL41" s="52"/>
      <c r="AIM41" s="52"/>
      <c r="AIN41" s="52"/>
      <c r="AIO41" s="52"/>
      <c r="AIP41" s="52"/>
      <c r="AIQ41" s="52"/>
      <c r="AIR41" s="52"/>
      <c r="AIS41" s="52"/>
      <c r="AIT41" s="52"/>
      <c r="AIU41" s="52"/>
      <c r="AIV41" s="52"/>
      <c r="AIW41" s="52"/>
      <c r="AIX41" s="52"/>
      <c r="AIY41" s="52"/>
      <c r="AIZ41" s="52"/>
      <c r="AJA41" s="52"/>
      <c r="AJB41" s="52"/>
      <c r="AJC41" s="52"/>
      <c r="AJD41" s="52"/>
      <c r="AJE41" s="52"/>
      <c r="AJF41" s="52"/>
      <c r="AJG41" s="52"/>
      <c r="AJH41" s="52"/>
      <c r="AJI41" s="52"/>
      <c r="AJJ41" s="52"/>
      <c r="AJK41" s="52"/>
      <c r="AJL41" s="52"/>
      <c r="AJM41" s="52"/>
      <c r="AJN41" s="52"/>
      <c r="AJO41" s="52"/>
      <c r="AJP41" s="52"/>
      <c r="AJQ41" s="52"/>
      <c r="AJR41" s="52"/>
      <c r="AJS41" s="52"/>
      <c r="AJT41" s="52"/>
      <c r="AJU41" s="52"/>
      <c r="AJV41" s="52"/>
      <c r="AJW41" s="52"/>
      <c r="AJX41" s="52"/>
      <c r="AJY41" s="52"/>
      <c r="AJZ41" s="52"/>
      <c r="AKA41" s="52"/>
      <c r="AKB41" s="52"/>
      <c r="AKC41" s="52"/>
      <c r="AKD41" s="52"/>
      <c r="AKE41" s="52"/>
      <c r="AKF41" s="52"/>
      <c r="AKG41" s="52"/>
      <c r="AKH41" s="52"/>
      <c r="AKI41" s="52"/>
      <c r="AKJ41" s="52"/>
      <c r="AKK41" s="52"/>
      <c r="AKL41" s="52"/>
      <c r="AKM41" s="52"/>
      <c r="AKN41" s="52"/>
      <c r="AKO41" s="52"/>
      <c r="AKP41" s="52"/>
      <c r="AKQ41" s="52"/>
      <c r="AKR41" s="52"/>
      <c r="AKS41" s="52"/>
      <c r="AKT41" s="52"/>
      <c r="AKU41" s="52"/>
      <c r="AKV41" s="52"/>
      <c r="AKW41" s="52"/>
      <c r="AKX41" s="52"/>
      <c r="AKY41" s="52"/>
      <c r="AKZ41" s="52"/>
      <c r="ALA41" s="52"/>
      <c r="ALB41" s="52"/>
      <c r="ALC41" s="52"/>
      <c r="ALD41" s="52"/>
      <c r="ALE41" s="52"/>
      <c r="ALF41" s="52"/>
      <c r="ALG41" s="52"/>
      <c r="ALH41" s="52"/>
      <c r="ALI41" s="52"/>
      <c r="ALJ41" s="52"/>
      <c r="ALK41" s="52"/>
      <c r="ALL41" s="52"/>
      <c r="ALM41" s="52"/>
      <c r="ALN41" s="52"/>
      <c r="ALO41" s="52"/>
      <c r="ALP41" s="52"/>
      <c r="ALQ41" s="52"/>
      <c r="ALR41" s="52"/>
      <c r="ALS41" s="52"/>
      <c r="ALT41" s="52"/>
      <c r="ALU41" s="52"/>
      <c r="ALV41" s="52"/>
      <c r="ALW41" s="52"/>
      <c r="ALX41" s="52"/>
      <c r="ALY41" s="52"/>
      <c r="ALZ41" s="52"/>
      <c r="AMA41" s="52"/>
      <c r="AMB41" s="52"/>
      <c r="AMC41" s="52"/>
      <c r="AMD41" s="52"/>
      <c r="AME41" s="52"/>
      <c r="AMF41" s="52"/>
      <c r="AMG41" s="52"/>
      <c r="AMH41" s="52"/>
      <c r="AMI41" s="52"/>
      <c r="AMJ41" s="52"/>
      <c r="AMK41" s="52"/>
      <c r="AML41" s="52"/>
      <c r="AMM41" s="52"/>
      <c r="AMN41" s="52"/>
      <c r="AMO41" s="52"/>
      <c r="AMP41" s="52"/>
      <c r="AMQ41" s="52"/>
      <c r="AMR41" s="52"/>
      <c r="AMS41" s="52"/>
      <c r="AMT41" s="52"/>
      <c r="AMU41" s="52"/>
      <c r="AMV41" s="52"/>
      <c r="AMW41" s="52"/>
      <c r="AMX41" s="52"/>
      <c r="AMY41" s="52"/>
      <c r="AMZ41" s="52"/>
      <c r="ANA41" s="52"/>
      <c r="ANB41" s="52"/>
      <c r="ANC41" s="52"/>
      <c r="AND41" s="52"/>
      <c r="ANE41" s="52"/>
      <c r="ANF41" s="52"/>
      <c r="ANG41" s="52"/>
      <c r="ANH41" s="52"/>
      <c r="ANI41" s="52"/>
      <c r="ANJ41" s="52"/>
      <c r="ANK41" s="52"/>
      <c r="ANL41" s="52"/>
      <c r="ANM41" s="52"/>
      <c r="ANN41" s="52"/>
      <c r="ANO41" s="52"/>
      <c r="ANP41" s="52"/>
      <c r="ANQ41" s="52"/>
      <c r="ANR41" s="52"/>
      <c r="ANS41" s="52"/>
      <c r="ANT41" s="52"/>
      <c r="ANU41" s="52"/>
      <c r="ANV41" s="52"/>
      <c r="ANW41" s="52"/>
      <c r="ANX41" s="52"/>
      <c r="ANY41" s="52"/>
      <c r="ANZ41" s="52"/>
      <c r="AOA41" s="52"/>
      <c r="AOB41" s="52"/>
      <c r="AOC41" s="52"/>
      <c r="AOD41" s="52"/>
      <c r="AOE41" s="52"/>
      <c r="AOF41" s="52"/>
      <c r="AOG41" s="52"/>
      <c r="AOH41" s="52"/>
      <c r="AOI41" s="52"/>
      <c r="AOJ41" s="52"/>
      <c r="AOK41" s="52"/>
      <c r="AOL41" s="52"/>
      <c r="AOM41" s="52"/>
      <c r="AON41" s="52"/>
      <c r="AOO41" s="52"/>
      <c r="AOP41" s="52"/>
      <c r="AOQ41" s="52"/>
      <c r="AOR41" s="52"/>
      <c r="AOS41" s="52"/>
      <c r="AOT41" s="52"/>
      <c r="AOU41" s="52"/>
      <c r="AOV41" s="52"/>
      <c r="AOW41" s="52"/>
      <c r="AOX41" s="52"/>
      <c r="AOY41" s="52"/>
      <c r="AOZ41" s="52"/>
      <c r="APA41" s="52"/>
      <c r="APB41" s="52"/>
      <c r="APC41" s="52"/>
      <c r="APD41" s="52"/>
      <c r="APE41" s="52"/>
      <c r="APF41" s="52"/>
      <c r="APG41" s="52"/>
      <c r="APH41" s="52"/>
      <c r="API41" s="52"/>
      <c r="APJ41" s="52"/>
      <c r="APK41" s="52"/>
      <c r="APL41" s="52"/>
      <c r="APM41" s="52"/>
      <c r="APN41" s="52"/>
      <c r="APO41" s="52"/>
      <c r="APP41" s="52"/>
      <c r="APQ41" s="52"/>
      <c r="APR41" s="52"/>
      <c r="APS41" s="52"/>
      <c r="APT41" s="52"/>
      <c r="APU41" s="52"/>
      <c r="APV41" s="52"/>
      <c r="APW41" s="52"/>
      <c r="APX41" s="52"/>
      <c r="APY41" s="52"/>
      <c r="APZ41" s="52"/>
      <c r="AQA41" s="52"/>
      <c r="AQB41" s="52"/>
      <c r="AQC41" s="52"/>
      <c r="AQD41" s="52"/>
      <c r="AQE41" s="52"/>
      <c r="AQF41" s="52"/>
      <c r="AQG41" s="52"/>
      <c r="AQH41" s="52"/>
      <c r="AQI41" s="52"/>
      <c r="AQJ41" s="52"/>
      <c r="AQK41" s="52"/>
      <c r="AQL41" s="52"/>
      <c r="AQM41" s="52"/>
      <c r="AQN41" s="52"/>
      <c r="AQO41" s="52"/>
      <c r="AQP41" s="52"/>
      <c r="AQQ41" s="52"/>
      <c r="AQR41" s="52"/>
      <c r="AQS41" s="52"/>
      <c r="AQT41" s="52"/>
      <c r="AQU41" s="52"/>
      <c r="AQV41" s="52"/>
      <c r="AQW41" s="52"/>
      <c r="AQX41" s="52"/>
      <c r="AQY41" s="52"/>
      <c r="AQZ41" s="52"/>
      <c r="ARA41" s="52"/>
      <c r="ARB41" s="52"/>
      <c r="ARC41" s="52"/>
      <c r="ARD41" s="52"/>
      <c r="ARE41" s="52"/>
      <c r="ARF41" s="52"/>
      <c r="ARG41" s="52"/>
      <c r="ARH41" s="52"/>
      <c r="ARI41" s="52"/>
      <c r="ARJ41" s="52"/>
      <c r="ARK41" s="52"/>
      <c r="ARL41" s="52"/>
      <c r="ARM41" s="52"/>
      <c r="ARN41" s="52"/>
      <c r="ARO41" s="52"/>
      <c r="ARP41" s="52"/>
      <c r="ARQ41" s="52"/>
      <c r="ARR41" s="52"/>
      <c r="ARS41" s="52"/>
      <c r="ART41" s="52"/>
      <c r="ARU41" s="52"/>
      <c r="ARV41" s="52"/>
      <c r="ARW41" s="52"/>
      <c r="ARX41" s="52"/>
      <c r="ARY41" s="52"/>
      <c r="ARZ41" s="52"/>
      <c r="ASA41" s="52"/>
      <c r="ASB41" s="52"/>
      <c r="ASC41" s="52"/>
      <c r="ASD41" s="52"/>
      <c r="ASE41" s="52"/>
      <c r="ASF41" s="52"/>
      <c r="ASG41" s="52"/>
      <c r="ASH41" s="52"/>
      <c r="ASI41" s="52"/>
      <c r="ASJ41" s="52"/>
      <c r="ASK41" s="52"/>
      <c r="ASL41" s="52"/>
      <c r="ASM41" s="52"/>
      <c r="ASN41" s="52"/>
      <c r="ASO41" s="52"/>
      <c r="ASP41" s="52"/>
      <c r="ASQ41" s="52"/>
      <c r="ASR41" s="52"/>
      <c r="ASS41" s="52"/>
      <c r="AST41" s="52"/>
      <c r="ASU41" s="52"/>
      <c r="ASV41" s="52"/>
      <c r="ASW41" s="52"/>
      <c r="ASX41" s="52"/>
      <c r="ASY41" s="52"/>
      <c r="ASZ41" s="52"/>
      <c r="ATA41" s="52"/>
      <c r="ATB41" s="52"/>
      <c r="ATC41" s="52"/>
      <c r="ATD41" s="52"/>
      <c r="ATE41" s="52"/>
      <c r="ATF41" s="52"/>
      <c r="ATG41" s="52"/>
      <c r="ATH41" s="52"/>
      <c r="ATI41" s="52"/>
      <c r="ATJ41" s="52"/>
      <c r="ATK41" s="52"/>
      <c r="ATL41" s="52"/>
      <c r="ATM41" s="52"/>
      <c r="ATN41" s="52"/>
      <c r="ATO41" s="52"/>
      <c r="ATP41" s="52"/>
      <c r="ATQ41" s="52"/>
      <c r="ATR41" s="52"/>
      <c r="ATS41" s="52"/>
      <c r="ATT41" s="52"/>
      <c r="ATU41" s="52"/>
      <c r="ATV41" s="52"/>
      <c r="ATW41" s="52"/>
      <c r="ATX41" s="52"/>
      <c r="ATY41" s="52"/>
      <c r="ATZ41" s="52"/>
      <c r="AUA41" s="52"/>
      <c r="AUB41" s="52"/>
      <c r="AUC41" s="52"/>
      <c r="AUD41" s="52"/>
      <c r="AUE41" s="52"/>
      <c r="AUF41" s="52"/>
      <c r="AUG41" s="52"/>
      <c r="AUH41" s="52"/>
      <c r="AUI41" s="52"/>
      <c r="AUJ41" s="52"/>
      <c r="AUK41" s="52"/>
      <c r="AUL41" s="52"/>
      <c r="AUM41" s="52"/>
      <c r="AUN41" s="52"/>
      <c r="AUO41" s="52"/>
      <c r="AUP41" s="52"/>
      <c r="AUQ41" s="52"/>
      <c r="AUR41" s="52"/>
      <c r="AUS41" s="52"/>
      <c r="AUT41" s="52"/>
      <c r="AUU41" s="52"/>
      <c r="AUV41" s="52"/>
      <c r="AUW41" s="52"/>
      <c r="AUX41" s="52"/>
      <c r="AUY41" s="52"/>
      <c r="AUZ41" s="52"/>
      <c r="AVA41" s="52"/>
      <c r="AVB41" s="52"/>
      <c r="AVC41" s="52"/>
      <c r="AVD41" s="52"/>
      <c r="AVE41" s="52"/>
      <c r="AVF41" s="52"/>
      <c r="AVG41" s="52"/>
      <c r="AVH41" s="52"/>
      <c r="AVI41" s="52"/>
      <c r="AVJ41" s="52"/>
      <c r="AVK41" s="52"/>
      <c r="AVL41" s="52"/>
      <c r="AVM41" s="52"/>
      <c r="AVN41" s="52"/>
      <c r="AVO41" s="52"/>
      <c r="AVP41" s="52"/>
      <c r="AVQ41" s="52"/>
      <c r="AVR41" s="52"/>
      <c r="AVS41" s="52"/>
      <c r="AVT41" s="52"/>
      <c r="AVU41" s="52"/>
      <c r="AVV41" s="52"/>
      <c r="AVW41" s="52"/>
      <c r="AVX41" s="52"/>
      <c r="AVY41" s="52"/>
      <c r="AVZ41" s="52"/>
      <c r="AWA41" s="52"/>
      <c r="AWB41" s="52"/>
      <c r="AWC41" s="52"/>
      <c r="AWD41" s="52"/>
      <c r="AWE41" s="52"/>
      <c r="AWF41" s="52"/>
      <c r="AWG41" s="52"/>
      <c r="AWH41" s="52"/>
      <c r="AWI41" s="52"/>
      <c r="AWJ41" s="52"/>
      <c r="AWK41" s="52"/>
      <c r="AWL41" s="52"/>
      <c r="AWM41" s="52"/>
      <c r="AWN41" s="52"/>
      <c r="AWO41" s="52"/>
      <c r="AWP41" s="52"/>
      <c r="AWQ41" s="52"/>
      <c r="AWR41" s="52"/>
      <c r="AWS41" s="52"/>
      <c r="AWT41" s="52"/>
      <c r="AWU41" s="52"/>
      <c r="AWV41" s="52"/>
      <c r="AWW41" s="52"/>
      <c r="AWX41" s="52"/>
      <c r="AWY41" s="52"/>
      <c r="AWZ41" s="52"/>
      <c r="AXA41" s="52"/>
      <c r="AXB41" s="52"/>
      <c r="AXC41" s="52"/>
      <c r="AXD41" s="52"/>
      <c r="AXE41" s="52"/>
      <c r="AXF41" s="52"/>
      <c r="AXG41" s="52"/>
      <c r="AXH41" s="52"/>
      <c r="AXI41" s="52"/>
      <c r="AXJ41" s="52"/>
      <c r="AXK41" s="52"/>
      <c r="AXL41" s="52"/>
      <c r="AXM41" s="52"/>
      <c r="AXN41" s="52"/>
      <c r="AXO41" s="52"/>
      <c r="AXP41" s="52"/>
      <c r="AXQ41" s="52"/>
      <c r="AXR41" s="52"/>
      <c r="AXS41" s="52"/>
      <c r="AXT41" s="52"/>
      <c r="AXU41" s="52"/>
      <c r="AXV41" s="52"/>
      <c r="AXW41" s="52"/>
      <c r="AXX41" s="52"/>
      <c r="AXY41" s="52"/>
      <c r="AXZ41" s="52"/>
      <c r="AYA41" s="52"/>
      <c r="AYB41" s="52"/>
      <c r="AYC41" s="52"/>
      <c r="AYD41" s="52"/>
      <c r="AYE41" s="52"/>
      <c r="AYF41" s="52"/>
      <c r="AYG41" s="52"/>
      <c r="AYH41" s="52"/>
      <c r="AYI41" s="52"/>
      <c r="AYJ41" s="52"/>
      <c r="AYK41" s="52"/>
      <c r="AYL41" s="52"/>
      <c r="AYM41" s="52"/>
      <c r="AYN41" s="52"/>
      <c r="AYO41" s="52"/>
      <c r="AYP41" s="52"/>
      <c r="AYQ41" s="52"/>
      <c r="AYR41" s="52"/>
      <c r="AYS41" s="52"/>
      <c r="AYT41" s="52"/>
      <c r="AYU41" s="52"/>
      <c r="AYV41" s="52"/>
      <c r="AYW41" s="52"/>
      <c r="AYX41" s="52"/>
      <c r="AYY41" s="52"/>
      <c r="AYZ41" s="52"/>
      <c r="AZA41" s="52"/>
      <c r="AZB41" s="52"/>
      <c r="AZC41" s="52"/>
      <c r="AZD41" s="52"/>
      <c r="AZE41" s="52"/>
      <c r="AZF41" s="52"/>
      <c r="AZG41" s="52"/>
      <c r="AZH41" s="52"/>
      <c r="AZI41" s="52"/>
      <c r="AZJ41" s="52"/>
      <c r="AZK41" s="52"/>
      <c r="AZL41" s="52"/>
      <c r="AZM41" s="52"/>
      <c r="AZN41" s="52"/>
      <c r="AZO41" s="52"/>
      <c r="AZP41" s="52"/>
      <c r="AZQ41" s="52"/>
      <c r="AZR41" s="52"/>
      <c r="AZS41" s="52"/>
      <c r="AZT41" s="52"/>
      <c r="AZU41" s="52"/>
      <c r="AZV41" s="52"/>
      <c r="AZW41" s="52"/>
      <c r="AZX41" s="52"/>
      <c r="AZY41" s="52"/>
      <c r="AZZ41" s="52"/>
      <c r="BAA41" s="52"/>
      <c r="BAB41" s="52"/>
      <c r="BAC41" s="52"/>
      <c r="BAD41" s="52"/>
      <c r="BAE41" s="52"/>
      <c r="BAF41" s="52"/>
      <c r="BAG41" s="52"/>
      <c r="BAH41" s="52"/>
      <c r="BAI41" s="52"/>
      <c r="BAJ41" s="52"/>
      <c r="BAK41" s="52"/>
      <c r="BAL41" s="52"/>
      <c r="BAM41" s="52"/>
      <c r="BAN41" s="52"/>
      <c r="BAO41" s="52"/>
      <c r="BAP41" s="52"/>
      <c r="BAQ41" s="52"/>
      <c r="BAR41" s="52"/>
      <c r="BAS41" s="52"/>
      <c r="BAT41" s="52"/>
      <c r="BAU41" s="52"/>
      <c r="BAV41" s="52"/>
      <c r="BAW41" s="52"/>
      <c r="BAX41" s="52"/>
      <c r="BAY41" s="52"/>
      <c r="BAZ41" s="52"/>
      <c r="BBA41" s="52"/>
      <c r="BBB41" s="52"/>
      <c r="BBC41" s="52"/>
      <c r="BBD41" s="52"/>
      <c r="BBE41" s="52"/>
      <c r="BBF41" s="52"/>
      <c r="BBG41" s="52"/>
      <c r="BBH41" s="52"/>
      <c r="BBI41" s="52"/>
      <c r="BBJ41" s="52"/>
      <c r="BBK41" s="52"/>
      <c r="BBL41" s="52"/>
      <c r="BBM41" s="52"/>
      <c r="BBN41" s="52"/>
      <c r="BBO41" s="52"/>
      <c r="BBP41" s="52"/>
      <c r="BBQ41" s="52"/>
      <c r="BBR41" s="52"/>
      <c r="BBS41" s="52"/>
      <c r="BBT41" s="52"/>
      <c r="BBU41" s="52"/>
      <c r="BBV41" s="52"/>
      <c r="BBW41" s="52"/>
      <c r="BBX41" s="52"/>
      <c r="BBY41" s="52"/>
      <c r="BBZ41" s="52"/>
      <c r="BCA41" s="52"/>
      <c r="BCB41" s="52"/>
      <c r="BCC41" s="52"/>
      <c r="BCD41" s="52"/>
      <c r="BCE41" s="52"/>
      <c r="BCF41" s="52"/>
      <c r="BCG41" s="52"/>
      <c r="BCH41" s="52"/>
      <c r="BCI41" s="52"/>
      <c r="BCJ41" s="52"/>
      <c r="BCK41" s="52"/>
      <c r="BCL41" s="52"/>
      <c r="BCM41" s="52"/>
      <c r="BCN41" s="52"/>
      <c r="BCO41" s="52"/>
      <c r="BCP41" s="52"/>
      <c r="BCQ41" s="52"/>
      <c r="BCR41" s="52"/>
      <c r="BCS41" s="52"/>
      <c r="BCT41" s="52"/>
      <c r="BCU41" s="52"/>
      <c r="BCV41" s="52"/>
      <c r="BCW41" s="52"/>
      <c r="BCX41" s="52"/>
      <c r="BCY41" s="52"/>
      <c r="BCZ41" s="52"/>
      <c r="BDA41" s="52"/>
      <c r="BDB41" s="52"/>
      <c r="BDC41" s="52"/>
      <c r="BDD41" s="52"/>
      <c r="BDE41" s="52"/>
      <c r="BDF41" s="52"/>
      <c r="BDG41" s="52"/>
      <c r="BDH41" s="52"/>
      <c r="BDI41" s="52"/>
      <c r="BDJ41" s="52"/>
      <c r="BDK41" s="52"/>
      <c r="BDL41" s="52"/>
      <c r="BDM41" s="52"/>
      <c r="BDN41" s="52"/>
      <c r="BDO41" s="52"/>
      <c r="BDP41" s="52"/>
      <c r="BDQ41" s="52"/>
      <c r="BDR41" s="52"/>
      <c r="BDS41" s="52"/>
      <c r="BDT41" s="52"/>
      <c r="BDU41" s="52"/>
      <c r="BDV41" s="52"/>
      <c r="BDW41" s="52"/>
      <c r="BDX41" s="52"/>
      <c r="BDY41" s="52"/>
      <c r="BDZ41" s="52"/>
      <c r="BEA41" s="52"/>
      <c r="BEB41" s="52"/>
      <c r="BEC41" s="52"/>
      <c r="BED41" s="52"/>
      <c r="BEE41" s="52"/>
      <c r="BEF41" s="52"/>
      <c r="BEG41" s="52"/>
      <c r="BEH41" s="52"/>
      <c r="BEI41" s="52"/>
      <c r="BEJ41" s="52"/>
      <c r="BEK41" s="52"/>
      <c r="BEL41" s="52"/>
      <c r="BEM41" s="52"/>
      <c r="BEN41" s="52"/>
      <c r="BEO41" s="52"/>
      <c r="BEP41" s="52"/>
      <c r="BEQ41" s="52"/>
      <c r="BER41" s="52"/>
      <c r="BES41" s="52"/>
      <c r="BET41" s="52"/>
      <c r="BEU41" s="52"/>
      <c r="BEV41" s="52"/>
      <c r="BEW41" s="52"/>
      <c r="BEX41" s="52"/>
      <c r="BEY41" s="52"/>
      <c r="BEZ41" s="52"/>
      <c r="BFA41" s="52"/>
      <c r="BFB41" s="52"/>
      <c r="BFC41" s="52"/>
      <c r="BFD41" s="52"/>
      <c r="BFE41" s="52"/>
      <c r="BFF41" s="52"/>
      <c r="BFG41" s="52"/>
      <c r="BFH41" s="52"/>
      <c r="BFI41" s="52"/>
      <c r="BFJ41" s="52"/>
      <c r="BFK41" s="52"/>
      <c r="BFL41" s="52"/>
      <c r="BFM41" s="52"/>
      <c r="BFN41" s="52"/>
      <c r="BFO41" s="52"/>
      <c r="BFP41" s="52"/>
      <c r="BFQ41" s="52"/>
      <c r="BFR41" s="52"/>
      <c r="BFS41" s="52"/>
      <c r="BFT41" s="52"/>
      <c r="BFU41" s="52"/>
      <c r="BFV41" s="52"/>
      <c r="BFW41" s="52"/>
      <c r="BFX41" s="52"/>
      <c r="BFY41" s="52"/>
      <c r="BFZ41" s="52"/>
      <c r="BGA41" s="52"/>
      <c r="BGB41" s="52"/>
      <c r="BGC41" s="52"/>
      <c r="BGD41" s="52"/>
      <c r="BGE41" s="52"/>
      <c r="BGF41" s="52"/>
      <c r="BGG41" s="52"/>
      <c r="BGH41" s="52"/>
      <c r="BGI41" s="52"/>
      <c r="BGJ41" s="52"/>
      <c r="BGK41" s="52"/>
      <c r="BGL41" s="52"/>
      <c r="BGM41" s="52"/>
      <c r="BGN41" s="52"/>
      <c r="BGO41" s="52"/>
      <c r="BGP41" s="52"/>
      <c r="BGQ41" s="52"/>
      <c r="BGR41" s="52"/>
      <c r="BGS41" s="52"/>
      <c r="BGT41" s="52"/>
      <c r="BGU41" s="52"/>
      <c r="BGV41" s="52"/>
      <c r="BGW41" s="52"/>
      <c r="BGX41" s="52"/>
      <c r="BGY41" s="52"/>
      <c r="BGZ41" s="52"/>
      <c r="BHA41" s="52"/>
      <c r="BHB41" s="52"/>
      <c r="BHC41" s="52"/>
      <c r="BHD41" s="52"/>
      <c r="BHE41" s="52"/>
      <c r="BHF41" s="52"/>
      <c r="BHG41" s="52"/>
      <c r="BHH41" s="52"/>
      <c r="BHI41" s="52"/>
      <c r="BHJ41" s="52"/>
      <c r="BHK41" s="52"/>
      <c r="BHL41" s="52"/>
      <c r="BHM41" s="52"/>
      <c r="BHN41" s="52"/>
      <c r="BHO41" s="52"/>
      <c r="BHP41" s="52"/>
      <c r="BHQ41" s="52"/>
      <c r="BHR41" s="52"/>
      <c r="BHS41" s="52"/>
      <c r="BHT41" s="52"/>
      <c r="BHU41" s="52"/>
      <c r="BHV41" s="52"/>
      <c r="BHW41" s="52"/>
      <c r="BHX41" s="52"/>
      <c r="BHY41" s="52"/>
      <c r="BHZ41" s="52"/>
      <c r="BIA41" s="52"/>
      <c r="BIB41" s="52"/>
      <c r="BIC41" s="52"/>
      <c r="BID41" s="52"/>
      <c r="BIE41" s="52"/>
      <c r="BIF41" s="52"/>
      <c r="BIG41" s="52"/>
      <c r="BIH41" s="52"/>
      <c r="BII41" s="52"/>
      <c r="BIJ41" s="52"/>
      <c r="BIK41" s="52"/>
      <c r="BIL41" s="52"/>
      <c r="BIM41" s="52"/>
      <c r="BIN41" s="52"/>
      <c r="BIO41" s="52"/>
      <c r="BIP41" s="52"/>
      <c r="BIQ41" s="52"/>
      <c r="BIR41" s="52"/>
      <c r="BIS41" s="52"/>
      <c r="BIT41" s="52"/>
      <c r="BIU41" s="52"/>
      <c r="BIV41" s="52"/>
      <c r="BIW41" s="52"/>
      <c r="BIX41" s="52"/>
      <c r="BIY41" s="52"/>
      <c r="BIZ41" s="52"/>
      <c r="BJA41" s="52"/>
      <c r="BJB41" s="52"/>
      <c r="BJC41" s="52"/>
      <c r="BJD41" s="52"/>
      <c r="BJE41" s="52"/>
      <c r="BJF41" s="52"/>
      <c r="BJG41" s="52"/>
      <c r="BJH41" s="52"/>
      <c r="BJI41" s="52"/>
      <c r="BJJ41" s="52"/>
      <c r="BJK41" s="52"/>
      <c r="BJL41" s="52"/>
      <c r="BJM41" s="52"/>
      <c r="BJN41" s="52"/>
      <c r="BJO41" s="52"/>
      <c r="BJP41" s="52"/>
      <c r="BJQ41" s="52"/>
      <c r="BJR41" s="52"/>
      <c r="BJS41" s="52"/>
      <c r="BJT41" s="52"/>
      <c r="BJU41" s="52"/>
      <c r="BJV41" s="52"/>
      <c r="BJW41" s="52"/>
      <c r="BJX41" s="52"/>
      <c r="BJY41" s="52"/>
      <c r="BJZ41" s="52"/>
      <c r="BKA41" s="52"/>
      <c r="BKB41" s="52"/>
      <c r="BKC41" s="52"/>
      <c r="BKD41" s="52"/>
      <c r="BKE41" s="52"/>
      <c r="BKF41" s="52"/>
      <c r="BKG41" s="52"/>
      <c r="BKH41" s="52"/>
      <c r="BKI41" s="52"/>
      <c r="BKJ41" s="52"/>
      <c r="BKK41" s="52"/>
      <c r="BKL41" s="52"/>
      <c r="BKM41" s="52"/>
      <c r="BKN41" s="52"/>
      <c r="BKO41" s="52"/>
      <c r="BKP41" s="52"/>
      <c r="BKQ41" s="52"/>
      <c r="BKR41" s="52"/>
      <c r="BKS41" s="52"/>
      <c r="BKT41" s="52"/>
      <c r="BKU41" s="52"/>
      <c r="BKV41" s="52"/>
      <c r="BKW41" s="52"/>
      <c r="BKX41" s="52"/>
      <c r="BKY41" s="52"/>
      <c r="BKZ41" s="52"/>
      <c r="BLA41" s="52"/>
      <c r="BLB41" s="52"/>
      <c r="BLC41" s="52"/>
      <c r="BLD41" s="52"/>
      <c r="BLE41" s="52"/>
      <c r="BLF41" s="52"/>
      <c r="BLG41" s="52"/>
      <c r="BLH41" s="52"/>
      <c r="BLI41" s="52"/>
      <c r="BLJ41" s="52"/>
      <c r="BLK41" s="52"/>
      <c r="BLL41" s="52"/>
      <c r="BLM41" s="52"/>
      <c r="BLN41" s="52"/>
      <c r="BLO41" s="52"/>
      <c r="BLP41" s="52"/>
      <c r="BLQ41" s="52"/>
      <c r="BLR41" s="52"/>
      <c r="BLS41" s="52"/>
      <c r="BLT41" s="52"/>
      <c r="BLU41" s="52"/>
      <c r="BLV41" s="52"/>
      <c r="BLW41" s="52"/>
      <c r="BLX41" s="52"/>
      <c r="BLY41" s="52"/>
      <c r="BLZ41" s="52"/>
      <c r="BMA41" s="52"/>
      <c r="BMB41" s="52"/>
      <c r="BMC41" s="52"/>
      <c r="BMD41" s="52"/>
      <c r="BME41" s="52"/>
      <c r="BMF41" s="52"/>
      <c r="BMG41" s="52"/>
      <c r="BMH41" s="52"/>
      <c r="BMI41" s="52"/>
      <c r="BMJ41" s="52"/>
      <c r="BMK41" s="52"/>
      <c r="BML41" s="52"/>
      <c r="BMM41" s="52"/>
      <c r="BMN41" s="52"/>
      <c r="BMO41" s="52"/>
      <c r="BMP41" s="52"/>
      <c r="BMQ41" s="52"/>
      <c r="BMR41" s="52"/>
      <c r="BMS41" s="52"/>
      <c r="BMT41" s="52"/>
      <c r="BMU41" s="52"/>
      <c r="BMV41" s="52"/>
      <c r="BMW41" s="52"/>
      <c r="BMX41" s="52"/>
      <c r="BMY41" s="52"/>
      <c r="BMZ41" s="52"/>
      <c r="BNA41" s="52"/>
      <c r="BNB41" s="52"/>
      <c r="BNC41" s="52"/>
      <c r="BND41" s="52"/>
      <c r="BNE41" s="52"/>
      <c r="BNF41" s="52"/>
      <c r="BNG41" s="52"/>
      <c r="BNH41" s="52"/>
      <c r="BNI41" s="52"/>
      <c r="BNJ41" s="52"/>
      <c r="BNK41" s="52"/>
      <c r="BNL41" s="52"/>
      <c r="BNM41" s="52"/>
      <c r="BNN41" s="52"/>
      <c r="BNO41" s="52"/>
      <c r="BNP41" s="52"/>
      <c r="BNQ41" s="52"/>
      <c r="BNR41" s="52"/>
      <c r="BNS41" s="52"/>
      <c r="BNT41" s="52"/>
      <c r="BNU41" s="52"/>
      <c r="BNV41" s="52"/>
      <c r="BNW41" s="52"/>
      <c r="BNX41" s="52"/>
      <c r="BNY41" s="52"/>
      <c r="BNZ41" s="52"/>
      <c r="BOA41" s="52"/>
      <c r="BOB41" s="52"/>
      <c r="BOC41" s="52"/>
      <c r="BOD41" s="52"/>
      <c r="BOE41" s="52"/>
      <c r="BOF41" s="52"/>
      <c r="BOG41" s="52"/>
      <c r="BOH41" s="52"/>
      <c r="BOI41" s="52"/>
      <c r="BOJ41" s="52"/>
      <c r="BOK41" s="52"/>
      <c r="BOL41" s="52"/>
      <c r="BOM41" s="52"/>
      <c r="BON41" s="52"/>
      <c r="BOO41" s="52"/>
      <c r="BOP41" s="52"/>
      <c r="BOQ41" s="52"/>
      <c r="BOR41" s="52"/>
      <c r="BOS41" s="52"/>
      <c r="BOT41" s="52"/>
      <c r="BOU41" s="52"/>
      <c r="BOV41" s="52"/>
      <c r="BOW41" s="52"/>
      <c r="BOX41" s="52"/>
      <c r="BOY41" s="52"/>
      <c r="BOZ41" s="52"/>
      <c r="BPA41" s="52"/>
      <c r="BPB41" s="52"/>
      <c r="BPC41" s="52"/>
      <c r="BPD41" s="52"/>
      <c r="BPE41" s="52"/>
      <c r="BPF41" s="52"/>
      <c r="BPG41" s="52"/>
      <c r="BPH41" s="52"/>
      <c r="BPI41" s="52"/>
      <c r="BPJ41" s="52"/>
      <c r="BPK41" s="52"/>
      <c r="BPL41" s="52"/>
      <c r="BPM41" s="52"/>
      <c r="BPN41" s="52"/>
      <c r="BPO41" s="52"/>
      <c r="BPP41" s="52"/>
      <c r="BPQ41" s="52"/>
      <c r="BPR41" s="52"/>
      <c r="BPS41" s="52"/>
      <c r="BPT41" s="52"/>
      <c r="BPU41" s="52"/>
      <c r="BPV41" s="52"/>
      <c r="BPW41" s="52"/>
      <c r="BPX41" s="52"/>
      <c r="BPY41" s="52"/>
      <c r="BPZ41" s="52"/>
      <c r="BQA41" s="52"/>
      <c r="BQB41" s="52"/>
      <c r="BQC41" s="52"/>
      <c r="BQD41" s="52"/>
      <c r="BQE41" s="52"/>
      <c r="BQF41" s="52"/>
      <c r="BQG41" s="52"/>
      <c r="BQH41" s="52"/>
      <c r="BQI41" s="52"/>
      <c r="BQJ41" s="52"/>
      <c r="BQK41" s="52"/>
      <c r="BQL41" s="52"/>
      <c r="BQM41" s="52"/>
      <c r="BQN41" s="52"/>
      <c r="BQO41" s="52"/>
      <c r="BQP41" s="52"/>
      <c r="BQQ41" s="52"/>
      <c r="BQR41" s="52"/>
      <c r="BQS41" s="52"/>
      <c r="BQT41" s="52"/>
      <c r="BQU41" s="52"/>
      <c r="BQV41" s="52"/>
      <c r="BQW41" s="52"/>
      <c r="BQX41" s="52"/>
      <c r="BQY41" s="52"/>
      <c r="BQZ41" s="52"/>
      <c r="BRA41" s="52"/>
      <c r="BRB41" s="52"/>
      <c r="BRC41" s="52"/>
      <c r="BRD41" s="52"/>
      <c r="BRE41" s="52"/>
      <c r="BRF41" s="52"/>
      <c r="BRG41" s="52"/>
      <c r="BRH41" s="52"/>
      <c r="BRI41" s="52"/>
      <c r="BRJ41" s="52"/>
      <c r="BRK41" s="52"/>
      <c r="BRL41" s="52"/>
      <c r="BRM41" s="52"/>
      <c r="BRN41" s="52"/>
      <c r="BRO41" s="52"/>
      <c r="BRP41" s="52"/>
      <c r="BRQ41" s="52"/>
      <c r="BRR41" s="52"/>
      <c r="BRS41" s="52"/>
      <c r="BRT41" s="52"/>
      <c r="BRU41" s="52"/>
      <c r="BRV41" s="52"/>
      <c r="BRW41" s="52"/>
      <c r="BRX41" s="52"/>
      <c r="BRY41" s="52"/>
      <c r="BRZ41" s="52"/>
      <c r="BSA41" s="52"/>
      <c r="BSB41" s="52"/>
      <c r="BSC41" s="52"/>
      <c r="BSD41" s="52"/>
      <c r="BSE41" s="52"/>
      <c r="BSF41" s="52"/>
      <c r="BSG41" s="52"/>
      <c r="BSH41" s="52"/>
      <c r="BSI41" s="52"/>
      <c r="BSJ41" s="52"/>
      <c r="BSK41" s="52"/>
      <c r="BSL41" s="52"/>
      <c r="BSM41" s="52"/>
      <c r="BSN41" s="52"/>
      <c r="BSO41" s="52"/>
      <c r="BSP41" s="52"/>
      <c r="BSQ41" s="52"/>
      <c r="BSR41" s="52"/>
      <c r="BSS41" s="52"/>
      <c r="BST41" s="52"/>
      <c r="BSU41" s="52"/>
      <c r="BSV41" s="52"/>
      <c r="BSW41" s="52"/>
      <c r="BSX41" s="52"/>
      <c r="BSY41" s="52"/>
      <c r="BSZ41" s="52"/>
      <c r="BTA41" s="52"/>
      <c r="BTB41" s="52"/>
      <c r="BTC41" s="52"/>
      <c r="BTD41" s="52"/>
      <c r="BTE41" s="52"/>
      <c r="BTF41" s="52"/>
      <c r="BTG41" s="52"/>
      <c r="BTH41" s="52"/>
      <c r="BTI41" s="52"/>
      <c r="BTJ41" s="52"/>
      <c r="BTK41" s="52"/>
      <c r="BTL41" s="52"/>
      <c r="BTM41" s="52"/>
      <c r="BTN41" s="52"/>
      <c r="BTO41" s="52"/>
      <c r="BTP41" s="52"/>
      <c r="BTQ41" s="52"/>
      <c r="BTR41" s="52"/>
      <c r="BTS41" s="52"/>
      <c r="BTT41" s="52"/>
      <c r="BTU41" s="52"/>
      <c r="BTV41" s="52"/>
      <c r="BTW41" s="52"/>
      <c r="BTX41" s="52"/>
      <c r="BTY41" s="52"/>
      <c r="BTZ41" s="52"/>
      <c r="BUA41" s="52"/>
      <c r="BUB41" s="52"/>
      <c r="BUC41" s="52"/>
      <c r="BUD41" s="52"/>
      <c r="BUE41" s="52"/>
      <c r="BUF41" s="52"/>
      <c r="BUG41" s="52"/>
      <c r="BUH41" s="52"/>
      <c r="BUI41" s="52"/>
      <c r="BUJ41" s="52"/>
      <c r="BUK41" s="52"/>
      <c r="BUL41" s="52"/>
      <c r="BUM41" s="52"/>
      <c r="BUN41" s="52"/>
      <c r="BUO41" s="52"/>
      <c r="BUP41" s="52"/>
      <c r="BUQ41" s="52"/>
      <c r="BUR41" s="52"/>
      <c r="BUS41" s="52"/>
      <c r="BUT41" s="52"/>
      <c r="BUU41" s="52"/>
      <c r="BUV41" s="52"/>
      <c r="BUW41" s="52"/>
      <c r="BUX41" s="52"/>
      <c r="BUY41" s="52"/>
      <c r="BUZ41" s="52"/>
      <c r="BVA41" s="52"/>
      <c r="BVB41" s="52"/>
      <c r="BVC41" s="52"/>
      <c r="BVD41" s="52"/>
      <c r="BVE41" s="52"/>
      <c r="BVF41" s="52"/>
      <c r="BVG41" s="52"/>
      <c r="BVH41" s="52"/>
      <c r="BVI41" s="52"/>
      <c r="BVJ41" s="52"/>
      <c r="BVK41" s="52"/>
      <c r="BVL41" s="52"/>
      <c r="BVM41" s="52"/>
      <c r="BVN41" s="52"/>
      <c r="BVO41" s="52"/>
      <c r="BVP41" s="52"/>
      <c r="BVQ41" s="52"/>
      <c r="BVR41" s="52"/>
      <c r="BVS41" s="52"/>
      <c r="BVT41" s="52"/>
      <c r="BVU41" s="52"/>
      <c r="BVV41" s="52"/>
      <c r="BVW41" s="52"/>
      <c r="BVX41" s="52"/>
      <c r="BVY41" s="52"/>
      <c r="BVZ41" s="52"/>
      <c r="BWA41" s="52"/>
      <c r="BWB41" s="52"/>
      <c r="BWC41" s="52"/>
      <c r="BWD41" s="52"/>
      <c r="BWE41" s="52"/>
      <c r="BWF41" s="52"/>
      <c r="BWG41" s="52"/>
      <c r="BWH41" s="52"/>
      <c r="BWI41" s="52"/>
      <c r="BWJ41" s="52"/>
      <c r="BWK41" s="52"/>
      <c r="BWL41" s="52"/>
      <c r="BWM41" s="52"/>
      <c r="BWN41" s="52"/>
      <c r="BWO41" s="52"/>
      <c r="BWP41" s="52"/>
      <c r="BWQ41" s="52"/>
      <c r="BWR41" s="52"/>
      <c r="BWS41" s="52"/>
      <c r="BWT41" s="52"/>
      <c r="BWU41" s="52"/>
      <c r="BWV41" s="52"/>
      <c r="BWW41" s="52"/>
      <c r="BWX41" s="52"/>
      <c r="BWY41" s="52"/>
      <c r="BWZ41" s="52"/>
      <c r="BXA41" s="52"/>
      <c r="BXB41" s="52"/>
      <c r="BXC41" s="52"/>
      <c r="BXD41" s="52"/>
      <c r="BXE41" s="52"/>
      <c r="BXF41" s="52"/>
      <c r="BXG41" s="52"/>
      <c r="BXH41" s="52"/>
      <c r="BXI41" s="52"/>
      <c r="BXJ41" s="52"/>
      <c r="BXK41" s="52"/>
      <c r="BXL41" s="52"/>
      <c r="BXM41" s="52"/>
      <c r="BXN41" s="52"/>
      <c r="BXO41" s="52"/>
      <c r="BXP41" s="52"/>
      <c r="BXQ41" s="52"/>
      <c r="BXR41" s="52"/>
      <c r="BXS41" s="52"/>
      <c r="BXT41" s="52"/>
      <c r="BXU41" s="52"/>
      <c r="BXV41" s="52"/>
      <c r="BXW41" s="52"/>
      <c r="BXX41" s="52"/>
      <c r="BXY41" s="52"/>
      <c r="BXZ41" s="52"/>
      <c r="BYA41" s="52"/>
      <c r="BYB41" s="52"/>
      <c r="BYC41" s="52"/>
      <c r="BYD41" s="52"/>
      <c r="BYE41" s="52"/>
      <c r="BYF41" s="52"/>
      <c r="BYG41" s="52"/>
      <c r="BYH41" s="52"/>
      <c r="BYI41" s="52"/>
      <c r="BYJ41" s="52"/>
      <c r="BYK41" s="52"/>
      <c r="BYL41" s="52"/>
      <c r="BYM41" s="52"/>
      <c r="BYN41" s="52"/>
      <c r="BYO41" s="52"/>
      <c r="BYP41" s="52"/>
      <c r="BYQ41" s="52"/>
      <c r="BYR41" s="52"/>
      <c r="BYS41" s="52"/>
      <c r="BYT41" s="52"/>
      <c r="BYU41" s="52"/>
      <c r="BYV41" s="52"/>
      <c r="BYW41" s="52"/>
      <c r="BYX41" s="52"/>
      <c r="BYY41" s="52"/>
      <c r="BYZ41" s="52"/>
      <c r="BZA41" s="52"/>
      <c r="BZB41" s="52"/>
      <c r="BZC41" s="52"/>
      <c r="BZD41" s="52"/>
      <c r="BZE41" s="52"/>
      <c r="BZF41" s="52"/>
      <c r="BZG41" s="52"/>
      <c r="BZH41" s="52"/>
      <c r="BZI41" s="52"/>
      <c r="BZJ41" s="52"/>
      <c r="BZK41" s="52"/>
      <c r="BZL41" s="52"/>
      <c r="BZM41" s="52"/>
      <c r="BZN41" s="52"/>
      <c r="BZO41" s="52"/>
      <c r="BZP41" s="52"/>
      <c r="BZQ41" s="52"/>
      <c r="BZR41" s="52"/>
      <c r="BZS41" s="52"/>
      <c r="BZT41" s="52"/>
      <c r="BZU41" s="52"/>
      <c r="BZV41" s="52"/>
      <c r="BZW41" s="52"/>
      <c r="BZX41" s="52"/>
      <c r="BZY41" s="52"/>
      <c r="BZZ41" s="52"/>
      <c r="CAA41" s="52"/>
      <c r="CAB41" s="52"/>
      <c r="CAC41" s="52"/>
      <c r="CAD41" s="52"/>
      <c r="CAE41" s="52"/>
      <c r="CAF41" s="52"/>
      <c r="CAG41" s="52"/>
      <c r="CAH41" s="52"/>
      <c r="CAI41" s="52"/>
      <c r="CAJ41" s="52"/>
      <c r="CAK41" s="52"/>
      <c r="CAL41" s="52"/>
      <c r="CAM41" s="52"/>
      <c r="CAN41" s="52"/>
      <c r="CAO41" s="52"/>
      <c r="CAP41" s="52"/>
      <c r="CAQ41" s="52"/>
      <c r="CAR41" s="52"/>
      <c r="CAS41" s="52"/>
      <c r="CAT41" s="52"/>
      <c r="CAU41" s="52"/>
      <c r="CAV41" s="52"/>
      <c r="CAW41" s="52"/>
      <c r="CAX41" s="52"/>
      <c r="CAY41" s="52"/>
      <c r="CAZ41" s="52"/>
      <c r="CBA41" s="52"/>
      <c r="CBB41" s="52"/>
      <c r="CBC41" s="52"/>
      <c r="CBD41" s="52"/>
      <c r="CBE41" s="52"/>
      <c r="CBF41" s="52"/>
      <c r="CBG41" s="52"/>
      <c r="CBH41" s="52"/>
      <c r="CBI41" s="52"/>
      <c r="CBJ41" s="52"/>
      <c r="CBK41" s="52"/>
      <c r="CBL41" s="52"/>
      <c r="CBM41" s="52"/>
      <c r="CBN41" s="52"/>
      <c r="CBO41" s="52"/>
      <c r="CBP41" s="52"/>
      <c r="CBQ41" s="52"/>
      <c r="CBR41" s="52"/>
      <c r="CBS41" s="52"/>
      <c r="CBT41" s="52"/>
      <c r="CBU41" s="52"/>
      <c r="CBV41" s="52"/>
      <c r="CBW41" s="52"/>
      <c r="CBX41" s="52"/>
      <c r="CBY41" s="52"/>
      <c r="CBZ41" s="52"/>
      <c r="CCA41" s="52"/>
      <c r="CCB41" s="52"/>
      <c r="CCC41" s="52"/>
      <c r="CCD41" s="52"/>
      <c r="CCE41" s="52"/>
      <c r="CCF41" s="52"/>
      <c r="CCG41" s="52"/>
      <c r="CCH41" s="52"/>
      <c r="CCI41" s="52"/>
      <c r="CCJ41" s="52"/>
      <c r="CCK41" s="52"/>
      <c r="CCL41" s="52"/>
      <c r="CCM41" s="52"/>
      <c r="CCN41" s="52"/>
      <c r="CCO41" s="52"/>
      <c r="CCP41" s="52"/>
      <c r="CCQ41" s="52"/>
      <c r="CCR41" s="52"/>
      <c r="CCS41" s="52"/>
      <c r="CCT41" s="52"/>
      <c r="CCU41" s="52"/>
      <c r="CCV41" s="52"/>
      <c r="CCW41" s="52"/>
      <c r="CCX41" s="52"/>
      <c r="CCY41" s="52"/>
      <c r="CCZ41" s="52"/>
      <c r="CDA41" s="52"/>
      <c r="CDB41" s="52"/>
      <c r="CDC41" s="52"/>
      <c r="CDD41" s="52"/>
      <c r="CDE41" s="52"/>
      <c r="CDF41" s="52"/>
      <c r="CDG41" s="52"/>
      <c r="CDH41" s="52"/>
      <c r="CDI41" s="52"/>
      <c r="CDJ41" s="52"/>
      <c r="CDK41" s="52"/>
      <c r="CDL41" s="52"/>
      <c r="CDM41" s="52"/>
      <c r="CDN41" s="52"/>
      <c r="CDO41" s="52"/>
      <c r="CDP41" s="52"/>
      <c r="CDQ41" s="52"/>
      <c r="CDR41" s="52"/>
      <c r="CDS41" s="52"/>
      <c r="CDT41" s="52"/>
      <c r="CDU41" s="52"/>
      <c r="CDV41" s="52"/>
      <c r="CDW41" s="52"/>
      <c r="CDX41" s="52"/>
      <c r="CDY41" s="52"/>
      <c r="CDZ41" s="52"/>
      <c r="CEA41" s="52"/>
      <c r="CEB41" s="52"/>
      <c r="CEC41" s="52"/>
      <c r="CED41" s="52"/>
      <c r="CEE41" s="52"/>
      <c r="CEF41" s="52"/>
      <c r="CEG41" s="52"/>
      <c r="CEH41" s="52"/>
      <c r="CEI41" s="52"/>
      <c r="CEJ41" s="52"/>
      <c r="CEK41" s="52"/>
      <c r="CEL41" s="52"/>
      <c r="CEM41" s="52"/>
      <c r="CEN41" s="52"/>
      <c r="CEO41" s="52"/>
      <c r="CEP41" s="52"/>
      <c r="CEQ41" s="52"/>
      <c r="CER41" s="52"/>
      <c r="CES41" s="52"/>
      <c r="CET41" s="52"/>
      <c r="CEU41" s="52"/>
      <c r="CEV41" s="52"/>
      <c r="CEW41" s="52"/>
      <c r="CEX41" s="52"/>
      <c r="CEY41" s="52"/>
      <c r="CEZ41" s="52"/>
      <c r="CFA41" s="52"/>
      <c r="CFB41" s="52"/>
      <c r="CFC41" s="52"/>
      <c r="CFD41" s="52"/>
      <c r="CFE41" s="52"/>
      <c r="CFF41" s="52"/>
      <c r="CFG41" s="52"/>
      <c r="CFH41" s="52"/>
      <c r="CFI41" s="52"/>
      <c r="CFJ41" s="52"/>
      <c r="CFK41" s="52"/>
      <c r="CFL41" s="52"/>
      <c r="CFM41" s="52"/>
      <c r="CFN41" s="52"/>
      <c r="CFO41" s="52"/>
      <c r="CFP41" s="52"/>
      <c r="CFQ41" s="52"/>
      <c r="CFR41" s="52"/>
      <c r="CFS41" s="52"/>
      <c r="CFT41" s="52"/>
      <c r="CFU41" s="52"/>
      <c r="CFV41" s="52"/>
      <c r="CFW41" s="52"/>
      <c r="CFX41" s="52"/>
      <c r="CFY41" s="52"/>
      <c r="CFZ41" s="52"/>
      <c r="CGA41" s="52"/>
      <c r="CGB41" s="52"/>
      <c r="CGC41" s="52"/>
      <c r="CGD41" s="52"/>
      <c r="CGE41" s="52"/>
      <c r="CGF41" s="52"/>
      <c r="CGG41" s="52"/>
      <c r="CGH41" s="52"/>
      <c r="CGI41" s="52"/>
      <c r="CGJ41" s="52"/>
      <c r="CGK41" s="52"/>
      <c r="CGL41" s="52"/>
      <c r="CGM41" s="52"/>
      <c r="CGN41" s="52"/>
      <c r="CGO41" s="52"/>
      <c r="CGP41" s="52"/>
      <c r="CGQ41" s="52"/>
      <c r="CGR41" s="52"/>
      <c r="CGS41" s="52"/>
      <c r="CGT41" s="52"/>
      <c r="CGU41" s="52"/>
      <c r="CGV41" s="52"/>
      <c r="CGW41" s="52"/>
      <c r="CGX41" s="52"/>
      <c r="CGY41" s="52"/>
      <c r="CGZ41" s="52"/>
      <c r="CHA41" s="52"/>
      <c r="CHB41" s="52"/>
      <c r="CHC41" s="52"/>
      <c r="CHD41" s="52"/>
      <c r="CHE41" s="52"/>
      <c r="CHF41" s="52"/>
      <c r="CHG41" s="52"/>
      <c r="CHH41" s="52"/>
      <c r="CHI41" s="52"/>
      <c r="CHJ41" s="52"/>
      <c r="CHK41" s="52"/>
      <c r="CHL41" s="52"/>
      <c r="CHM41" s="52"/>
      <c r="CHN41" s="52"/>
      <c r="CHO41" s="52"/>
      <c r="CHP41" s="52"/>
      <c r="CHQ41" s="52"/>
      <c r="CHR41" s="52"/>
      <c r="CHS41" s="52"/>
      <c r="CHT41" s="52"/>
      <c r="CHU41" s="52"/>
      <c r="CHV41" s="52"/>
      <c r="CHW41" s="52"/>
      <c r="CHX41" s="52"/>
      <c r="CHY41" s="52"/>
      <c r="CHZ41" s="52"/>
      <c r="CIA41" s="52"/>
      <c r="CIB41" s="52"/>
      <c r="CIC41" s="52"/>
      <c r="CID41" s="52"/>
      <c r="CIE41" s="52"/>
      <c r="CIF41" s="52"/>
      <c r="CIG41" s="52"/>
      <c r="CIH41" s="52"/>
      <c r="CII41" s="52"/>
      <c r="CIJ41" s="52"/>
      <c r="CIK41" s="52"/>
      <c r="CIL41" s="52"/>
      <c r="CIM41" s="52"/>
      <c r="CIN41" s="52"/>
      <c r="CIO41" s="52"/>
      <c r="CIP41" s="52"/>
      <c r="CIQ41" s="52"/>
      <c r="CIR41" s="52"/>
      <c r="CIS41" s="52"/>
      <c r="CIT41" s="52"/>
      <c r="CIU41" s="52"/>
      <c r="CIV41" s="52"/>
      <c r="CIW41" s="52"/>
      <c r="CIX41" s="52"/>
      <c r="CIY41" s="52"/>
      <c r="CIZ41" s="52"/>
      <c r="CJA41" s="52"/>
      <c r="CJB41" s="52"/>
      <c r="CJC41" s="52"/>
      <c r="CJD41" s="52"/>
      <c r="CJE41" s="52"/>
      <c r="CJF41" s="52"/>
      <c r="CJG41" s="52"/>
      <c r="CJH41" s="52"/>
      <c r="CJI41" s="52"/>
      <c r="CJJ41" s="52"/>
      <c r="CJK41" s="52"/>
      <c r="CJL41" s="52"/>
      <c r="CJM41" s="52"/>
      <c r="CJN41" s="52"/>
      <c r="CJO41" s="52"/>
      <c r="CJP41" s="52"/>
      <c r="CJQ41" s="52"/>
      <c r="CJR41" s="52"/>
      <c r="CJS41" s="52"/>
      <c r="CJT41" s="52"/>
      <c r="CJU41" s="52"/>
      <c r="CJV41" s="52"/>
      <c r="CJW41" s="52"/>
      <c r="CJX41" s="52"/>
      <c r="CJY41" s="52"/>
      <c r="CJZ41" s="52"/>
      <c r="CKA41" s="52"/>
      <c r="CKB41" s="52"/>
      <c r="CKC41" s="52"/>
      <c r="CKD41" s="52"/>
      <c r="CKE41" s="52"/>
      <c r="CKF41" s="52"/>
      <c r="CKG41" s="52"/>
      <c r="CKH41" s="52"/>
      <c r="CKI41" s="52"/>
      <c r="CKJ41" s="52"/>
      <c r="CKK41" s="52"/>
      <c r="CKL41" s="52"/>
      <c r="CKM41" s="52"/>
      <c r="CKN41" s="52"/>
      <c r="CKO41" s="52"/>
      <c r="CKP41" s="52"/>
      <c r="CKQ41" s="52"/>
      <c r="CKR41" s="52"/>
      <c r="CKS41" s="52"/>
      <c r="CKT41" s="52"/>
      <c r="CKU41" s="52"/>
      <c r="CKV41" s="52"/>
      <c r="CKW41" s="52"/>
      <c r="CKX41" s="52"/>
      <c r="CKY41" s="52"/>
      <c r="CKZ41" s="52"/>
      <c r="CLA41" s="52"/>
      <c r="CLB41" s="52"/>
      <c r="CLC41" s="52"/>
      <c r="CLD41" s="52"/>
      <c r="CLE41" s="52"/>
      <c r="CLF41" s="52"/>
      <c r="CLG41" s="52"/>
      <c r="CLH41" s="52"/>
      <c r="CLI41" s="52"/>
      <c r="CLJ41" s="52"/>
      <c r="CLK41" s="52"/>
      <c r="CLL41" s="52"/>
      <c r="CLM41" s="52"/>
      <c r="CLN41" s="52"/>
      <c r="CLO41" s="52"/>
      <c r="CLP41" s="52"/>
      <c r="CLQ41" s="52"/>
      <c r="CLR41" s="52"/>
      <c r="CLS41" s="52"/>
      <c r="CLT41" s="52"/>
      <c r="CLU41" s="52"/>
      <c r="CLV41" s="52"/>
      <c r="CLW41" s="52"/>
      <c r="CLX41" s="52"/>
      <c r="CLY41" s="52"/>
      <c r="CLZ41" s="52"/>
      <c r="CMA41" s="52"/>
      <c r="CMB41" s="52"/>
      <c r="CMC41" s="52"/>
      <c r="CMD41" s="52"/>
      <c r="CME41" s="52"/>
      <c r="CMF41" s="52"/>
      <c r="CMG41" s="52"/>
      <c r="CMH41" s="52"/>
      <c r="CMI41" s="52"/>
      <c r="CMJ41" s="52"/>
      <c r="CMK41" s="52"/>
      <c r="CML41" s="52"/>
      <c r="CMM41" s="52"/>
      <c r="CMN41" s="52"/>
      <c r="CMO41" s="52"/>
      <c r="CMP41" s="52"/>
      <c r="CMQ41" s="52"/>
      <c r="CMR41" s="52"/>
      <c r="CMS41" s="52"/>
      <c r="CMT41" s="52"/>
      <c r="CMU41" s="52"/>
      <c r="CMV41" s="52"/>
      <c r="CMW41" s="52"/>
      <c r="CMX41" s="52"/>
      <c r="CMY41" s="52"/>
      <c r="CMZ41" s="52"/>
      <c r="CNA41" s="52"/>
      <c r="CNB41" s="52"/>
      <c r="CNC41" s="52"/>
      <c r="CND41" s="52"/>
      <c r="CNE41" s="52"/>
      <c r="CNF41" s="52"/>
      <c r="CNG41" s="52"/>
      <c r="CNH41" s="52"/>
      <c r="CNI41" s="52"/>
      <c r="CNJ41" s="52"/>
      <c r="CNK41" s="52"/>
      <c r="CNL41" s="52"/>
      <c r="CNM41" s="52"/>
      <c r="CNN41" s="52"/>
      <c r="CNO41" s="52"/>
      <c r="CNP41" s="52"/>
      <c r="CNQ41" s="52"/>
      <c r="CNR41" s="52"/>
      <c r="CNS41" s="52"/>
      <c r="CNT41" s="52"/>
      <c r="CNU41" s="52"/>
      <c r="CNV41" s="52"/>
      <c r="CNW41" s="52"/>
      <c r="CNX41" s="52"/>
      <c r="CNY41" s="52"/>
      <c r="CNZ41" s="52"/>
      <c r="COA41" s="52"/>
      <c r="COB41" s="52"/>
      <c r="COC41" s="52"/>
      <c r="COD41" s="52"/>
      <c r="COE41" s="52"/>
      <c r="COF41" s="52"/>
      <c r="COG41" s="52"/>
      <c r="COH41" s="52"/>
      <c r="COI41" s="52"/>
      <c r="COJ41" s="52"/>
      <c r="COK41" s="52"/>
      <c r="COL41" s="52"/>
      <c r="COM41" s="52"/>
      <c r="CON41" s="52"/>
      <c r="COO41" s="52"/>
      <c r="COP41" s="52"/>
      <c r="COQ41" s="52"/>
      <c r="COR41" s="52"/>
      <c r="COS41" s="52"/>
      <c r="COT41" s="52"/>
      <c r="COU41" s="52"/>
      <c r="COV41" s="52"/>
      <c r="COW41" s="52"/>
      <c r="COX41" s="52"/>
      <c r="COY41" s="52"/>
      <c r="COZ41" s="52"/>
      <c r="CPA41" s="52"/>
      <c r="CPB41" s="52"/>
      <c r="CPC41" s="52"/>
      <c r="CPD41" s="52"/>
      <c r="CPE41" s="52"/>
      <c r="CPF41" s="52"/>
      <c r="CPG41" s="52"/>
      <c r="CPH41" s="52"/>
      <c r="CPI41" s="52"/>
      <c r="CPJ41" s="52"/>
      <c r="CPK41" s="52"/>
      <c r="CPL41" s="52"/>
      <c r="CPM41" s="52"/>
      <c r="CPN41" s="52"/>
      <c r="CPO41" s="52"/>
      <c r="CPP41" s="52"/>
      <c r="CPQ41" s="52"/>
      <c r="CPR41" s="52"/>
      <c r="CPS41" s="52"/>
      <c r="CPT41" s="52"/>
      <c r="CPU41" s="52"/>
      <c r="CPV41" s="52"/>
      <c r="CPW41" s="52"/>
      <c r="CPX41" s="52"/>
      <c r="CPY41" s="52"/>
      <c r="CPZ41" s="52"/>
      <c r="CQA41" s="52"/>
      <c r="CQB41" s="52"/>
      <c r="CQC41" s="52"/>
      <c r="CQD41" s="52"/>
      <c r="CQE41" s="52"/>
      <c r="CQF41" s="52"/>
      <c r="CQG41" s="52"/>
      <c r="CQH41" s="52"/>
      <c r="CQI41" s="52"/>
      <c r="CQJ41" s="52"/>
      <c r="CQK41" s="52"/>
      <c r="CQL41" s="52"/>
      <c r="CQM41" s="52"/>
      <c r="CQN41" s="52"/>
      <c r="CQO41" s="52"/>
      <c r="CQP41" s="52"/>
      <c r="CQQ41" s="52"/>
      <c r="CQR41" s="52"/>
      <c r="CQS41" s="52"/>
      <c r="CQT41" s="52"/>
      <c r="CQU41" s="52"/>
      <c r="CQV41" s="52"/>
      <c r="CQW41" s="52"/>
      <c r="CQX41" s="52"/>
      <c r="CQY41" s="52"/>
      <c r="CQZ41" s="52"/>
      <c r="CRA41" s="52"/>
      <c r="CRB41" s="52"/>
      <c r="CRC41" s="52"/>
      <c r="CRD41" s="52"/>
      <c r="CRE41" s="52"/>
      <c r="CRF41" s="52"/>
      <c r="CRG41" s="52"/>
      <c r="CRH41" s="52"/>
      <c r="CRI41" s="52"/>
      <c r="CRJ41" s="52"/>
      <c r="CRK41" s="52"/>
      <c r="CRL41" s="52"/>
      <c r="CRM41" s="52"/>
      <c r="CRN41" s="52"/>
      <c r="CRO41" s="52"/>
      <c r="CRP41" s="52"/>
      <c r="CRQ41" s="52"/>
      <c r="CRR41" s="52"/>
      <c r="CRS41" s="52"/>
      <c r="CRT41" s="52"/>
      <c r="CRU41" s="52"/>
      <c r="CRV41" s="52"/>
      <c r="CRW41" s="52"/>
      <c r="CRX41" s="52"/>
      <c r="CRY41" s="52"/>
      <c r="CRZ41" s="52"/>
      <c r="CSA41" s="52"/>
      <c r="CSB41" s="52"/>
      <c r="CSC41" s="52"/>
      <c r="CSD41" s="52"/>
      <c r="CSE41" s="52"/>
      <c r="CSF41" s="52"/>
      <c r="CSG41" s="52"/>
      <c r="CSH41" s="52"/>
      <c r="CSI41" s="52"/>
      <c r="CSJ41" s="52"/>
      <c r="CSK41" s="52"/>
      <c r="CSL41" s="52"/>
      <c r="CSM41" s="52"/>
      <c r="CSN41" s="52"/>
      <c r="CSO41" s="52"/>
      <c r="CSP41" s="52"/>
      <c r="CSQ41" s="52"/>
      <c r="CSR41" s="52"/>
      <c r="CSS41" s="52"/>
      <c r="CST41" s="52"/>
      <c r="CSU41" s="52"/>
      <c r="CSV41" s="52"/>
      <c r="CSW41" s="52"/>
      <c r="CSX41" s="52"/>
      <c r="CSY41" s="52"/>
      <c r="CSZ41" s="52"/>
      <c r="CTA41" s="52"/>
      <c r="CTB41" s="52"/>
      <c r="CTC41" s="52"/>
      <c r="CTD41" s="52"/>
      <c r="CTE41" s="52"/>
      <c r="CTF41" s="52"/>
      <c r="CTG41" s="52"/>
      <c r="CTH41" s="52"/>
      <c r="CTI41" s="52"/>
      <c r="CTJ41" s="52"/>
      <c r="CTK41" s="52"/>
      <c r="CTL41" s="52"/>
      <c r="CTM41" s="52"/>
      <c r="CTN41" s="52"/>
      <c r="CTO41" s="52"/>
      <c r="CTP41" s="52"/>
      <c r="CTQ41" s="52"/>
      <c r="CTR41" s="52"/>
      <c r="CTS41" s="52"/>
      <c r="CTT41" s="52"/>
      <c r="CTU41" s="52"/>
      <c r="CTV41" s="52"/>
      <c r="CTW41" s="52"/>
      <c r="CTX41" s="52"/>
      <c r="CTY41" s="52"/>
      <c r="CTZ41" s="52"/>
      <c r="CUA41" s="52"/>
      <c r="CUB41" s="52"/>
      <c r="CUC41" s="52"/>
      <c r="CUD41" s="52"/>
      <c r="CUE41" s="52"/>
      <c r="CUF41" s="52"/>
      <c r="CUG41" s="52"/>
      <c r="CUH41" s="52"/>
      <c r="CUI41" s="52"/>
      <c r="CUJ41" s="52"/>
      <c r="CUK41" s="52"/>
      <c r="CUL41" s="52"/>
      <c r="CUM41" s="52"/>
      <c r="CUN41" s="52"/>
      <c r="CUO41" s="52"/>
      <c r="CUP41" s="52"/>
      <c r="CUQ41" s="52"/>
      <c r="CUR41" s="52"/>
      <c r="CUS41" s="52"/>
      <c r="CUT41" s="52"/>
      <c r="CUU41" s="52"/>
      <c r="CUV41" s="52"/>
      <c r="CUW41" s="52"/>
      <c r="CUX41" s="52"/>
      <c r="CUY41" s="52"/>
      <c r="CUZ41" s="52"/>
      <c r="CVA41" s="52"/>
      <c r="CVB41" s="52"/>
      <c r="CVC41" s="52"/>
      <c r="CVD41" s="52"/>
      <c r="CVE41" s="52"/>
      <c r="CVF41" s="52"/>
      <c r="CVG41" s="52"/>
      <c r="CVH41" s="52"/>
      <c r="CVI41" s="52"/>
      <c r="CVJ41" s="52"/>
      <c r="CVK41" s="52"/>
      <c r="CVL41" s="52"/>
      <c r="CVM41" s="52"/>
      <c r="CVN41" s="52"/>
      <c r="CVO41" s="52"/>
      <c r="CVP41" s="52"/>
      <c r="CVQ41" s="52"/>
      <c r="CVR41" s="52"/>
      <c r="CVS41" s="52"/>
      <c r="CVT41" s="52"/>
      <c r="CVU41" s="52"/>
      <c r="CVV41" s="52"/>
      <c r="CVW41" s="52"/>
      <c r="CVX41" s="52"/>
      <c r="CVY41" s="52"/>
      <c r="CVZ41" s="52"/>
      <c r="CWA41" s="52"/>
      <c r="CWB41" s="52"/>
      <c r="CWC41" s="52"/>
      <c r="CWD41" s="52"/>
      <c r="CWE41" s="52"/>
      <c r="CWF41" s="52"/>
      <c r="CWG41" s="52"/>
      <c r="CWH41" s="52"/>
      <c r="CWI41" s="52"/>
      <c r="CWJ41" s="52"/>
      <c r="CWK41" s="52"/>
      <c r="CWL41" s="52"/>
      <c r="CWM41" s="52"/>
      <c r="CWN41" s="52"/>
      <c r="CWO41" s="52"/>
      <c r="CWP41" s="52"/>
      <c r="CWQ41" s="52"/>
      <c r="CWR41" s="52"/>
      <c r="CWS41" s="52"/>
      <c r="CWT41" s="52"/>
      <c r="CWU41" s="52"/>
      <c r="CWV41" s="52"/>
      <c r="CWW41" s="52"/>
      <c r="CWX41" s="52"/>
      <c r="CWY41" s="52"/>
      <c r="CWZ41" s="52"/>
      <c r="CXA41" s="52"/>
      <c r="CXB41" s="52"/>
      <c r="CXC41" s="52"/>
      <c r="CXD41" s="52"/>
      <c r="CXE41" s="52"/>
      <c r="CXF41" s="52"/>
      <c r="CXG41" s="52"/>
      <c r="CXH41" s="52"/>
      <c r="CXI41" s="52"/>
      <c r="CXJ41" s="52"/>
      <c r="CXK41" s="52"/>
      <c r="CXL41" s="52"/>
      <c r="CXM41" s="52"/>
      <c r="CXN41" s="52"/>
      <c r="CXO41" s="52"/>
      <c r="CXP41" s="52"/>
      <c r="CXQ41" s="52"/>
      <c r="CXR41" s="52"/>
      <c r="CXS41" s="52"/>
      <c r="CXT41" s="52"/>
      <c r="CXU41" s="52"/>
      <c r="CXV41" s="52"/>
      <c r="CXW41" s="52"/>
      <c r="CXX41" s="52"/>
      <c r="CXY41" s="52"/>
      <c r="CXZ41" s="52"/>
      <c r="CYA41" s="52"/>
      <c r="CYB41" s="52"/>
      <c r="CYC41" s="52"/>
      <c r="CYD41" s="52"/>
      <c r="CYE41" s="52"/>
      <c r="CYF41" s="52"/>
      <c r="CYG41" s="52"/>
      <c r="CYH41" s="52"/>
      <c r="CYI41" s="52"/>
      <c r="CYJ41" s="52"/>
      <c r="CYK41" s="52"/>
      <c r="CYL41" s="52"/>
      <c r="CYM41" s="52"/>
      <c r="CYN41" s="52"/>
      <c r="CYO41" s="52"/>
      <c r="CYP41" s="52"/>
      <c r="CYQ41" s="52"/>
      <c r="CYR41" s="52"/>
      <c r="CYS41" s="52"/>
      <c r="CYT41" s="52"/>
      <c r="CYU41" s="52"/>
      <c r="CYV41" s="52"/>
      <c r="CYW41" s="52"/>
      <c r="CYX41" s="52"/>
      <c r="CYY41" s="52"/>
      <c r="CYZ41" s="52"/>
      <c r="CZA41" s="52"/>
      <c r="CZB41" s="52"/>
      <c r="CZC41" s="52"/>
      <c r="CZD41" s="52"/>
      <c r="CZE41" s="52"/>
      <c r="CZF41" s="52"/>
      <c r="CZG41" s="52"/>
      <c r="CZH41" s="52"/>
      <c r="CZI41" s="52"/>
      <c r="CZJ41" s="52"/>
      <c r="CZK41" s="52"/>
      <c r="CZL41" s="52"/>
      <c r="CZM41" s="52"/>
      <c r="CZN41" s="52"/>
      <c r="CZO41" s="52"/>
      <c r="CZP41" s="52"/>
      <c r="CZQ41" s="52"/>
      <c r="CZR41" s="52"/>
      <c r="CZS41" s="52"/>
      <c r="CZT41" s="52"/>
      <c r="CZU41" s="52"/>
      <c r="CZV41" s="52"/>
      <c r="CZW41" s="52"/>
      <c r="CZX41" s="52"/>
      <c r="CZY41" s="52"/>
      <c r="CZZ41" s="52"/>
      <c r="DAA41" s="52"/>
      <c r="DAB41" s="52"/>
      <c r="DAC41" s="52"/>
      <c r="DAD41" s="52"/>
      <c r="DAE41" s="52"/>
      <c r="DAF41" s="52"/>
      <c r="DAG41" s="52"/>
      <c r="DAH41" s="52"/>
      <c r="DAI41" s="52"/>
      <c r="DAJ41" s="52"/>
      <c r="DAK41" s="52"/>
      <c r="DAL41" s="52"/>
      <c r="DAM41" s="52"/>
      <c r="DAN41" s="52"/>
      <c r="DAO41" s="52"/>
      <c r="DAP41" s="52"/>
      <c r="DAQ41" s="52"/>
      <c r="DAR41" s="52"/>
      <c r="DAS41" s="52"/>
      <c r="DAT41" s="52"/>
      <c r="DAU41" s="52"/>
      <c r="DAV41" s="52"/>
      <c r="DAW41" s="52"/>
      <c r="DAX41" s="52"/>
      <c r="DAY41" s="52"/>
      <c r="DAZ41" s="52"/>
      <c r="DBA41" s="52"/>
      <c r="DBB41" s="52"/>
      <c r="DBC41" s="52"/>
      <c r="DBD41" s="52"/>
      <c r="DBE41" s="52"/>
      <c r="DBF41" s="52"/>
      <c r="DBG41" s="52"/>
      <c r="DBH41" s="52"/>
      <c r="DBI41" s="52"/>
      <c r="DBJ41" s="52"/>
      <c r="DBK41" s="52"/>
      <c r="DBL41" s="52"/>
      <c r="DBM41" s="52"/>
      <c r="DBN41" s="52"/>
      <c r="DBO41" s="52"/>
      <c r="DBP41" s="52"/>
      <c r="DBQ41" s="52"/>
      <c r="DBR41" s="52"/>
      <c r="DBS41" s="52"/>
      <c r="DBT41" s="52"/>
      <c r="DBU41" s="52"/>
      <c r="DBV41" s="52"/>
      <c r="DBW41" s="52"/>
      <c r="DBX41" s="52"/>
      <c r="DBY41" s="52"/>
      <c r="DBZ41" s="52"/>
      <c r="DCA41" s="52"/>
      <c r="DCB41" s="52"/>
      <c r="DCC41" s="52"/>
      <c r="DCD41" s="52"/>
      <c r="DCE41" s="52"/>
      <c r="DCF41" s="52"/>
      <c r="DCG41" s="52"/>
      <c r="DCH41" s="52"/>
      <c r="DCI41" s="52"/>
      <c r="DCJ41" s="52"/>
      <c r="DCK41" s="52"/>
      <c r="DCL41" s="52"/>
      <c r="DCM41" s="52"/>
      <c r="DCN41" s="52"/>
      <c r="DCO41" s="52"/>
      <c r="DCP41" s="52"/>
      <c r="DCQ41" s="52"/>
      <c r="DCR41" s="52"/>
      <c r="DCS41" s="52"/>
      <c r="DCT41" s="52"/>
      <c r="DCU41" s="52"/>
      <c r="DCV41" s="52"/>
      <c r="DCW41" s="52"/>
      <c r="DCX41" s="52"/>
      <c r="DCY41" s="52"/>
      <c r="DCZ41" s="52"/>
      <c r="DDA41" s="52"/>
      <c r="DDB41" s="52"/>
      <c r="DDC41" s="52"/>
      <c r="DDD41" s="52"/>
      <c r="DDE41" s="52"/>
      <c r="DDF41" s="52"/>
      <c r="DDG41" s="52"/>
      <c r="DDH41" s="52"/>
      <c r="DDI41" s="52"/>
      <c r="DDJ41" s="52"/>
      <c r="DDK41" s="52"/>
      <c r="DDL41" s="52"/>
      <c r="DDM41" s="52"/>
      <c r="DDN41" s="52"/>
      <c r="DDO41" s="52"/>
      <c r="DDP41" s="52"/>
      <c r="DDQ41" s="52"/>
      <c r="DDR41" s="52"/>
      <c r="DDS41" s="52"/>
      <c r="DDT41" s="52"/>
      <c r="DDU41" s="52"/>
      <c r="DDV41" s="52"/>
      <c r="DDW41" s="52"/>
      <c r="DDX41" s="52"/>
      <c r="DDY41" s="52"/>
      <c r="DDZ41" s="52"/>
      <c r="DEA41" s="52"/>
      <c r="DEB41" s="52"/>
      <c r="DEC41" s="52"/>
      <c r="DED41" s="52"/>
      <c r="DEE41" s="52"/>
      <c r="DEF41" s="52"/>
      <c r="DEG41" s="52"/>
      <c r="DEH41" s="52"/>
      <c r="DEI41" s="52"/>
      <c r="DEJ41" s="52"/>
      <c r="DEK41" s="52"/>
      <c r="DEL41" s="52"/>
      <c r="DEM41" s="52"/>
      <c r="DEN41" s="52"/>
      <c r="DEO41" s="52"/>
      <c r="DEP41" s="52"/>
      <c r="DEQ41" s="52"/>
      <c r="DER41" s="52"/>
      <c r="DES41" s="52"/>
      <c r="DET41" s="52"/>
      <c r="DEU41" s="52"/>
      <c r="DEV41" s="52"/>
      <c r="DEW41" s="52"/>
      <c r="DEX41" s="52"/>
      <c r="DEY41" s="52"/>
      <c r="DEZ41" s="52"/>
      <c r="DFA41" s="52"/>
      <c r="DFB41" s="52"/>
      <c r="DFC41" s="52"/>
      <c r="DFD41" s="52"/>
      <c r="DFE41" s="52"/>
      <c r="DFF41" s="52"/>
      <c r="DFG41" s="52"/>
      <c r="DFH41" s="52"/>
      <c r="DFI41" s="52"/>
      <c r="DFJ41" s="52"/>
      <c r="DFK41" s="52"/>
      <c r="DFL41" s="52"/>
      <c r="DFM41" s="52"/>
      <c r="DFN41" s="52"/>
      <c r="DFO41" s="52"/>
      <c r="DFP41" s="52"/>
      <c r="DFQ41" s="52"/>
      <c r="DFR41" s="52"/>
      <c r="DFS41" s="52"/>
      <c r="DFT41" s="52"/>
      <c r="DFU41" s="52"/>
      <c r="DFV41" s="52"/>
      <c r="DFW41" s="52"/>
      <c r="DFX41" s="52"/>
      <c r="DFY41" s="52"/>
      <c r="DFZ41" s="52"/>
      <c r="DGA41" s="52"/>
      <c r="DGB41" s="52"/>
      <c r="DGC41" s="52"/>
      <c r="DGD41" s="52"/>
      <c r="DGE41" s="52"/>
      <c r="DGF41" s="52"/>
      <c r="DGG41" s="52"/>
      <c r="DGH41" s="52"/>
      <c r="DGI41" s="52"/>
      <c r="DGJ41" s="52"/>
      <c r="DGK41" s="52"/>
      <c r="DGL41" s="52"/>
      <c r="DGM41" s="52"/>
      <c r="DGN41" s="52"/>
      <c r="DGO41" s="52"/>
      <c r="DGP41" s="52"/>
      <c r="DGQ41" s="52"/>
      <c r="DGR41" s="52"/>
      <c r="DGS41" s="52"/>
      <c r="DGT41" s="52"/>
      <c r="DGU41" s="52"/>
      <c r="DGV41" s="52"/>
      <c r="DGW41" s="52"/>
      <c r="DGX41" s="52"/>
      <c r="DGY41" s="52"/>
      <c r="DGZ41" s="52"/>
      <c r="DHA41" s="52"/>
      <c r="DHB41" s="52"/>
      <c r="DHC41" s="52"/>
      <c r="DHD41" s="52"/>
      <c r="DHE41" s="52"/>
      <c r="DHF41" s="52"/>
      <c r="DHG41" s="52"/>
      <c r="DHH41" s="52"/>
      <c r="DHI41" s="52"/>
      <c r="DHJ41" s="52"/>
      <c r="DHK41" s="52"/>
      <c r="DHL41" s="52"/>
      <c r="DHM41" s="52"/>
      <c r="DHN41" s="52"/>
      <c r="DHO41" s="52"/>
      <c r="DHP41" s="52"/>
      <c r="DHQ41" s="52"/>
      <c r="DHR41" s="52"/>
      <c r="DHS41" s="52"/>
      <c r="DHT41" s="52"/>
      <c r="DHU41" s="52"/>
      <c r="DHV41" s="52"/>
      <c r="DHW41" s="52"/>
      <c r="DHX41" s="52"/>
      <c r="DHY41" s="52"/>
      <c r="DHZ41" s="52"/>
      <c r="DIA41" s="52"/>
      <c r="DIB41" s="52"/>
      <c r="DIC41" s="52"/>
      <c r="DID41" s="52"/>
      <c r="DIE41" s="52"/>
      <c r="DIF41" s="52"/>
      <c r="DIG41" s="52"/>
      <c r="DIH41" s="52"/>
      <c r="DII41" s="52"/>
      <c r="DIJ41" s="52"/>
      <c r="DIK41" s="52"/>
      <c r="DIL41" s="52"/>
      <c r="DIM41" s="52"/>
      <c r="DIN41" s="52"/>
      <c r="DIO41" s="52"/>
      <c r="DIP41" s="52"/>
      <c r="DIQ41" s="52"/>
      <c r="DIR41" s="52"/>
      <c r="DIS41" s="52"/>
      <c r="DIT41" s="52"/>
      <c r="DIU41" s="52"/>
      <c r="DIV41" s="52"/>
      <c r="DIW41" s="52"/>
      <c r="DIX41" s="52"/>
      <c r="DIY41" s="52"/>
      <c r="DIZ41" s="52"/>
      <c r="DJA41" s="52"/>
      <c r="DJB41" s="52"/>
      <c r="DJC41" s="52"/>
      <c r="DJD41" s="52"/>
      <c r="DJE41" s="52"/>
      <c r="DJF41" s="52"/>
      <c r="DJG41" s="52"/>
      <c r="DJH41" s="52"/>
      <c r="DJI41" s="52"/>
      <c r="DJJ41" s="52"/>
      <c r="DJK41" s="52"/>
      <c r="DJL41" s="52"/>
      <c r="DJM41" s="52"/>
      <c r="DJN41" s="52"/>
      <c r="DJO41" s="52"/>
      <c r="DJP41" s="52"/>
      <c r="DJQ41" s="52"/>
      <c r="DJR41" s="52"/>
      <c r="DJS41" s="52"/>
      <c r="DJT41" s="52"/>
      <c r="DJU41" s="52"/>
      <c r="DJV41" s="52"/>
      <c r="DJW41" s="52"/>
      <c r="DJX41" s="52"/>
      <c r="DJY41" s="52"/>
      <c r="DJZ41" s="52"/>
      <c r="DKA41" s="52"/>
      <c r="DKB41" s="52"/>
      <c r="DKC41" s="52"/>
      <c r="DKD41" s="52"/>
      <c r="DKE41" s="52"/>
      <c r="DKF41" s="52"/>
      <c r="DKG41" s="52"/>
      <c r="DKH41" s="52"/>
      <c r="DKI41" s="52"/>
      <c r="DKJ41" s="52"/>
      <c r="DKK41" s="52"/>
      <c r="DKL41" s="52"/>
      <c r="DKM41" s="52"/>
      <c r="DKN41" s="52"/>
      <c r="DKO41" s="52"/>
      <c r="DKP41" s="52"/>
      <c r="DKQ41" s="52"/>
      <c r="DKR41" s="52"/>
      <c r="DKS41" s="52"/>
      <c r="DKT41" s="52"/>
      <c r="DKU41" s="52"/>
      <c r="DKV41" s="52"/>
      <c r="DKW41" s="52"/>
      <c r="DKX41" s="52"/>
      <c r="DKY41" s="52"/>
      <c r="DKZ41" s="52"/>
      <c r="DLA41" s="52"/>
      <c r="DLB41" s="52"/>
      <c r="DLC41" s="52"/>
      <c r="DLD41" s="52"/>
      <c r="DLE41" s="52"/>
      <c r="DLF41" s="52"/>
      <c r="DLG41" s="52"/>
      <c r="DLH41" s="52"/>
      <c r="DLI41" s="52"/>
      <c r="DLJ41" s="52"/>
      <c r="DLK41" s="52"/>
      <c r="DLL41" s="52"/>
      <c r="DLM41" s="52"/>
      <c r="DLN41" s="52"/>
      <c r="DLO41" s="52"/>
      <c r="DLP41" s="52"/>
      <c r="DLQ41" s="52"/>
      <c r="DLR41" s="52"/>
      <c r="DLS41" s="52"/>
      <c r="DLT41" s="52"/>
      <c r="DLU41" s="52"/>
      <c r="DLV41" s="52"/>
      <c r="DLW41" s="52"/>
      <c r="DLX41" s="52"/>
      <c r="DLY41" s="52"/>
      <c r="DLZ41" s="52"/>
      <c r="DMA41" s="52"/>
      <c r="DMB41" s="52"/>
      <c r="DMC41" s="52"/>
      <c r="DMD41" s="52"/>
      <c r="DME41" s="52"/>
      <c r="DMF41" s="52"/>
      <c r="DMG41" s="52"/>
      <c r="DMH41" s="52"/>
      <c r="DMI41" s="52"/>
      <c r="DMJ41" s="52"/>
      <c r="DMK41" s="52"/>
      <c r="DML41" s="52"/>
      <c r="DMM41" s="52"/>
      <c r="DMN41" s="52"/>
      <c r="DMO41" s="52"/>
      <c r="DMP41" s="52"/>
      <c r="DMQ41" s="52"/>
      <c r="DMR41" s="52"/>
      <c r="DMS41" s="52"/>
      <c r="DMT41" s="52"/>
      <c r="DMU41" s="52"/>
      <c r="DMV41" s="52"/>
      <c r="DMW41" s="52"/>
      <c r="DMX41" s="52"/>
      <c r="DMY41" s="52"/>
      <c r="DMZ41" s="52"/>
      <c r="DNA41" s="52"/>
      <c r="DNB41" s="52"/>
      <c r="DNC41" s="52"/>
      <c r="DND41" s="52"/>
      <c r="DNE41" s="52"/>
      <c r="DNF41" s="52"/>
      <c r="DNG41" s="52"/>
      <c r="DNH41" s="52"/>
      <c r="DNI41" s="52"/>
      <c r="DNJ41" s="52"/>
      <c r="DNK41" s="52"/>
      <c r="DNL41" s="52"/>
      <c r="DNM41" s="52"/>
      <c r="DNN41" s="52"/>
      <c r="DNO41" s="52"/>
      <c r="DNP41" s="52"/>
      <c r="DNQ41" s="52"/>
      <c r="DNR41" s="52"/>
      <c r="DNS41" s="52"/>
      <c r="DNT41" s="52"/>
      <c r="DNU41" s="52"/>
      <c r="DNV41" s="52"/>
      <c r="DNW41" s="52"/>
      <c r="DNX41" s="52"/>
      <c r="DNY41" s="52"/>
      <c r="DNZ41" s="52"/>
      <c r="DOA41" s="52"/>
      <c r="DOB41" s="52"/>
      <c r="DOC41" s="52"/>
      <c r="DOD41" s="52"/>
      <c r="DOE41" s="52"/>
      <c r="DOF41" s="52"/>
      <c r="DOG41" s="52"/>
      <c r="DOH41" s="52"/>
      <c r="DOI41" s="52"/>
      <c r="DOJ41" s="52"/>
      <c r="DOK41" s="52"/>
      <c r="DOL41" s="52"/>
      <c r="DOM41" s="52"/>
      <c r="DON41" s="52"/>
      <c r="DOO41" s="52"/>
      <c r="DOP41" s="52"/>
      <c r="DOQ41" s="52"/>
      <c r="DOR41" s="52"/>
      <c r="DOS41" s="52"/>
      <c r="DOT41" s="52"/>
      <c r="DOU41" s="52"/>
      <c r="DOV41" s="52"/>
      <c r="DOW41" s="52"/>
      <c r="DOX41" s="52"/>
      <c r="DOY41" s="52"/>
      <c r="DOZ41" s="52"/>
      <c r="DPA41" s="52"/>
      <c r="DPB41" s="52"/>
      <c r="DPC41" s="52"/>
      <c r="DPD41" s="52"/>
      <c r="DPE41" s="52"/>
      <c r="DPF41" s="52"/>
      <c r="DPG41" s="52"/>
      <c r="DPH41" s="52"/>
      <c r="DPI41" s="52"/>
      <c r="DPJ41" s="52"/>
      <c r="DPK41" s="52"/>
      <c r="DPL41" s="52"/>
      <c r="DPM41" s="52"/>
      <c r="DPN41" s="52"/>
      <c r="DPO41" s="52"/>
      <c r="DPP41" s="52"/>
      <c r="DPQ41" s="52"/>
      <c r="DPR41" s="52"/>
      <c r="DPS41" s="52"/>
      <c r="DPT41" s="52"/>
      <c r="DPU41" s="52"/>
      <c r="DPV41" s="52"/>
      <c r="DPW41" s="52"/>
      <c r="DPX41" s="52"/>
      <c r="DPY41" s="52"/>
      <c r="DPZ41" s="52"/>
      <c r="DQA41" s="52"/>
      <c r="DQB41" s="52"/>
      <c r="DQC41" s="52"/>
      <c r="DQD41" s="52"/>
      <c r="DQE41" s="52"/>
      <c r="DQF41" s="52"/>
      <c r="DQG41" s="52"/>
      <c r="DQH41" s="52"/>
      <c r="DQI41" s="52"/>
      <c r="DQJ41" s="52"/>
      <c r="DQK41" s="52"/>
      <c r="DQL41" s="52"/>
      <c r="DQM41" s="52"/>
      <c r="DQN41" s="52"/>
      <c r="DQO41" s="52"/>
      <c r="DQP41" s="52"/>
      <c r="DQQ41" s="52"/>
      <c r="DQR41" s="52"/>
      <c r="DQS41" s="52"/>
      <c r="DQT41" s="52"/>
      <c r="DQU41" s="52"/>
      <c r="DQV41" s="52"/>
      <c r="DQW41" s="52"/>
      <c r="DQX41" s="52"/>
      <c r="DQY41" s="52"/>
      <c r="DQZ41" s="52"/>
      <c r="DRA41" s="52"/>
      <c r="DRB41" s="52"/>
      <c r="DRC41" s="52"/>
      <c r="DRD41" s="52"/>
      <c r="DRE41" s="52"/>
      <c r="DRF41" s="52"/>
      <c r="DRG41" s="52"/>
      <c r="DRH41" s="52"/>
      <c r="DRI41" s="52"/>
      <c r="DRJ41" s="52"/>
      <c r="DRK41" s="52"/>
      <c r="DRL41" s="52"/>
      <c r="DRM41" s="52"/>
      <c r="DRN41" s="52"/>
      <c r="DRO41" s="52"/>
      <c r="DRP41" s="52"/>
      <c r="DRQ41" s="52"/>
      <c r="DRR41" s="52"/>
      <c r="DRS41" s="52"/>
      <c r="DRT41" s="52"/>
      <c r="DRU41" s="52"/>
      <c r="DRV41" s="52"/>
      <c r="DRW41" s="52"/>
      <c r="DRX41" s="52"/>
      <c r="DRY41" s="52"/>
      <c r="DRZ41" s="52"/>
      <c r="DSA41" s="52"/>
      <c r="DSB41" s="52"/>
      <c r="DSC41" s="52"/>
      <c r="DSD41" s="52"/>
      <c r="DSE41" s="52"/>
      <c r="DSF41" s="52"/>
      <c r="DSG41" s="52"/>
      <c r="DSH41" s="52"/>
      <c r="DSI41" s="52"/>
      <c r="DSJ41" s="52"/>
      <c r="DSK41" s="52"/>
      <c r="DSL41" s="52"/>
      <c r="DSM41" s="52"/>
      <c r="DSN41" s="52"/>
      <c r="DSO41" s="52"/>
      <c r="DSP41" s="52"/>
      <c r="DSQ41" s="52"/>
      <c r="DSR41" s="52"/>
      <c r="DSS41" s="52"/>
      <c r="DST41" s="52"/>
      <c r="DSU41" s="52"/>
      <c r="DSV41" s="52"/>
      <c r="DSW41" s="52"/>
      <c r="DSX41" s="52"/>
      <c r="DSY41" s="52"/>
      <c r="DSZ41" s="52"/>
      <c r="DTA41" s="52"/>
      <c r="DTB41" s="52"/>
      <c r="DTC41" s="52"/>
      <c r="DTD41" s="52"/>
      <c r="DTE41" s="52"/>
      <c r="DTF41" s="52"/>
      <c r="DTG41" s="52"/>
      <c r="DTH41" s="52"/>
      <c r="DTI41" s="52"/>
      <c r="DTJ41" s="52"/>
      <c r="DTK41" s="52"/>
      <c r="DTL41" s="52"/>
      <c r="DTM41" s="52"/>
      <c r="DTN41" s="52"/>
      <c r="DTO41" s="52"/>
      <c r="DTP41" s="52"/>
      <c r="DTQ41" s="52"/>
      <c r="DTR41" s="52"/>
      <c r="DTS41" s="52"/>
      <c r="DTT41" s="52"/>
      <c r="DTU41" s="52"/>
      <c r="DTV41" s="52"/>
      <c r="DTW41" s="52"/>
      <c r="DTX41" s="52"/>
      <c r="DTY41" s="52"/>
      <c r="DTZ41" s="52"/>
      <c r="DUA41" s="52"/>
      <c r="DUB41" s="52"/>
      <c r="DUC41" s="52"/>
      <c r="DUD41" s="52"/>
      <c r="DUE41" s="52"/>
      <c r="DUF41" s="52"/>
      <c r="DUG41" s="52"/>
      <c r="DUH41" s="52"/>
      <c r="DUI41" s="52"/>
      <c r="DUJ41" s="52"/>
      <c r="DUK41" s="52"/>
      <c r="DUL41" s="52"/>
      <c r="DUM41" s="52"/>
      <c r="DUN41" s="52"/>
      <c r="DUO41" s="52"/>
      <c r="DUP41" s="52"/>
      <c r="DUQ41" s="52"/>
      <c r="DUR41" s="52"/>
      <c r="DUS41" s="52"/>
      <c r="DUT41" s="52"/>
      <c r="DUU41" s="52"/>
      <c r="DUV41" s="52"/>
      <c r="DUW41" s="52"/>
      <c r="DUX41" s="52"/>
      <c r="DUY41" s="52"/>
      <c r="DUZ41" s="52"/>
      <c r="DVA41" s="52"/>
      <c r="DVB41" s="52"/>
      <c r="DVC41" s="52"/>
      <c r="DVD41" s="52"/>
      <c r="DVE41" s="52"/>
      <c r="DVF41" s="52"/>
      <c r="DVG41" s="52"/>
      <c r="DVH41" s="52"/>
      <c r="DVI41" s="52"/>
      <c r="DVJ41" s="52"/>
      <c r="DVK41" s="52"/>
      <c r="DVL41" s="52"/>
      <c r="DVM41" s="52"/>
      <c r="DVN41" s="52"/>
      <c r="DVO41" s="52"/>
      <c r="DVP41" s="52"/>
      <c r="DVQ41" s="52"/>
      <c r="DVR41" s="52"/>
      <c r="DVS41" s="52"/>
      <c r="DVT41" s="52"/>
      <c r="DVU41" s="52"/>
      <c r="DVV41" s="52"/>
      <c r="DVW41" s="52"/>
      <c r="DVX41" s="52"/>
      <c r="DVY41" s="52"/>
      <c r="DVZ41" s="52"/>
      <c r="DWA41" s="52"/>
      <c r="DWB41" s="52"/>
      <c r="DWC41" s="52"/>
      <c r="DWD41" s="52"/>
      <c r="DWE41" s="52"/>
      <c r="DWF41" s="52"/>
      <c r="DWG41" s="52"/>
      <c r="DWH41" s="52"/>
      <c r="DWI41" s="52"/>
      <c r="DWJ41" s="52"/>
      <c r="DWK41" s="52"/>
      <c r="DWL41" s="52"/>
      <c r="DWM41" s="52"/>
      <c r="DWN41" s="52"/>
      <c r="DWO41" s="52"/>
      <c r="DWP41" s="52"/>
      <c r="DWQ41" s="52"/>
      <c r="DWR41" s="52"/>
      <c r="DWS41" s="52"/>
      <c r="DWT41" s="52"/>
      <c r="DWU41" s="52"/>
      <c r="DWV41" s="52"/>
      <c r="DWW41" s="52"/>
      <c r="DWX41" s="52"/>
      <c r="DWY41" s="52"/>
      <c r="DWZ41" s="52"/>
      <c r="DXA41" s="52"/>
      <c r="DXB41" s="52"/>
      <c r="DXC41" s="52"/>
      <c r="DXD41" s="52"/>
      <c r="DXE41" s="52"/>
      <c r="DXF41" s="52"/>
      <c r="DXG41" s="52"/>
      <c r="DXH41" s="52"/>
      <c r="DXI41" s="52"/>
      <c r="DXJ41" s="52"/>
      <c r="DXK41" s="52"/>
      <c r="DXL41" s="52"/>
      <c r="DXM41" s="52"/>
      <c r="DXN41" s="52"/>
      <c r="DXO41" s="52"/>
      <c r="DXP41" s="52"/>
      <c r="DXQ41" s="52"/>
      <c r="DXR41" s="52"/>
      <c r="DXS41" s="52"/>
      <c r="DXT41" s="52"/>
      <c r="DXU41" s="52"/>
      <c r="DXV41" s="52"/>
      <c r="DXW41" s="52"/>
      <c r="DXX41" s="52"/>
      <c r="DXY41" s="52"/>
      <c r="DXZ41" s="52"/>
      <c r="DYA41" s="52"/>
      <c r="DYB41" s="52"/>
      <c r="DYC41" s="52"/>
      <c r="DYD41" s="52"/>
      <c r="DYE41" s="52"/>
      <c r="DYF41" s="52"/>
      <c r="DYG41" s="52"/>
      <c r="DYH41" s="52"/>
      <c r="DYI41" s="52"/>
      <c r="DYJ41" s="52"/>
      <c r="DYK41" s="52"/>
      <c r="DYL41" s="52"/>
      <c r="DYM41" s="52"/>
      <c r="DYN41" s="52"/>
      <c r="DYO41" s="52"/>
      <c r="DYP41" s="52"/>
      <c r="DYQ41" s="52"/>
      <c r="DYR41" s="52"/>
      <c r="DYS41" s="52"/>
      <c r="DYT41" s="52"/>
      <c r="DYU41" s="52"/>
      <c r="DYV41" s="52"/>
      <c r="DYW41" s="52"/>
      <c r="DYX41" s="52"/>
      <c r="DYY41" s="52"/>
      <c r="DYZ41" s="52"/>
      <c r="DZA41" s="52"/>
      <c r="DZB41" s="52"/>
      <c r="DZC41" s="52"/>
      <c r="DZD41" s="52"/>
      <c r="DZE41" s="52"/>
      <c r="DZF41" s="52"/>
      <c r="DZG41" s="52"/>
      <c r="DZH41" s="52"/>
      <c r="DZI41" s="52"/>
      <c r="DZJ41" s="52"/>
      <c r="DZK41" s="52"/>
      <c r="DZL41" s="52"/>
      <c r="DZM41" s="52"/>
      <c r="DZN41" s="52"/>
      <c r="DZO41" s="52"/>
      <c r="DZP41" s="52"/>
      <c r="DZQ41" s="52"/>
      <c r="DZR41" s="52"/>
      <c r="DZS41" s="52"/>
      <c r="DZT41" s="52"/>
      <c r="DZU41" s="52"/>
      <c r="DZV41" s="52"/>
      <c r="DZW41" s="52"/>
      <c r="DZX41" s="52"/>
      <c r="DZY41" s="52"/>
      <c r="DZZ41" s="52"/>
      <c r="EAA41" s="52"/>
      <c r="EAB41" s="52"/>
      <c r="EAC41" s="52"/>
      <c r="EAD41" s="52"/>
      <c r="EAE41" s="52"/>
      <c r="EAF41" s="52"/>
      <c r="EAG41" s="52"/>
      <c r="EAH41" s="52"/>
      <c r="EAI41" s="52"/>
      <c r="EAJ41" s="52"/>
      <c r="EAK41" s="52"/>
      <c r="EAL41" s="52"/>
      <c r="EAM41" s="52"/>
      <c r="EAN41" s="52"/>
      <c r="EAO41" s="52"/>
      <c r="EAP41" s="52"/>
      <c r="EAQ41" s="52"/>
      <c r="EAR41" s="52"/>
      <c r="EAS41" s="52"/>
      <c r="EAT41" s="52"/>
      <c r="EAU41" s="52"/>
      <c r="EAV41" s="52"/>
      <c r="EAW41" s="52"/>
      <c r="EAX41" s="52"/>
      <c r="EAY41" s="52"/>
      <c r="EAZ41" s="52"/>
      <c r="EBA41" s="52"/>
      <c r="EBB41" s="52"/>
      <c r="EBC41" s="52"/>
      <c r="EBD41" s="52"/>
      <c r="EBE41" s="52"/>
      <c r="EBF41" s="52"/>
      <c r="EBG41" s="52"/>
      <c r="EBH41" s="52"/>
      <c r="EBI41" s="52"/>
      <c r="EBJ41" s="52"/>
      <c r="EBK41" s="52"/>
      <c r="EBL41" s="52"/>
      <c r="EBM41" s="52"/>
      <c r="EBN41" s="52"/>
      <c r="EBO41" s="52"/>
      <c r="EBP41" s="52"/>
      <c r="EBQ41" s="52"/>
      <c r="EBR41" s="52"/>
      <c r="EBS41" s="52"/>
      <c r="EBT41" s="52"/>
      <c r="EBU41" s="52"/>
      <c r="EBV41" s="52"/>
      <c r="EBW41" s="52"/>
      <c r="EBX41" s="52"/>
      <c r="EBY41" s="52"/>
      <c r="EBZ41" s="52"/>
      <c r="ECA41" s="52"/>
      <c r="ECB41" s="52"/>
      <c r="ECC41" s="52"/>
      <c r="ECD41" s="52"/>
      <c r="ECE41" s="52"/>
      <c r="ECF41" s="52"/>
      <c r="ECG41" s="52"/>
      <c r="ECH41" s="52"/>
      <c r="ECI41" s="52"/>
      <c r="ECJ41" s="52"/>
      <c r="ECK41" s="52"/>
      <c r="ECL41" s="52"/>
      <c r="ECM41" s="52"/>
      <c r="ECN41" s="52"/>
      <c r="ECO41" s="52"/>
      <c r="ECP41" s="52"/>
      <c r="ECQ41" s="52"/>
      <c r="ECR41" s="52"/>
      <c r="ECS41" s="52"/>
      <c r="ECT41" s="52"/>
      <c r="ECU41" s="52"/>
      <c r="ECV41" s="52"/>
      <c r="ECW41" s="52"/>
      <c r="ECX41" s="52"/>
      <c r="ECY41" s="52"/>
      <c r="ECZ41" s="52"/>
      <c r="EDA41" s="52"/>
      <c r="EDB41" s="52"/>
      <c r="EDC41" s="52"/>
      <c r="EDD41" s="52"/>
      <c r="EDE41" s="52"/>
      <c r="EDF41" s="52"/>
      <c r="EDG41" s="52"/>
      <c r="EDH41" s="52"/>
      <c r="EDI41" s="52"/>
      <c r="EDJ41" s="52"/>
      <c r="EDK41" s="52"/>
      <c r="EDL41" s="52"/>
      <c r="EDM41" s="52"/>
      <c r="EDN41" s="52"/>
      <c r="EDO41" s="52"/>
      <c r="EDP41" s="52"/>
      <c r="EDQ41" s="52"/>
      <c r="EDR41" s="52"/>
      <c r="EDS41" s="52"/>
      <c r="EDT41" s="52"/>
      <c r="EDU41" s="52"/>
      <c r="EDV41" s="52"/>
      <c r="EDW41" s="52"/>
      <c r="EDX41" s="52"/>
      <c r="EDY41" s="52"/>
      <c r="EDZ41" s="52"/>
      <c r="EEA41" s="52"/>
      <c r="EEB41" s="52"/>
      <c r="EEC41" s="52"/>
      <c r="EED41" s="52"/>
      <c r="EEE41" s="52"/>
      <c r="EEF41" s="52"/>
      <c r="EEG41" s="52"/>
      <c r="EEH41" s="52"/>
      <c r="EEI41" s="52"/>
      <c r="EEJ41" s="52"/>
      <c r="EEK41" s="52"/>
      <c r="EEL41" s="52"/>
      <c r="EEM41" s="52"/>
      <c r="EEN41" s="52"/>
      <c r="EEO41" s="52"/>
      <c r="EEP41" s="52"/>
      <c r="EEQ41" s="52"/>
      <c r="EER41" s="52"/>
      <c r="EES41" s="52"/>
      <c r="EET41" s="52"/>
      <c r="EEU41" s="52"/>
      <c r="EEV41" s="52"/>
      <c r="EEW41" s="52"/>
      <c r="EEX41" s="52"/>
      <c r="EEY41" s="52"/>
      <c r="EEZ41" s="52"/>
      <c r="EFA41" s="52"/>
      <c r="EFB41" s="52"/>
      <c r="EFC41" s="52"/>
      <c r="EFD41" s="52"/>
      <c r="EFE41" s="52"/>
      <c r="EFF41" s="52"/>
      <c r="EFG41" s="52"/>
      <c r="EFH41" s="52"/>
      <c r="EFI41" s="52"/>
      <c r="EFJ41" s="52"/>
      <c r="EFK41" s="52"/>
      <c r="EFL41" s="52"/>
      <c r="EFM41" s="52"/>
      <c r="EFN41" s="52"/>
      <c r="EFO41" s="52"/>
      <c r="EFP41" s="52"/>
      <c r="EFQ41" s="52"/>
      <c r="EFR41" s="52"/>
      <c r="EFS41" s="52"/>
      <c r="EFT41" s="52"/>
      <c r="EFU41" s="52"/>
      <c r="EFV41" s="52"/>
      <c r="EFW41" s="52"/>
      <c r="EFX41" s="52"/>
      <c r="EFY41" s="52"/>
      <c r="EFZ41" s="52"/>
      <c r="EGA41" s="52"/>
      <c r="EGB41" s="52"/>
      <c r="EGC41" s="52"/>
      <c r="EGD41" s="52"/>
      <c r="EGE41" s="52"/>
      <c r="EGF41" s="52"/>
      <c r="EGG41" s="52"/>
      <c r="EGH41" s="52"/>
      <c r="EGI41" s="52"/>
      <c r="EGJ41" s="52"/>
      <c r="EGK41" s="52"/>
      <c r="EGL41" s="52"/>
      <c r="EGM41" s="52"/>
      <c r="EGN41" s="52"/>
      <c r="EGO41" s="52"/>
      <c r="EGP41" s="52"/>
      <c r="EGQ41" s="52"/>
      <c r="EGR41" s="52"/>
      <c r="EGS41" s="52"/>
      <c r="EGT41" s="52"/>
      <c r="EGU41" s="52"/>
      <c r="EGV41" s="52"/>
      <c r="EGW41" s="52"/>
      <c r="EGX41" s="52"/>
      <c r="EGY41" s="52"/>
      <c r="EGZ41" s="52"/>
      <c r="EHA41" s="52"/>
      <c r="EHB41" s="52"/>
      <c r="EHC41" s="52"/>
      <c r="EHD41" s="52"/>
      <c r="EHE41" s="52"/>
      <c r="EHF41" s="52"/>
      <c r="EHG41" s="52"/>
      <c r="EHH41" s="52"/>
      <c r="EHI41" s="52"/>
      <c r="EHJ41" s="52"/>
      <c r="EHK41" s="52"/>
      <c r="EHL41" s="52"/>
      <c r="EHM41" s="52"/>
      <c r="EHN41" s="52"/>
      <c r="EHO41" s="52"/>
      <c r="EHP41" s="52"/>
      <c r="EHQ41" s="52"/>
      <c r="EHR41" s="52"/>
      <c r="EHS41" s="52"/>
      <c r="EHT41" s="52"/>
      <c r="EHU41" s="52"/>
      <c r="EHV41" s="52"/>
      <c r="EHW41" s="52"/>
      <c r="EHX41" s="52"/>
      <c r="EHY41" s="52"/>
      <c r="EHZ41" s="52"/>
      <c r="EIA41" s="52"/>
      <c r="EIB41" s="52"/>
      <c r="EIC41" s="52"/>
      <c r="EID41" s="52"/>
      <c r="EIE41" s="52"/>
      <c r="EIF41" s="52"/>
      <c r="EIG41" s="52"/>
      <c r="EIH41" s="52"/>
      <c r="EII41" s="52"/>
      <c r="EIJ41" s="52"/>
      <c r="EIK41" s="52"/>
      <c r="EIL41" s="52"/>
      <c r="EIM41" s="52"/>
      <c r="EIN41" s="52"/>
      <c r="EIO41" s="52"/>
      <c r="EIP41" s="52"/>
      <c r="EIQ41" s="52"/>
      <c r="EIR41" s="52"/>
      <c r="EIS41" s="52"/>
      <c r="EIT41" s="52"/>
      <c r="EIU41" s="52"/>
      <c r="EIV41" s="52"/>
      <c r="EIW41" s="52"/>
      <c r="EIX41" s="52"/>
      <c r="EIY41" s="52"/>
      <c r="EIZ41" s="52"/>
      <c r="EJA41" s="52"/>
      <c r="EJB41" s="52"/>
      <c r="EJC41" s="52"/>
      <c r="EJD41" s="52"/>
      <c r="EJE41" s="52"/>
      <c r="EJF41" s="52"/>
      <c r="EJG41" s="52"/>
      <c r="EJH41" s="52"/>
      <c r="EJI41" s="52"/>
      <c r="EJJ41" s="52"/>
      <c r="EJK41" s="52"/>
      <c r="EJL41" s="52"/>
      <c r="EJM41" s="52"/>
      <c r="EJN41" s="52"/>
      <c r="EJO41" s="52"/>
      <c r="EJP41" s="52"/>
      <c r="EJQ41" s="52"/>
      <c r="EJR41" s="52"/>
      <c r="EJS41" s="52"/>
      <c r="EJT41" s="52"/>
      <c r="EJU41" s="52"/>
      <c r="EJV41" s="52"/>
      <c r="EJW41" s="52"/>
      <c r="EJX41" s="52"/>
      <c r="EJY41" s="52"/>
      <c r="EJZ41" s="52"/>
      <c r="EKA41" s="52"/>
      <c r="EKB41" s="52"/>
      <c r="EKC41" s="52"/>
      <c r="EKD41" s="52"/>
      <c r="EKE41" s="52"/>
      <c r="EKF41" s="52"/>
      <c r="EKG41" s="52"/>
      <c r="EKH41" s="52"/>
      <c r="EKI41" s="52"/>
      <c r="EKJ41" s="52"/>
      <c r="EKK41" s="52"/>
      <c r="EKL41" s="52"/>
      <c r="EKM41" s="52"/>
      <c r="EKN41" s="52"/>
      <c r="EKO41" s="52"/>
      <c r="EKP41" s="52"/>
      <c r="EKQ41" s="52"/>
      <c r="EKR41" s="52"/>
      <c r="EKS41" s="52"/>
      <c r="EKT41" s="52"/>
      <c r="EKU41" s="52"/>
      <c r="EKV41" s="52"/>
      <c r="EKW41" s="52"/>
      <c r="EKX41" s="52"/>
      <c r="EKY41" s="52"/>
      <c r="EKZ41" s="52"/>
      <c r="ELA41" s="52"/>
      <c r="ELB41" s="52"/>
      <c r="ELC41" s="52"/>
      <c r="ELD41" s="52"/>
      <c r="ELE41" s="52"/>
      <c r="ELF41" s="52"/>
      <c r="ELG41" s="52"/>
      <c r="ELH41" s="52"/>
      <c r="ELI41" s="52"/>
      <c r="ELJ41" s="52"/>
      <c r="ELK41" s="52"/>
      <c r="ELL41" s="52"/>
      <c r="ELM41" s="52"/>
      <c r="ELN41" s="52"/>
      <c r="ELO41" s="52"/>
      <c r="ELP41" s="52"/>
      <c r="ELQ41" s="52"/>
      <c r="ELR41" s="52"/>
      <c r="ELS41" s="52"/>
      <c r="ELT41" s="52"/>
      <c r="ELU41" s="52"/>
      <c r="ELV41" s="52"/>
      <c r="ELW41" s="52"/>
      <c r="ELX41" s="52"/>
      <c r="ELY41" s="52"/>
      <c r="ELZ41" s="52"/>
      <c r="EMA41" s="52"/>
      <c r="EMB41" s="52"/>
      <c r="EMC41" s="52"/>
      <c r="EMD41" s="52"/>
      <c r="EME41" s="52"/>
      <c r="EMF41" s="52"/>
      <c r="EMG41" s="52"/>
      <c r="EMH41" s="52"/>
      <c r="EMI41" s="52"/>
      <c r="EMJ41" s="52"/>
      <c r="EMK41" s="52"/>
      <c r="EML41" s="52"/>
      <c r="EMM41" s="52"/>
      <c r="EMN41" s="52"/>
      <c r="EMO41" s="52"/>
      <c r="EMP41" s="52"/>
      <c r="EMQ41" s="52"/>
      <c r="EMR41" s="52"/>
      <c r="EMS41" s="52"/>
      <c r="EMT41" s="52"/>
      <c r="EMU41" s="52"/>
      <c r="EMV41" s="52"/>
      <c r="EMW41" s="52"/>
      <c r="EMX41" s="52"/>
      <c r="EMY41" s="52"/>
      <c r="EMZ41" s="52"/>
      <c r="ENA41" s="52"/>
      <c r="ENB41" s="52"/>
      <c r="ENC41" s="52"/>
      <c r="END41" s="52"/>
      <c r="ENE41" s="52"/>
      <c r="ENF41" s="52"/>
      <c r="ENG41" s="52"/>
      <c r="ENH41" s="52"/>
      <c r="ENI41" s="52"/>
      <c r="ENJ41" s="52"/>
      <c r="ENK41" s="52"/>
      <c r="ENL41" s="52"/>
      <c r="ENM41" s="52"/>
      <c r="ENN41" s="52"/>
      <c r="ENO41" s="52"/>
      <c r="ENP41" s="52"/>
      <c r="ENQ41" s="52"/>
      <c r="ENR41" s="52"/>
      <c r="ENS41" s="52"/>
      <c r="ENT41" s="52"/>
      <c r="ENU41" s="52"/>
      <c r="ENV41" s="52"/>
      <c r="ENW41" s="52"/>
      <c r="ENX41" s="52"/>
      <c r="ENY41" s="52"/>
      <c r="ENZ41" s="52"/>
      <c r="EOA41" s="52"/>
      <c r="EOB41" s="52"/>
      <c r="EOC41" s="52"/>
      <c r="EOD41" s="52"/>
      <c r="EOE41" s="52"/>
      <c r="EOF41" s="52"/>
      <c r="EOG41" s="52"/>
      <c r="EOH41" s="52"/>
      <c r="EOI41" s="52"/>
      <c r="EOJ41" s="52"/>
      <c r="EOK41" s="52"/>
      <c r="EOL41" s="52"/>
      <c r="EOM41" s="52"/>
      <c r="EON41" s="52"/>
      <c r="EOO41" s="52"/>
      <c r="EOP41" s="52"/>
      <c r="EOQ41" s="52"/>
      <c r="EOR41" s="52"/>
      <c r="EOS41" s="52"/>
      <c r="EOT41" s="52"/>
      <c r="EOU41" s="52"/>
      <c r="EOV41" s="52"/>
      <c r="EOW41" s="52"/>
      <c r="EOX41" s="52"/>
      <c r="EOY41" s="52"/>
      <c r="EOZ41" s="52"/>
      <c r="EPA41" s="52"/>
      <c r="EPB41" s="52"/>
      <c r="EPC41" s="52"/>
      <c r="EPD41" s="52"/>
      <c r="EPE41" s="52"/>
      <c r="EPF41" s="52"/>
      <c r="EPG41" s="52"/>
      <c r="EPH41" s="52"/>
      <c r="EPI41" s="52"/>
      <c r="EPJ41" s="52"/>
      <c r="EPK41" s="52"/>
      <c r="EPL41" s="52"/>
      <c r="EPM41" s="52"/>
      <c r="EPN41" s="52"/>
      <c r="EPO41" s="52"/>
      <c r="EPP41" s="52"/>
      <c r="EPQ41" s="52"/>
      <c r="EPR41" s="52"/>
      <c r="EPS41" s="52"/>
      <c r="EPT41" s="52"/>
      <c r="EPU41" s="52"/>
      <c r="EPV41" s="52"/>
      <c r="EPW41" s="52"/>
      <c r="EPX41" s="52"/>
      <c r="EPY41" s="52"/>
      <c r="EPZ41" s="52"/>
      <c r="EQA41" s="52"/>
      <c r="EQB41" s="52"/>
      <c r="EQC41" s="52"/>
      <c r="EQD41" s="52"/>
      <c r="EQE41" s="52"/>
      <c r="EQF41" s="52"/>
      <c r="EQG41" s="52"/>
      <c r="EQH41" s="52"/>
      <c r="EQI41" s="52"/>
      <c r="EQJ41" s="52"/>
      <c r="EQK41" s="52"/>
      <c r="EQL41" s="52"/>
      <c r="EQM41" s="52"/>
      <c r="EQN41" s="52"/>
      <c r="EQO41" s="52"/>
      <c r="EQP41" s="52"/>
      <c r="EQQ41" s="52"/>
      <c r="EQR41" s="52"/>
      <c r="EQS41" s="52"/>
      <c r="EQT41" s="52"/>
      <c r="EQU41" s="52"/>
      <c r="EQV41" s="52"/>
      <c r="EQW41" s="52"/>
      <c r="EQX41" s="52"/>
      <c r="EQY41" s="52"/>
      <c r="EQZ41" s="52"/>
      <c r="ERA41" s="52"/>
      <c r="ERB41" s="52"/>
      <c r="ERC41" s="52"/>
      <c r="ERD41" s="52"/>
      <c r="ERE41" s="52"/>
      <c r="ERF41" s="52"/>
      <c r="ERG41" s="52"/>
      <c r="ERH41" s="52"/>
      <c r="ERI41" s="52"/>
      <c r="ERJ41" s="52"/>
      <c r="ERK41" s="52"/>
      <c r="ERL41" s="52"/>
      <c r="ERM41" s="52"/>
      <c r="ERN41" s="52"/>
      <c r="ERO41" s="52"/>
      <c r="ERP41" s="52"/>
      <c r="ERQ41" s="52"/>
      <c r="ERR41" s="52"/>
      <c r="ERS41" s="52"/>
      <c r="ERT41" s="52"/>
      <c r="ERU41" s="52"/>
      <c r="ERV41" s="52"/>
      <c r="ERW41" s="52"/>
      <c r="ERX41" s="52"/>
      <c r="ERY41" s="52"/>
      <c r="ERZ41" s="52"/>
      <c r="ESA41" s="52"/>
      <c r="ESB41" s="52"/>
      <c r="ESC41" s="52"/>
      <c r="ESD41" s="52"/>
      <c r="ESE41" s="52"/>
      <c r="ESF41" s="52"/>
      <c r="ESG41" s="52"/>
      <c r="ESH41" s="52"/>
      <c r="ESI41" s="52"/>
      <c r="ESJ41" s="52"/>
      <c r="ESK41" s="52"/>
      <c r="ESL41" s="52"/>
      <c r="ESM41" s="52"/>
      <c r="ESN41" s="52"/>
      <c r="ESO41" s="52"/>
      <c r="ESP41" s="52"/>
      <c r="ESQ41" s="52"/>
      <c r="ESR41" s="52"/>
      <c r="ESS41" s="52"/>
      <c r="EST41" s="52"/>
      <c r="ESU41" s="52"/>
      <c r="ESV41" s="52"/>
      <c r="ESW41" s="52"/>
      <c r="ESX41" s="52"/>
      <c r="ESY41" s="52"/>
      <c r="ESZ41" s="52"/>
      <c r="ETA41" s="52"/>
      <c r="ETB41" s="52"/>
      <c r="ETC41" s="52"/>
      <c r="ETD41" s="52"/>
      <c r="ETE41" s="52"/>
      <c r="ETF41" s="52"/>
      <c r="ETG41" s="52"/>
      <c r="ETH41" s="52"/>
      <c r="ETI41" s="52"/>
      <c r="ETJ41" s="52"/>
      <c r="ETK41" s="52"/>
      <c r="ETL41" s="52"/>
      <c r="ETM41" s="52"/>
      <c r="ETN41" s="52"/>
      <c r="ETO41" s="52"/>
      <c r="ETP41" s="52"/>
      <c r="ETQ41" s="52"/>
      <c r="ETR41" s="52"/>
      <c r="ETS41" s="52"/>
      <c r="ETT41" s="52"/>
      <c r="ETU41" s="52"/>
      <c r="ETV41" s="52"/>
      <c r="ETW41" s="52"/>
      <c r="ETX41" s="52"/>
      <c r="ETY41" s="52"/>
      <c r="ETZ41" s="52"/>
      <c r="EUA41" s="52"/>
      <c r="EUB41" s="52"/>
      <c r="EUC41" s="52"/>
      <c r="EUD41" s="52"/>
      <c r="EUE41" s="52"/>
      <c r="EUF41" s="52"/>
      <c r="EUG41" s="52"/>
      <c r="EUH41" s="52"/>
      <c r="EUI41" s="52"/>
      <c r="EUJ41" s="52"/>
      <c r="EUK41" s="52"/>
      <c r="EUL41" s="52"/>
      <c r="EUM41" s="52"/>
      <c r="EUN41" s="52"/>
      <c r="EUO41" s="52"/>
      <c r="EUP41" s="52"/>
      <c r="EUQ41" s="52"/>
      <c r="EUR41" s="52"/>
      <c r="EUS41" s="52"/>
      <c r="EUT41" s="52"/>
      <c r="EUU41" s="52"/>
      <c r="EUV41" s="52"/>
      <c r="EUW41" s="52"/>
      <c r="EUX41" s="52"/>
      <c r="EUY41" s="52"/>
      <c r="EUZ41" s="52"/>
      <c r="EVA41" s="52"/>
      <c r="EVB41" s="52"/>
      <c r="EVC41" s="52"/>
      <c r="EVD41" s="52"/>
      <c r="EVE41" s="52"/>
      <c r="EVF41" s="52"/>
      <c r="EVG41" s="52"/>
      <c r="EVH41" s="52"/>
      <c r="EVI41" s="52"/>
      <c r="EVJ41" s="52"/>
      <c r="EVK41" s="52"/>
      <c r="EVL41" s="52"/>
      <c r="EVM41" s="52"/>
      <c r="EVN41" s="52"/>
      <c r="EVO41" s="52"/>
      <c r="EVP41" s="52"/>
      <c r="EVQ41" s="52"/>
      <c r="EVR41" s="52"/>
      <c r="EVS41" s="52"/>
      <c r="EVT41" s="52"/>
      <c r="EVU41" s="52"/>
      <c r="EVV41" s="52"/>
      <c r="EVW41" s="52"/>
      <c r="EVX41" s="52"/>
      <c r="EVY41" s="52"/>
      <c r="EVZ41" s="52"/>
      <c r="EWA41" s="52"/>
      <c r="EWB41" s="52"/>
      <c r="EWC41" s="52"/>
      <c r="EWD41" s="52"/>
      <c r="EWE41" s="52"/>
      <c r="EWF41" s="52"/>
      <c r="EWG41" s="52"/>
      <c r="EWH41" s="52"/>
      <c r="EWI41" s="52"/>
      <c r="EWJ41" s="52"/>
      <c r="EWK41" s="52"/>
      <c r="EWL41" s="52"/>
      <c r="EWM41" s="52"/>
      <c r="EWN41" s="52"/>
      <c r="EWO41" s="52"/>
      <c r="EWP41" s="52"/>
      <c r="EWQ41" s="52"/>
      <c r="EWR41" s="52"/>
      <c r="EWS41" s="52"/>
      <c r="EWT41" s="52"/>
      <c r="EWU41" s="52"/>
      <c r="EWV41" s="52"/>
      <c r="EWW41" s="52"/>
      <c r="EWX41" s="52"/>
      <c r="EWY41" s="52"/>
      <c r="EWZ41" s="52"/>
      <c r="EXA41" s="52"/>
      <c r="EXB41" s="52"/>
      <c r="EXC41" s="52"/>
      <c r="EXD41" s="52"/>
      <c r="EXE41" s="52"/>
      <c r="EXF41" s="52"/>
      <c r="EXG41" s="52"/>
      <c r="EXH41" s="52"/>
      <c r="EXI41" s="52"/>
      <c r="EXJ41" s="52"/>
      <c r="EXK41" s="52"/>
      <c r="EXL41" s="52"/>
      <c r="EXM41" s="52"/>
      <c r="EXN41" s="52"/>
      <c r="EXO41" s="52"/>
      <c r="EXP41" s="52"/>
      <c r="EXQ41" s="52"/>
      <c r="EXR41" s="52"/>
      <c r="EXS41" s="52"/>
      <c r="EXT41" s="52"/>
      <c r="EXU41" s="52"/>
      <c r="EXV41" s="52"/>
      <c r="EXW41" s="52"/>
      <c r="EXX41" s="52"/>
      <c r="EXY41" s="52"/>
      <c r="EXZ41" s="52"/>
      <c r="EYA41" s="52"/>
      <c r="EYB41" s="52"/>
      <c r="EYC41" s="52"/>
      <c r="EYD41" s="52"/>
      <c r="EYE41" s="52"/>
      <c r="EYF41" s="52"/>
      <c r="EYG41" s="52"/>
      <c r="EYH41" s="52"/>
      <c r="EYI41" s="52"/>
      <c r="EYJ41" s="52"/>
      <c r="EYK41" s="52"/>
      <c r="EYL41" s="52"/>
      <c r="EYM41" s="52"/>
      <c r="EYN41" s="52"/>
      <c r="EYO41" s="52"/>
      <c r="EYP41" s="52"/>
      <c r="EYQ41" s="52"/>
      <c r="EYR41" s="52"/>
      <c r="EYS41" s="52"/>
      <c r="EYT41" s="52"/>
      <c r="EYU41" s="52"/>
      <c r="EYV41" s="52"/>
      <c r="EYW41" s="52"/>
      <c r="EYX41" s="52"/>
      <c r="EYY41" s="52"/>
      <c r="EYZ41" s="52"/>
      <c r="EZA41" s="52"/>
      <c r="EZB41" s="52"/>
      <c r="EZC41" s="52"/>
      <c r="EZD41" s="52"/>
      <c r="EZE41" s="52"/>
      <c r="EZF41" s="52"/>
      <c r="EZG41" s="52"/>
      <c r="EZH41" s="52"/>
      <c r="EZI41" s="52"/>
      <c r="EZJ41" s="52"/>
      <c r="EZK41" s="52"/>
      <c r="EZL41" s="52"/>
      <c r="EZM41" s="52"/>
      <c r="EZN41" s="52"/>
      <c r="EZO41" s="52"/>
      <c r="EZP41" s="52"/>
      <c r="EZQ41" s="52"/>
      <c r="EZR41" s="52"/>
      <c r="EZS41" s="52"/>
      <c r="EZT41" s="52"/>
      <c r="EZU41" s="52"/>
      <c r="EZV41" s="52"/>
      <c r="EZW41" s="52"/>
      <c r="EZX41" s="52"/>
      <c r="EZY41" s="52"/>
      <c r="EZZ41" s="52"/>
      <c r="FAA41" s="52"/>
      <c r="FAB41" s="52"/>
      <c r="FAC41" s="52"/>
      <c r="FAD41" s="52"/>
      <c r="FAE41" s="52"/>
      <c r="FAF41" s="52"/>
      <c r="FAG41" s="52"/>
      <c r="FAH41" s="52"/>
      <c r="FAI41" s="52"/>
      <c r="FAJ41" s="52"/>
      <c r="FAK41" s="52"/>
      <c r="FAL41" s="52"/>
      <c r="FAM41" s="52"/>
      <c r="FAN41" s="52"/>
      <c r="FAO41" s="52"/>
      <c r="FAP41" s="52"/>
      <c r="FAQ41" s="52"/>
      <c r="FAR41" s="52"/>
      <c r="FAS41" s="52"/>
      <c r="FAT41" s="52"/>
      <c r="FAU41" s="52"/>
      <c r="FAV41" s="52"/>
      <c r="FAW41" s="52"/>
      <c r="FAX41" s="52"/>
      <c r="FAY41" s="52"/>
      <c r="FAZ41" s="52"/>
      <c r="FBA41" s="52"/>
      <c r="FBB41" s="52"/>
      <c r="FBC41" s="52"/>
      <c r="FBD41" s="52"/>
      <c r="FBE41" s="52"/>
      <c r="FBF41" s="52"/>
      <c r="FBG41" s="52"/>
      <c r="FBH41" s="52"/>
      <c r="FBI41" s="52"/>
      <c r="FBJ41" s="52"/>
      <c r="FBK41" s="52"/>
      <c r="FBL41" s="52"/>
      <c r="FBM41" s="52"/>
      <c r="FBN41" s="52"/>
      <c r="FBO41" s="52"/>
      <c r="FBP41" s="52"/>
      <c r="FBQ41" s="52"/>
      <c r="FBR41" s="52"/>
      <c r="FBS41" s="52"/>
      <c r="FBT41" s="52"/>
      <c r="FBU41" s="52"/>
      <c r="FBV41" s="52"/>
      <c r="FBW41" s="52"/>
      <c r="FBX41" s="52"/>
      <c r="FBY41" s="52"/>
      <c r="FBZ41" s="52"/>
      <c r="FCA41" s="52"/>
      <c r="FCB41" s="52"/>
      <c r="FCC41" s="52"/>
      <c r="FCD41" s="52"/>
      <c r="FCE41" s="52"/>
      <c r="FCF41" s="52"/>
      <c r="FCG41" s="52"/>
      <c r="FCH41" s="52"/>
      <c r="FCI41" s="52"/>
      <c r="FCJ41" s="52"/>
      <c r="FCK41" s="52"/>
      <c r="FCL41" s="52"/>
      <c r="FCM41" s="52"/>
      <c r="FCN41" s="52"/>
      <c r="FCO41" s="52"/>
      <c r="FCP41" s="52"/>
      <c r="FCQ41" s="52"/>
      <c r="FCR41" s="52"/>
      <c r="FCS41" s="52"/>
      <c r="FCT41" s="52"/>
      <c r="FCU41" s="52"/>
      <c r="FCV41" s="52"/>
      <c r="FCW41" s="52"/>
      <c r="FCX41" s="52"/>
      <c r="FCY41" s="52"/>
      <c r="FCZ41" s="52"/>
      <c r="FDA41" s="52"/>
      <c r="FDB41" s="52"/>
      <c r="FDC41" s="52"/>
      <c r="FDD41" s="52"/>
      <c r="FDE41" s="52"/>
      <c r="FDF41" s="52"/>
      <c r="FDG41" s="52"/>
      <c r="FDH41" s="52"/>
      <c r="FDI41" s="52"/>
      <c r="FDJ41" s="52"/>
      <c r="FDK41" s="52"/>
      <c r="FDL41" s="52"/>
      <c r="FDM41" s="52"/>
      <c r="FDN41" s="52"/>
      <c r="FDO41" s="52"/>
      <c r="FDP41" s="52"/>
      <c r="FDQ41" s="52"/>
      <c r="FDR41" s="52"/>
      <c r="FDS41" s="52"/>
      <c r="FDT41" s="52"/>
      <c r="FDU41" s="52"/>
      <c r="FDV41" s="52"/>
      <c r="FDW41" s="52"/>
      <c r="FDX41" s="52"/>
      <c r="FDY41" s="52"/>
      <c r="FDZ41" s="52"/>
      <c r="FEA41" s="52"/>
      <c r="FEB41" s="52"/>
      <c r="FEC41" s="52"/>
      <c r="FED41" s="52"/>
      <c r="FEE41" s="52"/>
      <c r="FEF41" s="52"/>
      <c r="FEG41" s="52"/>
      <c r="FEH41" s="52"/>
      <c r="FEI41" s="52"/>
      <c r="FEJ41" s="52"/>
      <c r="FEK41" s="52"/>
      <c r="FEL41" s="52"/>
      <c r="FEM41" s="52"/>
      <c r="FEN41" s="52"/>
      <c r="FEO41" s="52"/>
      <c r="FEP41" s="52"/>
      <c r="FEQ41" s="52"/>
      <c r="FER41" s="52"/>
      <c r="FES41" s="52"/>
      <c r="FET41" s="52"/>
      <c r="FEU41" s="52"/>
      <c r="FEV41" s="52"/>
      <c r="FEW41" s="52"/>
      <c r="FEX41" s="52"/>
      <c r="FEY41" s="52"/>
      <c r="FEZ41" s="52"/>
      <c r="FFA41" s="52"/>
      <c r="FFB41" s="52"/>
      <c r="FFC41" s="52"/>
      <c r="FFD41" s="52"/>
      <c r="FFE41" s="52"/>
      <c r="FFF41" s="52"/>
      <c r="FFG41" s="52"/>
      <c r="FFH41" s="52"/>
      <c r="FFI41" s="52"/>
      <c r="FFJ41" s="52"/>
      <c r="FFK41" s="52"/>
      <c r="FFL41" s="52"/>
      <c r="FFM41" s="52"/>
      <c r="FFN41" s="52"/>
      <c r="FFO41" s="52"/>
      <c r="FFP41" s="52"/>
      <c r="FFQ41" s="52"/>
      <c r="FFR41" s="52"/>
      <c r="FFS41" s="52"/>
      <c r="FFT41" s="52"/>
      <c r="FFU41" s="52"/>
      <c r="FFV41" s="52"/>
      <c r="FFW41" s="52"/>
      <c r="FFX41" s="52"/>
      <c r="FFY41" s="52"/>
      <c r="FFZ41" s="52"/>
      <c r="FGA41" s="52"/>
      <c r="FGB41" s="52"/>
      <c r="FGC41" s="52"/>
      <c r="FGD41" s="52"/>
      <c r="FGE41" s="52"/>
      <c r="FGF41" s="52"/>
      <c r="FGG41" s="52"/>
      <c r="FGH41" s="52"/>
      <c r="FGI41" s="52"/>
      <c r="FGJ41" s="52"/>
      <c r="FGK41" s="52"/>
      <c r="FGL41" s="52"/>
      <c r="FGM41" s="52"/>
      <c r="FGN41" s="52"/>
      <c r="FGO41" s="52"/>
      <c r="FGP41" s="52"/>
      <c r="FGQ41" s="52"/>
      <c r="FGR41" s="52"/>
      <c r="FGS41" s="52"/>
      <c r="FGT41" s="52"/>
      <c r="FGU41" s="52"/>
      <c r="FGV41" s="52"/>
      <c r="FGW41" s="52"/>
      <c r="FGX41" s="52"/>
      <c r="FGY41" s="52"/>
      <c r="FGZ41" s="52"/>
      <c r="FHA41" s="52"/>
      <c r="FHB41" s="52"/>
      <c r="FHC41" s="52"/>
      <c r="FHD41" s="52"/>
      <c r="FHE41" s="52"/>
      <c r="FHF41" s="52"/>
      <c r="FHG41" s="52"/>
      <c r="FHH41" s="52"/>
      <c r="FHI41" s="52"/>
      <c r="FHJ41" s="52"/>
      <c r="FHK41" s="52"/>
      <c r="FHL41" s="52"/>
      <c r="FHM41" s="52"/>
      <c r="FHN41" s="52"/>
      <c r="FHO41" s="52"/>
      <c r="FHP41" s="52"/>
      <c r="FHQ41" s="52"/>
      <c r="FHR41" s="52"/>
      <c r="FHS41" s="52"/>
      <c r="FHT41" s="52"/>
      <c r="FHU41" s="52"/>
      <c r="FHV41" s="52"/>
      <c r="FHW41" s="52"/>
      <c r="FHX41" s="52"/>
      <c r="FHY41" s="52"/>
      <c r="FHZ41" s="52"/>
      <c r="FIA41" s="52"/>
      <c r="FIB41" s="52"/>
      <c r="FIC41" s="52"/>
      <c r="FID41" s="52"/>
      <c r="FIE41" s="52"/>
      <c r="FIF41" s="52"/>
      <c r="FIG41" s="52"/>
      <c r="FIH41" s="52"/>
      <c r="FII41" s="52"/>
      <c r="FIJ41" s="52"/>
      <c r="FIK41" s="52"/>
      <c r="FIL41" s="52"/>
      <c r="FIM41" s="52"/>
      <c r="FIN41" s="52"/>
      <c r="FIO41" s="52"/>
      <c r="FIP41" s="52"/>
      <c r="FIQ41" s="52"/>
      <c r="FIR41" s="52"/>
      <c r="FIS41" s="52"/>
      <c r="FIT41" s="52"/>
      <c r="FIU41" s="52"/>
      <c r="FIV41" s="52"/>
      <c r="FIW41" s="52"/>
      <c r="FIX41" s="52"/>
      <c r="FIY41" s="52"/>
      <c r="FIZ41" s="52"/>
      <c r="FJA41" s="52"/>
      <c r="FJB41" s="52"/>
      <c r="FJC41" s="52"/>
      <c r="FJD41" s="52"/>
      <c r="FJE41" s="52"/>
      <c r="FJF41" s="52"/>
      <c r="FJG41" s="52"/>
      <c r="FJH41" s="52"/>
      <c r="FJI41" s="52"/>
      <c r="FJJ41" s="52"/>
      <c r="FJK41" s="52"/>
      <c r="FJL41" s="52"/>
      <c r="FJM41" s="52"/>
      <c r="FJN41" s="52"/>
      <c r="FJO41" s="52"/>
      <c r="FJP41" s="52"/>
      <c r="FJQ41" s="52"/>
      <c r="FJR41" s="52"/>
      <c r="FJS41" s="52"/>
      <c r="FJT41" s="52"/>
      <c r="FJU41" s="52"/>
      <c r="FJV41" s="52"/>
      <c r="FJW41" s="52"/>
      <c r="FJX41" s="52"/>
      <c r="FJY41" s="52"/>
      <c r="FJZ41" s="52"/>
      <c r="FKA41" s="52"/>
      <c r="FKB41" s="52"/>
      <c r="FKC41" s="52"/>
      <c r="FKD41" s="52"/>
      <c r="FKE41" s="52"/>
      <c r="FKF41" s="52"/>
      <c r="FKG41" s="52"/>
      <c r="FKH41" s="52"/>
      <c r="FKI41" s="52"/>
      <c r="FKJ41" s="52"/>
      <c r="FKK41" s="52"/>
      <c r="FKL41" s="52"/>
      <c r="FKM41" s="52"/>
      <c r="FKN41" s="52"/>
      <c r="FKO41" s="52"/>
      <c r="FKP41" s="52"/>
      <c r="FKQ41" s="52"/>
      <c r="FKR41" s="52"/>
      <c r="FKS41" s="52"/>
      <c r="FKT41" s="52"/>
      <c r="FKU41" s="52"/>
      <c r="FKV41" s="52"/>
      <c r="FKW41" s="52"/>
      <c r="FKX41" s="52"/>
      <c r="FKY41" s="52"/>
      <c r="FKZ41" s="52"/>
      <c r="FLA41" s="52"/>
      <c r="FLB41" s="52"/>
      <c r="FLC41" s="52"/>
      <c r="FLD41" s="52"/>
      <c r="FLE41" s="52"/>
      <c r="FLF41" s="52"/>
      <c r="FLG41" s="52"/>
      <c r="FLH41" s="52"/>
      <c r="FLI41" s="52"/>
      <c r="FLJ41" s="52"/>
      <c r="FLK41" s="52"/>
      <c r="FLL41" s="52"/>
      <c r="FLM41" s="52"/>
      <c r="FLN41" s="52"/>
      <c r="FLO41" s="52"/>
      <c r="FLP41" s="52"/>
      <c r="FLQ41" s="52"/>
      <c r="FLR41" s="52"/>
      <c r="FLS41" s="52"/>
      <c r="FLT41" s="52"/>
      <c r="FLU41" s="52"/>
      <c r="FLV41" s="52"/>
      <c r="FLW41" s="52"/>
      <c r="FLX41" s="52"/>
      <c r="FLY41" s="52"/>
      <c r="FLZ41" s="52"/>
      <c r="FMA41" s="52"/>
      <c r="FMB41" s="52"/>
      <c r="FMC41" s="52"/>
      <c r="FMD41" s="52"/>
      <c r="FME41" s="52"/>
      <c r="FMF41" s="52"/>
      <c r="FMG41" s="52"/>
      <c r="FMH41" s="52"/>
      <c r="FMI41" s="52"/>
      <c r="FMJ41" s="52"/>
      <c r="FMK41" s="52"/>
      <c r="FML41" s="52"/>
      <c r="FMM41" s="52"/>
      <c r="FMN41" s="52"/>
      <c r="FMO41" s="52"/>
      <c r="FMP41" s="52"/>
      <c r="FMQ41" s="52"/>
      <c r="FMR41" s="52"/>
      <c r="FMS41" s="52"/>
      <c r="FMT41" s="52"/>
      <c r="FMU41" s="52"/>
      <c r="FMV41" s="52"/>
      <c r="FMW41" s="52"/>
      <c r="FMX41" s="52"/>
      <c r="FMY41" s="52"/>
      <c r="FMZ41" s="52"/>
      <c r="FNA41" s="52"/>
      <c r="FNB41" s="52"/>
      <c r="FNC41" s="52"/>
      <c r="FND41" s="52"/>
      <c r="FNE41" s="52"/>
      <c r="FNF41" s="52"/>
      <c r="FNG41" s="52"/>
      <c r="FNH41" s="52"/>
      <c r="FNI41" s="52"/>
      <c r="FNJ41" s="52"/>
      <c r="FNK41" s="52"/>
      <c r="FNL41" s="52"/>
      <c r="FNM41" s="52"/>
      <c r="FNN41" s="52"/>
      <c r="FNO41" s="52"/>
      <c r="FNP41" s="52"/>
      <c r="FNQ41" s="52"/>
      <c r="FNR41" s="52"/>
      <c r="FNS41" s="52"/>
      <c r="FNT41" s="52"/>
      <c r="FNU41" s="52"/>
      <c r="FNV41" s="52"/>
      <c r="FNW41" s="52"/>
      <c r="FNX41" s="52"/>
      <c r="FNY41" s="52"/>
      <c r="FNZ41" s="52"/>
      <c r="FOA41" s="52"/>
      <c r="FOB41" s="52"/>
      <c r="FOC41" s="52"/>
      <c r="FOD41" s="52"/>
      <c r="FOE41" s="52"/>
      <c r="FOF41" s="52"/>
      <c r="FOG41" s="52"/>
      <c r="FOH41" s="52"/>
      <c r="FOI41" s="52"/>
      <c r="FOJ41" s="52"/>
      <c r="FOK41" s="52"/>
      <c r="FOL41" s="52"/>
      <c r="FOM41" s="52"/>
      <c r="FON41" s="52"/>
      <c r="FOO41" s="52"/>
      <c r="FOP41" s="52"/>
      <c r="FOQ41" s="52"/>
      <c r="FOR41" s="52"/>
      <c r="FOS41" s="52"/>
      <c r="FOT41" s="52"/>
      <c r="FOU41" s="52"/>
      <c r="FOV41" s="52"/>
      <c r="FOW41" s="52"/>
      <c r="FOX41" s="52"/>
      <c r="FOY41" s="52"/>
      <c r="FOZ41" s="52"/>
      <c r="FPA41" s="52"/>
      <c r="FPB41" s="52"/>
      <c r="FPC41" s="52"/>
      <c r="FPD41" s="52"/>
      <c r="FPE41" s="52"/>
      <c r="FPF41" s="52"/>
      <c r="FPG41" s="52"/>
      <c r="FPH41" s="52"/>
      <c r="FPI41" s="52"/>
      <c r="FPJ41" s="52"/>
      <c r="FPK41" s="52"/>
      <c r="FPL41" s="52"/>
      <c r="FPM41" s="52"/>
      <c r="FPN41" s="52"/>
      <c r="FPO41" s="52"/>
      <c r="FPP41" s="52"/>
      <c r="FPQ41" s="52"/>
      <c r="FPR41" s="52"/>
      <c r="FPS41" s="52"/>
      <c r="FPT41" s="52"/>
      <c r="FPU41" s="52"/>
      <c r="FPV41" s="52"/>
      <c r="FPW41" s="52"/>
      <c r="FPX41" s="52"/>
      <c r="FPY41" s="52"/>
      <c r="FPZ41" s="52"/>
      <c r="FQA41" s="52"/>
      <c r="FQB41" s="52"/>
      <c r="FQC41" s="52"/>
      <c r="FQD41" s="52"/>
      <c r="FQE41" s="52"/>
      <c r="FQF41" s="52"/>
      <c r="FQG41" s="52"/>
      <c r="FQH41" s="52"/>
      <c r="FQI41" s="52"/>
      <c r="FQJ41" s="52"/>
      <c r="FQK41" s="52"/>
      <c r="FQL41" s="52"/>
      <c r="FQM41" s="52"/>
      <c r="FQN41" s="52"/>
      <c r="FQO41" s="52"/>
      <c r="FQP41" s="52"/>
      <c r="FQQ41" s="52"/>
      <c r="FQR41" s="52"/>
      <c r="FQS41" s="52"/>
      <c r="FQT41" s="52"/>
      <c r="FQU41" s="52"/>
      <c r="FQV41" s="52"/>
      <c r="FQW41" s="52"/>
      <c r="FQX41" s="52"/>
      <c r="FQY41" s="52"/>
      <c r="FQZ41" s="52"/>
      <c r="FRA41" s="52"/>
      <c r="FRB41" s="52"/>
      <c r="FRC41" s="52"/>
      <c r="FRD41" s="52"/>
      <c r="FRE41" s="52"/>
      <c r="FRF41" s="52"/>
      <c r="FRG41" s="52"/>
      <c r="FRH41" s="52"/>
      <c r="FRI41" s="52"/>
      <c r="FRJ41" s="52"/>
      <c r="FRK41" s="52"/>
      <c r="FRL41" s="52"/>
      <c r="FRM41" s="52"/>
      <c r="FRN41" s="52"/>
      <c r="FRO41" s="52"/>
      <c r="FRP41" s="52"/>
      <c r="FRQ41" s="52"/>
      <c r="FRR41" s="52"/>
      <c r="FRS41" s="52"/>
      <c r="FRT41" s="52"/>
      <c r="FRU41" s="52"/>
      <c r="FRV41" s="52"/>
      <c r="FRW41" s="52"/>
      <c r="FRX41" s="52"/>
      <c r="FRY41" s="52"/>
      <c r="FRZ41" s="52"/>
      <c r="FSA41" s="52"/>
      <c r="FSB41" s="52"/>
      <c r="FSC41" s="52"/>
      <c r="FSD41" s="52"/>
      <c r="FSE41" s="52"/>
      <c r="FSF41" s="52"/>
      <c r="FSG41" s="52"/>
      <c r="FSH41" s="52"/>
      <c r="FSI41" s="52"/>
      <c r="FSJ41" s="52"/>
      <c r="FSK41" s="52"/>
      <c r="FSL41" s="52"/>
      <c r="FSM41" s="52"/>
      <c r="FSN41" s="52"/>
      <c r="FSO41" s="52"/>
      <c r="FSP41" s="52"/>
      <c r="FSQ41" s="52"/>
      <c r="FSR41" s="52"/>
      <c r="FSS41" s="52"/>
      <c r="FST41" s="52"/>
      <c r="FSU41" s="52"/>
      <c r="FSV41" s="52"/>
      <c r="FSW41" s="52"/>
      <c r="FSX41" s="52"/>
      <c r="FSY41" s="52"/>
      <c r="FSZ41" s="52"/>
      <c r="FTA41" s="52"/>
      <c r="FTB41" s="52"/>
      <c r="FTC41" s="52"/>
      <c r="FTD41" s="52"/>
      <c r="FTE41" s="52"/>
      <c r="FTF41" s="52"/>
      <c r="FTG41" s="52"/>
      <c r="FTH41" s="52"/>
      <c r="FTI41" s="52"/>
      <c r="FTJ41" s="52"/>
      <c r="FTK41" s="52"/>
      <c r="FTL41" s="52"/>
      <c r="FTM41" s="52"/>
      <c r="FTN41" s="52"/>
      <c r="FTO41" s="52"/>
      <c r="FTP41" s="52"/>
      <c r="FTQ41" s="52"/>
      <c r="FTR41" s="52"/>
      <c r="FTS41" s="52"/>
      <c r="FTT41" s="52"/>
      <c r="FTU41" s="52"/>
      <c r="FTV41" s="52"/>
      <c r="FTW41" s="52"/>
      <c r="FTX41" s="52"/>
      <c r="FTY41" s="52"/>
      <c r="FTZ41" s="52"/>
      <c r="FUA41" s="52"/>
      <c r="FUB41" s="52"/>
      <c r="FUC41" s="52"/>
      <c r="FUD41" s="52"/>
      <c r="FUE41" s="52"/>
      <c r="FUF41" s="52"/>
      <c r="FUG41" s="52"/>
      <c r="FUH41" s="52"/>
      <c r="FUI41" s="52"/>
      <c r="FUJ41" s="52"/>
      <c r="FUK41" s="52"/>
      <c r="FUL41" s="52"/>
      <c r="FUM41" s="52"/>
      <c r="FUN41" s="52"/>
      <c r="FUO41" s="52"/>
      <c r="FUP41" s="52"/>
      <c r="FUQ41" s="52"/>
      <c r="FUR41" s="52"/>
      <c r="FUS41" s="52"/>
      <c r="FUT41" s="52"/>
      <c r="FUU41" s="52"/>
      <c r="FUV41" s="52"/>
      <c r="FUW41" s="52"/>
      <c r="FUX41" s="52"/>
      <c r="FUY41" s="52"/>
      <c r="FUZ41" s="52"/>
      <c r="FVA41" s="52"/>
      <c r="FVB41" s="52"/>
      <c r="FVC41" s="52"/>
      <c r="FVD41" s="52"/>
      <c r="FVE41" s="52"/>
      <c r="FVF41" s="52"/>
      <c r="FVG41" s="52"/>
      <c r="FVH41" s="52"/>
      <c r="FVI41" s="52"/>
      <c r="FVJ41" s="52"/>
      <c r="FVK41" s="52"/>
      <c r="FVL41" s="52"/>
      <c r="FVM41" s="52"/>
      <c r="FVN41" s="52"/>
      <c r="FVO41" s="52"/>
      <c r="FVP41" s="52"/>
      <c r="FVQ41" s="52"/>
      <c r="FVR41" s="52"/>
      <c r="FVS41" s="52"/>
      <c r="FVT41" s="52"/>
      <c r="FVU41" s="52"/>
      <c r="FVV41" s="52"/>
      <c r="FVW41" s="52"/>
      <c r="FVX41" s="52"/>
      <c r="FVY41" s="52"/>
      <c r="FVZ41" s="52"/>
      <c r="FWA41" s="52"/>
      <c r="FWB41" s="52"/>
      <c r="FWC41" s="52"/>
      <c r="FWD41" s="52"/>
      <c r="FWE41" s="52"/>
      <c r="FWF41" s="52"/>
      <c r="FWG41" s="52"/>
      <c r="FWH41" s="52"/>
      <c r="FWI41" s="52"/>
      <c r="FWJ41" s="52"/>
      <c r="FWK41" s="52"/>
      <c r="FWL41" s="52"/>
      <c r="FWM41" s="52"/>
      <c r="FWN41" s="52"/>
      <c r="FWO41" s="52"/>
      <c r="FWP41" s="52"/>
      <c r="FWQ41" s="52"/>
      <c r="FWR41" s="52"/>
      <c r="FWS41" s="52"/>
      <c r="FWT41" s="52"/>
      <c r="FWU41" s="52"/>
      <c r="FWV41" s="52"/>
      <c r="FWW41" s="52"/>
      <c r="FWX41" s="52"/>
      <c r="FWY41" s="52"/>
      <c r="FWZ41" s="52"/>
      <c r="FXA41" s="52"/>
      <c r="FXB41" s="52"/>
      <c r="FXC41" s="52"/>
      <c r="FXD41" s="52"/>
      <c r="FXE41" s="52"/>
      <c r="FXF41" s="52"/>
      <c r="FXG41" s="52"/>
      <c r="FXH41" s="52"/>
      <c r="FXI41" s="52"/>
      <c r="FXJ41" s="52"/>
      <c r="FXK41" s="52"/>
      <c r="FXL41" s="52"/>
      <c r="FXM41" s="52"/>
      <c r="FXN41" s="52"/>
      <c r="FXO41" s="52"/>
      <c r="FXP41" s="52"/>
      <c r="FXQ41" s="52"/>
      <c r="FXR41" s="52"/>
      <c r="FXS41" s="52"/>
      <c r="FXT41" s="52"/>
      <c r="FXU41" s="52"/>
      <c r="FXV41" s="52"/>
      <c r="FXW41" s="52"/>
      <c r="FXX41" s="52"/>
      <c r="FXY41" s="52"/>
      <c r="FXZ41" s="52"/>
      <c r="FYA41" s="52"/>
      <c r="FYB41" s="52"/>
      <c r="FYC41" s="52"/>
      <c r="FYD41" s="52"/>
      <c r="FYE41" s="52"/>
      <c r="FYF41" s="52"/>
      <c r="FYG41" s="52"/>
      <c r="FYH41" s="52"/>
      <c r="FYI41" s="52"/>
      <c r="FYJ41" s="52"/>
      <c r="FYK41" s="52"/>
      <c r="FYL41" s="52"/>
      <c r="FYM41" s="52"/>
      <c r="FYN41" s="52"/>
      <c r="FYO41" s="52"/>
      <c r="FYP41" s="52"/>
      <c r="FYQ41" s="52"/>
      <c r="FYR41" s="52"/>
      <c r="FYS41" s="52"/>
      <c r="FYT41" s="52"/>
      <c r="FYU41" s="52"/>
      <c r="FYV41" s="52"/>
      <c r="FYW41" s="52"/>
      <c r="FYX41" s="52"/>
      <c r="FYY41" s="52"/>
      <c r="FYZ41" s="52"/>
      <c r="FZA41" s="52"/>
      <c r="FZB41" s="52"/>
      <c r="FZC41" s="52"/>
      <c r="FZD41" s="52"/>
      <c r="FZE41" s="52"/>
      <c r="FZF41" s="52"/>
      <c r="FZG41" s="52"/>
      <c r="FZH41" s="52"/>
      <c r="FZI41" s="52"/>
      <c r="FZJ41" s="52"/>
      <c r="FZK41" s="52"/>
      <c r="FZL41" s="52"/>
      <c r="FZM41" s="52"/>
      <c r="FZN41" s="52"/>
      <c r="FZO41" s="52"/>
      <c r="FZP41" s="52"/>
      <c r="FZQ41" s="52"/>
      <c r="FZR41" s="52"/>
      <c r="FZS41" s="52"/>
      <c r="FZT41" s="52"/>
      <c r="FZU41" s="52"/>
      <c r="FZV41" s="52"/>
      <c r="FZW41" s="52"/>
      <c r="FZX41" s="52"/>
      <c r="FZY41" s="52"/>
      <c r="FZZ41" s="52"/>
      <c r="GAA41" s="52"/>
      <c r="GAB41" s="52"/>
      <c r="GAC41" s="52"/>
      <c r="GAD41" s="52"/>
      <c r="GAE41" s="52"/>
      <c r="GAF41" s="52"/>
      <c r="GAG41" s="52"/>
      <c r="GAH41" s="52"/>
      <c r="GAI41" s="52"/>
      <c r="GAJ41" s="52"/>
      <c r="GAK41" s="52"/>
      <c r="GAL41" s="52"/>
      <c r="GAM41" s="52"/>
      <c r="GAN41" s="52"/>
      <c r="GAO41" s="52"/>
      <c r="GAP41" s="52"/>
      <c r="GAQ41" s="52"/>
      <c r="GAR41" s="52"/>
      <c r="GAS41" s="52"/>
      <c r="GAT41" s="52"/>
      <c r="GAU41" s="52"/>
      <c r="GAV41" s="52"/>
      <c r="GAW41" s="52"/>
      <c r="GAX41" s="52"/>
      <c r="GAY41" s="52"/>
      <c r="GAZ41" s="52"/>
      <c r="GBA41" s="52"/>
      <c r="GBB41" s="52"/>
      <c r="GBC41" s="52"/>
      <c r="GBD41" s="52"/>
      <c r="GBE41" s="52"/>
      <c r="GBF41" s="52"/>
      <c r="GBG41" s="52"/>
      <c r="GBH41" s="52"/>
      <c r="GBI41" s="52"/>
      <c r="GBJ41" s="52"/>
      <c r="GBK41" s="52"/>
      <c r="GBL41" s="52"/>
      <c r="GBM41" s="52"/>
      <c r="GBN41" s="52"/>
      <c r="GBO41" s="52"/>
      <c r="GBP41" s="52"/>
      <c r="GBQ41" s="52"/>
      <c r="GBR41" s="52"/>
      <c r="GBS41" s="52"/>
      <c r="GBT41" s="52"/>
      <c r="GBU41" s="52"/>
      <c r="GBV41" s="52"/>
      <c r="GBW41" s="52"/>
      <c r="GBX41" s="52"/>
      <c r="GBY41" s="52"/>
      <c r="GBZ41" s="52"/>
      <c r="GCA41" s="52"/>
      <c r="GCB41" s="52"/>
      <c r="GCC41" s="52"/>
      <c r="GCD41" s="52"/>
      <c r="GCE41" s="52"/>
      <c r="GCF41" s="52"/>
      <c r="GCG41" s="52"/>
      <c r="GCH41" s="52"/>
      <c r="GCI41" s="52"/>
      <c r="GCJ41" s="52"/>
      <c r="GCK41" s="52"/>
      <c r="GCL41" s="52"/>
      <c r="GCM41" s="52"/>
      <c r="GCN41" s="52"/>
      <c r="GCO41" s="52"/>
      <c r="GCP41" s="52"/>
      <c r="GCQ41" s="52"/>
      <c r="GCR41" s="52"/>
      <c r="GCS41" s="52"/>
      <c r="GCT41" s="52"/>
      <c r="GCU41" s="52"/>
      <c r="GCV41" s="52"/>
      <c r="GCW41" s="52"/>
      <c r="GCX41" s="52"/>
      <c r="GCY41" s="52"/>
      <c r="GCZ41" s="52"/>
      <c r="GDA41" s="52"/>
      <c r="GDB41" s="52"/>
      <c r="GDC41" s="52"/>
      <c r="GDD41" s="52"/>
      <c r="GDE41" s="52"/>
      <c r="GDF41" s="52"/>
      <c r="GDG41" s="52"/>
      <c r="GDH41" s="52"/>
      <c r="GDI41" s="52"/>
      <c r="GDJ41" s="52"/>
      <c r="GDK41" s="52"/>
      <c r="GDL41" s="52"/>
      <c r="GDM41" s="52"/>
      <c r="GDN41" s="52"/>
      <c r="GDO41" s="52"/>
      <c r="GDP41" s="52"/>
      <c r="GDQ41" s="52"/>
      <c r="GDR41" s="52"/>
      <c r="GDS41" s="52"/>
      <c r="GDT41" s="52"/>
      <c r="GDU41" s="52"/>
      <c r="GDV41" s="52"/>
      <c r="GDW41" s="52"/>
      <c r="GDX41" s="52"/>
      <c r="GDY41" s="52"/>
      <c r="GDZ41" s="52"/>
      <c r="GEA41" s="52"/>
      <c r="GEB41" s="52"/>
      <c r="GEC41" s="52"/>
      <c r="GED41" s="52"/>
      <c r="GEE41" s="52"/>
      <c r="GEF41" s="52"/>
      <c r="GEG41" s="52"/>
      <c r="GEH41" s="52"/>
      <c r="GEI41" s="52"/>
      <c r="GEJ41" s="52"/>
      <c r="GEK41" s="52"/>
      <c r="GEL41" s="52"/>
      <c r="GEM41" s="52"/>
      <c r="GEN41" s="52"/>
      <c r="GEO41" s="52"/>
      <c r="GEP41" s="52"/>
      <c r="GEQ41" s="52"/>
      <c r="GER41" s="52"/>
      <c r="GES41" s="52"/>
      <c r="GET41" s="52"/>
      <c r="GEU41" s="52"/>
      <c r="GEV41" s="52"/>
      <c r="GEW41" s="52"/>
      <c r="GEX41" s="52"/>
      <c r="GEY41" s="52"/>
      <c r="GEZ41" s="52"/>
      <c r="GFA41" s="52"/>
      <c r="GFB41" s="52"/>
      <c r="GFC41" s="52"/>
      <c r="GFD41" s="52"/>
      <c r="GFE41" s="52"/>
      <c r="GFF41" s="52"/>
      <c r="GFG41" s="52"/>
      <c r="GFH41" s="52"/>
      <c r="GFI41" s="52"/>
      <c r="GFJ41" s="52"/>
      <c r="GFK41" s="52"/>
      <c r="GFL41" s="52"/>
      <c r="GFM41" s="52"/>
      <c r="GFN41" s="52"/>
      <c r="GFO41" s="52"/>
      <c r="GFP41" s="52"/>
      <c r="GFQ41" s="52"/>
      <c r="GFR41" s="52"/>
      <c r="GFS41" s="52"/>
      <c r="GFT41" s="52"/>
      <c r="GFU41" s="52"/>
      <c r="GFV41" s="52"/>
      <c r="GFW41" s="52"/>
      <c r="GFX41" s="52"/>
      <c r="GFY41" s="52"/>
      <c r="GFZ41" s="52"/>
      <c r="GGA41" s="52"/>
      <c r="GGB41" s="52"/>
      <c r="GGC41" s="52"/>
      <c r="GGD41" s="52"/>
      <c r="GGE41" s="52"/>
      <c r="GGF41" s="52"/>
      <c r="GGG41" s="52"/>
      <c r="GGH41" s="52"/>
      <c r="GGI41" s="52"/>
      <c r="GGJ41" s="52"/>
      <c r="GGK41" s="52"/>
      <c r="GGL41" s="52"/>
      <c r="GGM41" s="52"/>
      <c r="GGN41" s="52"/>
      <c r="GGO41" s="52"/>
      <c r="GGP41" s="52"/>
      <c r="GGQ41" s="52"/>
      <c r="GGR41" s="52"/>
      <c r="GGS41" s="52"/>
      <c r="GGT41" s="52"/>
      <c r="GGU41" s="52"/>
      <c r="GGV41" s="52"/>
      <c r="GGW41" s="52"/>
      <c r="GGX41" s="52"/>
      <c r="GGY41" s="52"/>
      <c r="GGZ41" s="52"/>
      <c r="GHA41" s="52"/>
      <c r="GHB41" s="52"/>
      <c r="GHC41" s="52"/>
      <c r="GHD41" s="52"/>
      <c r="GHE41" s="52"/>
      <c r="GHF41" s="52"/>
      <c r="GHG41" s="52"/>
      <c r="GHH41" s="52"/>
      <c r="GHI41" s="52"/>
      <c r="GHJ41" s="52"/>
      <c r="GHK41" s="52"/>
      <c r="GHL41" s="52"/>
      <c r="GHM41" s="52"/>
      <c r="GHN41" s="52"/>
      <c r="GHO41" s="52"/>
      <c r="GHP41" s="52"/>
      <c r="GHQ41" s="52"/>
      <c r="GHR41" s="52"/>
      <c r="GHS41" s="52"/>
      <c r="GHT41" s="52"/>
      <c r="GHU41" s="52"/>
      <c r="GHV41" s="52"/>
      <c r="GHW41" s="52"/>
      <c r="GHX41" s="52"/>
      <c r="GHY41" s="52"/>
      <c r="GHZ41" s="52"/>
      <c r="GIA41" s="52"/>
      <c r="GIB41" s="52"/>
      <c r="GIC41" s="52"/>
      <c r="GID41" s="52"/>
      <c r="GIE41" s="52"/>
      <c r="GIF41" s="52"/>
      <c r="GIG41" s="52"/>
      <c r="GIH41" s="52"/>
      <c r="GII41" s="52"/>
      <c r="GIJ41" s="52"/>
      <c r="GIK41" s="52"/>
      <c r="GIL41" s="52"/>
      <c r="GIM41" s="52"/>
      <c r="GIN41" s="52"/>
      <c r="GIO41" s="52"/>
      <c r="GIP41" s="52"/>
      <c r="GIQ41" s="52"/>
      <c r="GIR41" s="52"/>
      <c r="GIS41" s="52"/>
      <c r="GIT41" s="52"/>
      <c r="GIU41" s="52"/>
      <c r="GIV41" s="52"/>
      <c r="GIW41" s="52"/>
      <c r="GIX41" s="52"/>
      <c r="GIY41" s="52"/>
      <c r="GIZ41" s="52"/>
      <c r="GJA41" s="52"/>
      <c r="GJB41" s="52"/>
      <c r="GJC41" s="52"/>
      <c r="GJD41" s="52"/>
      <c r="GJE41" s="52"/>
      <c r="GJF41" s="52"/>
      <c r="GJG41" s="52"/>
      <c r="GJH41" s="52"/>
      <c r="GJI41" s="52"/>
      <c r="GJJ41" s="52"/>
      <c r="GJK41" s="52"/>
      <c r="GJL41" s="52"/>
      <c r="GJM41" s="52"/>
      <c r="GJN41" s="52"/>
      <c r="GJO41" s="52"/>
      <c r="GJP41" s="52"/>
      <c r="GJQ41" s="52"/>
      <c r="GJR41" s="52"/>
      <c r="GJS41" s="52"/>
      <c r="GJT41" s="52"/>
      <c r="GJU41" s="52"/>
      <c r="GJV41" s="52"/>
      <c r="GJW41" s="52"/>
      <c r="GJX41" s="52"/>
      <c r="GJY41" s="52"/>
      <c r="GJZ41" s="52"/>
      <c r="GKA41" s="52"/>
      <c r="GKB41" s="52"/>
      <c r="GKC41" s="52"/>
      <c r="GKD41" s="52"/>
      <c r="GKE41" s="52"/>
      <c r="GKF41" s="52"/>
      <c r="GKG41" s="52"/>
      <c r="GKH41" s="52"/>
      <c r="GKI41" s="52"/>
      <c r="GKJ41" s="52"/>
      <c r="GKK41" s="52"/>
      <c r="GKL41" s="52"/>
      <c r="GKM41" s="52"/>
      <c r="GKN41" s="52"/>
      <c r="GKO41" s="52"/>
      <c r="GKP41" s="52"/>
      <c r="GKQ41" s="52"/>
      <c r="GKR41" s="52"/>
      <c r="GKS41" s="52"/>
      <c r="GKT41" s="52"/>
      <c r="GKU41" s="52"/>
      <c r="GKV41" s="52"/>
      <c r="GKW41" s="52"/>
      <c r="GKX41" s="52"/>
      <c r="GKY41" s="52"/>
      <c r="GKZ41" s="52"/>
      <c r="GLA41" s="52"/>
      <c r="GLB41" s="52"/>
      <c r="GLC41" s="52"/>
      <c r="GLD41" s="52"/>
      <c r="GLE41" s="52"/>
      <c r="GLF41" s="52"/>
      <c r="GLG41" s="52"/>
      <c r="GLH41" s="52"/>
      <c r="GLI41" s="52"/>
      <c r="GLJ41" s="52"/>
      <c r="GLK41" s="52"/>
      <c r="GLL41" s="52"/>
      <c r="GLM41" s="52"/>
      <c r="GLN41" s="52"/>
      <c r="GLO41" s="52"/>
      <c r="GLP41" s="52"/>
      <c r="GLQ41" s="52"/>
      <c r="GLR41" s="52"/>
      <c r="GLS41" s="52"/>
      <c r="GLT41" s="52"/>
      <c r="GLU41" s="52"/>
      <c r="GLV41" s="52"/>
      <c r="GLW41" s="52"/>
      <c r="GLX41" s="52"/>
      <c r="GLY41" s="52"/>
      <c r="GLZ41" s="52"/>
      <c r="GMA41" s="52"/>
      <c r="GMB41" s="52"/>
      <c r="GMC41" s="52"/>
      <c r="GMD41" s="52"/>
      <c r="GME41" s="52"/>
      <c r="GMF41" s="52"/>
      <c r="GMG41" s="52"/>
      <c r="GMH41" s="52"/>
      <c r="GMI41" s="52"/>
      <c r="GMJ41" s="52"/>
      <c r="GMK41" s="52"/>
      <c r="GML41" s="52"/>
      <c r="GMM41" s="52"/>
      <c r="GMN41" s="52"/>
      <c r="GMO41" s="52"/>
      <c r="GMP41" s="52"/>
      <c r="GMQ41" s="52"/>
      <c r="GMR41" s="52"/>
      <c r="GMS41" s="52"/>
      <c r="GMT41" s="52"/>
      <c r="GMU41" s="52"/>
      <c r="GMV41" s="52"/>
      <c r="GMW41" s="52"/>
      <c r="GMX41" s="52"/>
      <c r="GMY41" s="52"/>
      <c r="GMZ41" s="52"/>
      <c r="GNA41" s="52"/>
      <c r="GNB41" s="52"/>
      <c r="GNC41" s="52"/>
      <c r="GND41" s="52"/>
      <c r="GNE41" s="52"/>
      <c r="GNF41" s="52"/>
      <c r="GNG41" s="52"/>
      <c r="GNH41" s="52"/>
      <c r="GNI41" s="52"/>
      <c r="GNJ41" s="52"/>
      <c r="GNK41" s="52"/>
      <c r="GNL41" s="52"/>
      <c r="GNM41" s="52"/>
      <c r="GNN41" s="52"/>
      <c r="GNO41" s="52"/>
      <c r="GNP41" s="52"/>
      <c r="GNQ41" s="52"/>
      <c r="GNR41" s="52"/>
      <c r="GNS41" s="52"/>
      <c r="GNT41" s="52"/>
      <c r="GNU41" s="52"/>
      <c r="GNV41" s="52"/>
      <c r="GNW41" s="52"/>
      <c r="GNX41" s="52"/>
      <c r="GNY41" s="52"/>
      <c r="GNZ41" s="52"/>
      <c r="GOA41" s="52"/>
      <c r="GOB41" s="52"/>
      <c r="GOC41" s="52"/>
      <c r="GOD41" s="52"/>
      <c r="GOE41" s="52"/>
      <c r="GOF41" s="52"/>
      <c r="GOG41" s="52"/>
      <c r="GOH41" s="52"/>
      <c r="GOI41" s="52"/>
      <c r="GOJ41" s="52"/>
      <c r="GOK41" s="52"/>
      <c r="GOL41" s="52"/>
      <c r="GOM41" s="52"/>
      <c r="GON41" s="52"/>
      <c r="GOO41" s="52"/>
      <c r="GOP41" s="52"/>
      <c r="GOQ41" s="52"/>
      <c r="GOR41" s="52"/>
      <c r="GOS41" s="52"/>
      <c r="GOT41" s="52"/>
      <c r="GOU41" s="52"/>
      <c r="GOV41" s="52"/>
      <c r="GOW41" s="52"/>
      <c r="GOX41" s="52"/>
      <c r="GOY41" s="52"/>
      <c r="GOZ41" s="52"/>
      <c r="GPA41" s="52"/>
      <c r="GPB41" s="52"/>
      <c r="GPC41" s="52"/>
      <c r="GPD41" s="52"/>
      <c r="GPE41" s="52"/>
      <c r="GPF41" s="52"/>
      <c r="GPG41" s="52"/>
      <c r="GPH41" s="52"/>
      <c r="GPI41" s="52"/>
      <c r="GPJ41" s="52"/>
      <c r="GPK41" s="52"/>
      <c r="GPL41" s="52"/>
      <c r="GPM41" s="52"/>
      <c r="GPN41" s="52"/>
      <c r="GPO41" s="52"/>
      <c r="GPP41" s="52"/>
      <c r="GPQ41" s="52"/>
      <c r="GPR41" s="52"/>
      <c r="GPS41" s="52"/>
      <c r="GPT41" s="52"/>
      <c r="GPU41" s="52"/>
      <c r="GPV41" s="52"/>
      <c r="GPW41" s="52"/>
      <c r="GPX41" s="52"/>
      <c r="GPY41" s="52"/>
      <c r="GPZ41" s="52"/>
      <c r="GQA41" s="52"/>
      <c r="GQB41" s="52"/>
      <c r="GQC41" s="52"/>
      <c r="GQD41" s="52"/>
      <c r="GQE41" s="52"/>
      <c r="GQF41" s="52"/>
      <c r="GQG41" s="52"/>
      <c r="GQH41" s="52"/>
      <c r="GQI41" s="52"/>
      <c r="GQJ41" s="52"/>
      <c r="GQK41" s="52"/>
      <c r="GQL41" s="52"/>
      <c r="GQM41" s="52"/>
      <c r="GQN41" s="52"/>
      <c r="GQO41" s="52"/>
      <c r="GQP41" s="52"/>
      <c r="GQQ41" s="52"/>
      <c r="GQR41" s="52"/>
      <c r="GQS41" s="52"/>
      <c r="GQT41" s="52"/>
      <c r="GQU41" s="52"/>
      <c r="GQV41" s="52"/>
      <c r="GQW41" s="52"/>
      <c r="GQX41" s="52"/>
      <c r="GQY41" s="52"/>
      <c r="GQZ41" s="52"/>
      <c r="GRA41" s="52"/>
      <c r="GRB41" s="52"/>
      <c r="GRC41" s="52"/>
      <c r="GRD41" s="52"/>
      <c r="GRE41" s="52"/>
      <c r="GRF41" s="52"/>
      <c r="GRG41" s="52"/>
      <c r="GRH41" s="52"/>
      <c r="GRI41" s="52"/>
      <c r="GRJ41" s="52"/>
      <c r="GRK41" s="52"/>
      <c r="GRL41" s="52"/>
      <c r="GRM41" s="52"/>
      <c r="GRN41" s="52"/>
      <c r="GRO41" s="52"/>
      <c r="GRP41" s="52"/>
      <c r="GRQ41" s="52"/>
      <c r="GRR41" s="52"/>
      <c r="GRS41" s="52"/>
      <c r="GRT41" s="52"/>
      <c r="GRU41" s="52"/>
      <c r="GRV41" s="52"/>
      <c r="GRW41" s="52"/>
      <c r="GRX41" s="52"/>
      <c r="GRY41" s="52"/>
      <c r="GRZ41" s="52"/>
      <c r="GSA41" s="52"/>
      <c r="GSB41" s="52"/>
      <c r="GSC41" s="52"/>
      <c r="GSD41" s="52"/>
      <c r="GSE41" s="52"/>
      <c r="GSF41" s="52"/>
      <c r="GSG41" s="52"/>
      <c r="GSH41" s="52"/>
      <c r="GSI41" s="52"/>
      <c r="GSJ41" s="52"/>
      <c r="GSK41" s="52"/>
      <c r="GSL41" s="52"/>
      <c r="GSM41" s="52"/>
      <c r="GSN41" s="52"/>
      <c r="GSO41" s="52"/>
      <c r="GSP41" s="52"/>
      <c r="GSQ41" s="52"/>
      <c r="GSR41" s="52"/>
      <c r="GSS41" s="52"/>
      <c r="GST41" s="52"/>
      <c r="GSU41" s="52"/>
      <c r="GSV41" s="52"/>
      <c r="GSW41" s="52"/>
      <c r="GSX41" s="52"/>
      <c r="GSY41" s="52"/>
      <c r="GSZ41" s="52"/>
      <c r="GTA41" s="52"/>
      <c r="GTB41" s="52"/>
      <c r="GTC41" s="52"/>
      <c r="GTD41" s="52"/>
      <c r="GTE41" s="52"/>
      <c r="GTF41" s="52"/>
      <c r="GTG41" s="52"/>
      <c r="GTH41" s="52"/>
      <c r="GTI41" s="52"/>
      <c r="GTJ41" s="52"/>
      <c r="GTK41" s="52"/>
      <c r="GTL41" s="52"/>
      <c r="GTM41" s="52"/>
      <c r="GTN41" s="52"/>
      <c r="GTO41" s="52"/>
      <c r="GTP41" s="52"/>
      <c r="GTQ41" s="52"/>
      <c r="GTR41" s="52"/>
      <c r="GTS41" s="52"/>
      <c r="GTT41" s="52"/>
      <c r="GTU41" s="52"/>
      <c r="GTV41" s="52"/>
      <c r="GTW41" s="52"/>
      <c r="GTX41" s="52"/>
      <c r="GTY41" s="52"/>
      <c r="GTZ41" s="52"/>
      <c r="GUA41" s="52"/>
      <c r="GUB41" s="52"/>
      <c r="GUC41" s="52"/>
      <c r="GUD41" s="52"/>
      <c r="GUE41" s="52"/>
      <c r="GUF41" s="52"/>
      <c r="GUG41" s="52"/>
      <c r="GUH41" s="52"/>
      <c r="GUI41" s="52"/>
      <c r="GUJ41" s="52"/>
      <c r="GUK41" s="52"/>
      <c r="GUL41" s="52"/>
      <c r="GUM41" s="52"/>
      <c r="GUN41" s="52"/>
      <c r="GUO41" s="52"/>
      <c r="GUP41" s="52"/>
      <c r="GUQ41" s="52"/>
      <c r="GUR41" s="52"/>
      <c r="GUS41" s="52"/>
      <c r="GUT41" s="52"/>
      <c r="GUU41" s="52"/>
      <c r="GUV41" s="52"/>
      <c r="GUW41" s="52"/>
      <c r="GUX41" s="52"/>
      <c r="GUY41" s="52"/>
      <c r="GUZ41" s="52"/>
      <c r="GVA41" s="52"/>
      <c r="GVB41" s="52"/>
      <c r="GVC41" s="52"/>
      <c r="GVD41" s="52"/>
      <c r="GVE41" s="52"/>
      <c r="GVF41" s="52"/>
      <c r="GVG41" s="52"/>
      <c r="GVH41" s="52"/>
      <c r="GVI41" s="52"/>
      <c r="GVJ41" s="52"/>
      <c r="GVK41" s="52"/>
      <c r="GVL41" s="52"/>
      <c r="GVM41" s="52"/>
      <c r="GVN41" s="52"/>
      <c r="GVO41" s="52"/>
      <c r="GVP41" s="52"/>
      <c r="GVQ41" s="52"/>
      <c r="GVR41" s="52"/>
      <c r="GVS41" s="52"/>
      <c r="GVT41" s="52"/>
      <c r="GVU41" s="52"/>
      <c r="GVV41" s="52"/>
      <c r="GVW41" s="52"/>
      <c r="GVX41" s="52"/>
      <c r="GVY41" s="52"/>
      <c r="GVZ41" s="52"/>
      <c r="GWA41" s="52"/>
      <c r="GWB41" s="52"/>
      <c r="GWC41" s="52"/>
      <c r="GWD41" s="52"/>
      <c r="GWE41" s="52"/>
      <c r="GWF41" s="52"/>
      <c r="GWG41" s="52"/>
      <c r="GWH41" s="52"/>
      <c r="GWI41" s="52"/>
      <c r="GWJ41" s="52"/>
      <c r="GWK41" s="52"/>
      <c r="GWL41" s="52"/>
      <c r="GWM41" s="52"/>
      <c r="GWN41" s="52"/>
      <c r="GWO41" s="52"/>
      <c r="GWP41" s="52"/>
      <c r="GWQ41" s="52"/>
      <c r="GWR41" s="52"/>
      <c r="GWS41" s="52"/>
      <c r="GWT41" s="52"/>
      <c r="GWU41" s="52"/>
      <c r="GWV41" s="52"/>
      <c r="GWW41" s="52"/>
      <c r="GWX41" s="52"/>
      <c r="GWY41" s="52"/>
      <c r="GWZ41" s="52"/>
      <c r="GXA41" s="52"/>
      <c r="GXB41" s="52"/>
      <c r="GXC41" s="52"/>
      <c r="GXD41" s="52"/>
      <c r="GXE41" s="52"/>
      <c r="GXF41" s="52"/>
      <c r="GXG41" s="52"/>
      <c r="GXH41" s="52"/>
      <c r="GXI41" s="52"/>
      <c r="GXJ41" s="52"/>
      <c r="GXK41" s="52"/>
      <c r="GXL41" s="52"/>
      <c r="GXM41" s="52"/>
      <c r="GXN41" s="52"/>
      <c r="GXO41" s="52"/>
      <c r="GXP41" s="52"/>
      <c r="GXQ41" s="52"/>
      <c r="GXR41" s="52"/>
      <c r="GXS41" s="52"/>
      <c r="GXT41" s="52"/>
      <c r="GXU41" s="52"/>
      <c r="GXV41" s="52"/>
      <c r="GXW41" s="52"/>
      <c r="GXX41" s="52"/>
      <c r="GXY41" s="52"/>
      <c r="GXZ41" s="52"/>
      <c r="GYA41" s="52"/>
      <c r="GYB41" s="52"/>
      <c r="GYC41" s="52"/>
      <c r="GYD41" s="52"/>
      <c r="GYE41" s="52"/>
      <c r="GYF41" s="52"/>
      <c r="GYG41" s="52"/>
      <c r="GYH41" s="52"/>
      <c r="GYI41" s="52"/>
      <c r="GYJ41" s="52"/>
      <c r="GYK41" s="52"/>
      <c r="GYL41" s="52"/>
      <c r="GYM41" s="52"/>
      <c r="GYN41" s="52"/>
      <c r="GYO41" s="52"/>
      <c r="GYP41" s="52"/>
      <c r="GYQ41" s="52"/>
      <c r="GYR41" s="52"/>
      <c r="GYS41" s="52"/>
      <c r="GYT41" s="52"/>
      <c r="GYU41" s="52"/>
      <c r="GYV41" s="52"/>
      <c r="GYW41" s="52"/>
      <c r="GYX41" s="52"/>
      <c r="GYY41" s="52"/>
      <c r="GYZ41" s="52"/>
      <c r="GZA41" s="52"/>
      <c r="GZB41" s="52"/>
      <c r="GZC41" s="52"/>
      <c r="GZD41" s="52"/>
      <c r="GZE41" s="52"/>
      <c r="GZF41" s="52"/>
      <c r="GZG41" s="52"/>
      <c r="GZH41" s="52"/>
      <c r="GZI41" s="52"/>
      <c r="GZJ41" s="52"/>
      <c r="GZK41" s="52"/>
      <c r="GZL41" s="52"/>
      <c r="GZM41" s="52"/>
      <c r="GZN41" s="52"/>
      <c r="GZO41" s="52"/>
      <c r="GZP41" s="52"/>
      <c r="GZQ41" s="52"/>
      <c r="GZR41" s="52"/>
      <c r="GZS41" s="52"/>
      <c r="GZT41" s="52"/>
      <c r="GZU41" s="52"/>
      <c r="GZV41" s="52"/>
      <c r="GZW41" s="52"/>
      <c r="GZX41" s="52"/>
      <c r="GZY41" s="52"/>
      <c r="GZZ41" s="52"/>
      <c r="HAA41" s="52"/>
      <c r="HAB41" s="52"/>
      <c r="HAC41" s="52"/>
      <c r="HAD41" s="52"/>
      <c r="HAE41" s="52"/>
      <c r="HAF41" s="52"/>
      <c r="HAG41" s="52"/>
      <c r="HAH41" s="52"/>
      <c r="HAI41" s="52"/>
      <c r="HAJ41" s="52"/>
      <c r="HAK41" s="52"/>
      <c r="HAL41" s="52"/>
      <c r="HAM41" s="52"/>
      <c r="HAN41" s="52"/>
      <c r="HAO41" s="52"/>
      <c r="HAP41" s="52"/>
      <c r="HAQ41" s="52"/>
      <c r="HAR41" s="52"/>
      <c r="HAS41" s="52"/>
      <c r="HAT41" s="52"/>
      <c r="HAU41" s="52"/>
      <c r="HAV41" s="52"/>
      <c r="HAW41" s="52"/>
      <c r="HAX41" s="52"/>
      <c r="HAY41" s="52"/>
      <c r="HAZ41" s="52"/>
      <c r="HBA41" s="52"/>
      <c r="HBB41" s="52"/>
      <c r="HBC41" s="52"/>
      <c r="HBD41" s="52"/>
      <c r="HBE41" s="52"/>
      <c r="HBF41" s="52"/>
      <c r="HBG41" s="52"/>
      <c r="HBH41" s="52"/>
      <c r="HBI41" s="52"/>
      <c r="HBJ41" s="52"/>
      <c r="HBK41" s="52"/>
      <c r="HBL41" s="52"/>
      <c r="HBM41" s="52"/>
      <c r="HBN41" s="52"/>
      <c r="HBO41" s="52"/>
      <c r="HBP41" s="52"/>
      <c r="HBQ41" s="52"/>
      <c r="HBR41" s="52"/>
      <c r="HBS41" s="52"/>
      <c r="HBT41" s="52"/>
      <c r="HBU41" s="52"/>
      <c r="HBV41" s="52"/>
      <c r="HBW41" s="52"/>
      <c r="HBX41" s="52"/>
      <c r="HBY41" s="52"/>
      <c r="HBZ41" s="52"/>
      <c r="HCA41" s="52"/>
      <c r="HCB41" s="52"/>
      <c r="HCC41" s="52"/>
      <c r="HCD41" s="52"/>
      <c r="HCE41" s="52"/>
      <c r="HCF41" s="52"/>
      <c r="HCG41" s="52"/>
      <c r="HCH41" s="52"/>
      <c r="HCI41" s="52"/>
      <c r="HCJ41" s="52"/>
      <c r="HCK41" s="52"/>
      <c r="HCL41" s="52"/>
      <c r="HCM41" s="52"/>
      <c r="HCN41" s="52"/>
      <c r="HCO41" s="52"/>
      <c r="HCP41" s="52"/>
      <c r="HCQ41" s="52"/>
      <c r="HCR41" s="52"/>
      <c r="HCS41" s="52"/>
      <c r="HCT41" s="52"/>
      <c r="HCU41" s="52"/>
      <c r="HCV41" s="52"/>
      <c r="HCW41" s="52"/>
      <c r="HCX41" s="52"/>
      <c r="HCY41" s="52"/>
      <c r="HCZ41" s="52"/>
      <c r="HDA41" s="52"/>
      <c r="HDB41" s="52"/>
      <c r="HDC41" s="52"/>
      <c r="HDD41" s="52"/>
      <c r="HDE41" s="52"/>
      <c r="HDF41" s="52"/>
      <c r="HDG41" s="52"/>
      <c r="HDH41" s="52"/>
      <c r="HDI41" s="52"/>
      <c r="HDJ41" s="52"/>
      <c r="HDK41" s="52"/>
      <c r="HDL41" s="52"/>
      <c r="HDM41" s="52"/>
      <c r="HDN41" s="52"/>
      <c r="HDO41" s="52"/>
      <c r="HDP41" s="52"/>
      <c r="HDQ41" s="52"/>
      <c r="HDR41" s="52"/>
      <c r="HDS41" s="52"/>
      <c r="HDT41" s="52"/>
      <c r="HDU41" s="52"/>
      <c r="HDV41" s="52"/>
      <c r="HDW41" s="52"/>
      <c r="HDX41" s="52"/>
      <c r="HDY41" s="52"/>
      <c r="HDZ41" s="52"/>
      <c r="HEA41" s="52"/>
      <c r="HEB41" s="52"/>
      <c r="HEC41" s="52"/>
      <c r="HED41" s="52"/>
      <c r="HEE41" s="52"/>
      <c r="HEF41" s="52"/>
      <c r="HEG41" s="52"/>
      <c r="HEH41" s="52"/>
      <c r="HEI41" s="52"/>
      <c r="HEJ41" s="52"/>
      <c r="HEK41" s="52"/>
      <c r="HEL41" s="52"/>
      <c r="HEM41" s="52"/>
      <c r="HEN41" s="52"/>
      <c r="HEO41" s="52"/>
      <c r="HEP41" s="52"/>
      <c r="HEQ41" s="52"/>
      <c r="HER41" s="52"/>
      <c r="HES41" s="52"/>
      <c r="HET41" s="52"/>
      <c r="HEU41" s="52"/>
      <c r="HEV41" s="52"/>
      <c r="HEW41" s="52"/>
      <c r="HEX41" s="52"/>
      <c r="HEY41" s="52"/>
      <c r="HEZ41" s="52"/>
      <c r="HFA41" s="52"/>
      <c r="HFB41" s="52"/>
      <c r="HFC41" s="52"/>
      <c r="HFD41" s="52"/>
      <c r="HFE41" s="52"/>
      <c r="HFF41" s="52"/>
      <c r="HFG41" s="52"/>
      <c r="HFH41" s="52"/>
      <c r="HFI41" s="52"/>
      <c r="HFJ41" s="52"/>
      <c r="HFK41" s="52"/>
      <c r="HFL41" s="52"/>
      <c r="HFM41" s="52"/>
      <c r="HFN41" s="52"/>
      <c r="HFO41" s="52"/>
      <c r="HFP41" s="52"/>
      <c r="HFQ41" s="52"/>
      <c r="HFR41" s="52"/>
      <c r="HFS41" s="52"/>
      <c r="HFT41" s="52"/>
      <c r="HFU41" s="52"/>
      <c r="HFV41" s="52"/>
      <c r="HFW41" s="52"/>
      <c r="HFX41" s="52"/>
      <c r="HFY41" s="52"/>
      <c r="HFZ41" s="52"/>
      <c r="HGA41" s="52"/>
      <c r="HGB41" s="52"/>
      <c r="HGC41" s="52"/>
      <c r="HGD41" s="52"/>
      <c r="HGE41" s="52"/>
      <c r="HGF41" s="52"/>
      <c r="HGG41" s="52"/>
      <c r="HGH41" s="52"/>
      <c r="HGI41" s="52"/>
      <c r="HGJ41" s="52"/>
      <c r="HGK41" s="52"/>
      <c r="HGL41" s="52"/>
      <c r="HGM41" s="52"/>
      <c r="HGN41" s="52"/>
      <c r="HGO41" s="52"/>
      <c r="HGP41" s="52"/>
      <c r="HGQ41" s="52"/>
      <c r="HGR41" s="52"/>
      <c r="HGS41" s="52"/>
      <c r="HGT41" s="52"/>
      <c r="HGU41" s="52"/>
      <c r="HGV41" s="52"/>
      <c r="HGW41" s="52"/>
      <c r="HGX41" s="52"/>
      <c r="HGY41" s="52"/>
      <c r="HGZ41" s="52"/>
      <c r="HHA41" s="52"/>
      <c r="HHB41" s="52"/>
      <c r="HHC41" s="52"/>
      <c r="HHD41" s="52"/>
      <c r="HHE41" s="52"/>
      <c r="HHF41" s="52"/>
      <c r="HHG41" s="52"/>
      <c r="HHH41" s="52"/>
      <c r="HHI41" s="52"/>
      <c r="HHJ41" s="52"/>
      <c r="HHK41" s="52"/>
      <c r="HHL41" s="52"/>
      <c r="HHM41" s="52"/>
      <c r="HHN41" s="52"/>
      <c r="HHO41" s="52"/>
      <c r="HHP41" s="52"/>
      <c r="HHQ41" s="52"/>
      <c r="HHR41" s="52"/>
      <c r="HHS41" s="52"/>
      <c r="HHT41" s="52"/>
      <c r="HHU41" s="52"/>
      <c r="HHV41" s="52"/>
      <c r="HHW41" s="52"/>
      <c r="HHX41" s="52"/>
      <c r="HHY41" s="52"/>
      <c r="HHZ41" s="52"/>
      <c r="HIA41" s="52"/>
      <c r="HIB41" s="52"/>
      <c r="HIC41" s="52"/>
      <c r="HID41" s="52"/>
      <c r="HIE41" s="52"/>
      <c r="HIF41" s="52"/>
      <c r="HIG41" s="52"/>
      <c r="HIH41" s="52"/>
      <c r="HII41" s="52"/>
      <c r="HIJ41" s="52"/>
      <c r="HIK41" s="52"/>
      <c r="HIL41" s="52"/>
      <c r="HIM41" s="52"/>
      <c r="HIN41" s="52"/>
      <c r="HIO41" s="52"/>
      <c r="HIP41" s="52"/>
      <c r="HIQ41" s="52"/>
      <c r="HIR41" s="52"/>
      <c r="HIS41" s="52"/>
      <c r="HIT41" s="52"/>
      <c r="HIU41" s="52"/>
      <c r="HIV41" s="52"/>
      <c r="HIW41" s="52"/>
      <c r="HIX41" s="52"/>
      <c r="HIY41" s="52"/>
      <c r="HIZ41" s="52"/>
      <c r="HJA41" s="52"/>
      <c r="HJB41" s="52"/>
      <c r="HJC41" s="52"/>
      <c r="HJD41" s="52"/>
      <c r="HJE41" s="52"/>
      <c r="HJF41" s="52"/>
      <c r="HJG41" s="52"/>
      <c r="HJH41" s="52"/>
      <c r="HJI41" s="52"/>
      <c r="HJJ41" s="52"/>
      <c r="HJK41" s="52"/>
      <c r="HJL41" s="52"/>
      <c r="HJM41" s="52"/>
      <c r="HJN41" s="52"/>
      <c r="HJO41" s="52"/>
      <c r="HJP41" s="52"/>
      <c r="HJQ41" s="52"/>
      <c r="HJR41" s="52"/>
      <c r="HJS41" s="52"/>
      <c r="HJT41" s="52"/>
      <c r="HJU41" s="52"/>
      <c r="HJV41" s="52"/>
      <c r="HJW41" s="52"/>
      <c r="HJX41" s="52"/>
      <c r="HJY41" s="52"/>
      <c r="HJZ41" s="52"/>
      <c r="HKA41" s="52"/>
      <c r="HKB41" s="52"/>
      <c r="HKC41" s="52"/>
      <c r="HKD41" s="52"/>
      <c r="HKE41" s="52"/>
      <c r="HKF41" s="52"/>
      <c r="HKG41" s="52"/>
      <c r="HKH41" s="52"/>
      <c r="HKI41" s="52"/>
      <c r="HKJ41" s="52"/>
      <c r="HKK41" s="52"/>
      <c r="HKL41" s="52"/>
      <c r="HKM41" s="52"/>
      <c r="HKN41" s="52"/>
      <c r="HKO41" s="52"/>
      <c r="HKP41" s="52"/>
      <c r="HKQ41" s="52"/>
      <c r="HKR41" s="52"/>
      <c r="HKS41" s="52"/>
      <c r="HKT41" s="52"/>
      <c r="HKU41" s="52"/>
      <c r="HKV41" s="52"/>
      <c r="HKW41" s="52"/>
      <c r="HKX41" s="52"/>
      <c r="HKY41" s="52"/>
      <c r="HKZ41" s="52"/>
      <c r="HLA41" s="52"/>
      <c r="HLB41" s="52"/>
      <c r="HLC41" s="52"/>
      <c r="HLD41" s="52"/>
      <c r="HLE41" s="52"/>
      <c r="HLF41" s="52"/>
      <c r="HLG41" s="52"/>
      <c r="HLH41" s="52"/>
      <c r="HLI41" s="52"/>
      <c r="HLJ41" s="52"/>
      <c r="HLK41" s="52"/>
      <c r="HLL41" s="52"/>
      <c r="HLM41" s="52"/>
      <c r="HLN41" s="52"/>
      <c r="HLO41" s="52"/>
      <c r="HLP41" s="52"/>
      <c r="HLQ41" s="52"/>
      <c r="HLR41" s="52"/>
      <c r="HLS41" s="52"/>
      <c r="HLT41" s="52"/>
      <c r="HLU41" s="52"/>
      <c r="HLV41" s="52"/>
      <c r="HLW41" s="52"/>
      <c r="HLX41" s="52"/>
      <c r="HLY41" s="52"/>
      <c r="HLZ41" s="52"/>
      <c r="HMA41" s="52"/>
      <c r="HMB41" s="52"/>
      <c r="HMC41" s="52"/>
      <c r="HMD41" s="52"/>
      <c r="HME41" s="52"/>
      <c r="HMF41" s="52"/>
      <c r="HMG41" s="52"/>
      <c r="HMH41" s="52"/>
      <c r="HMI41" s="52"/>
      <c r="HMJ41" s="52"/>
      <c r="HMK41" s="52"/>
      <c r="HML41" s="52"/>
      <c r="HMM41" s="52"/>
      <c r="HMN41" s="52"/>
      <c r="HMO41" s="52"/>
      <c r="HMP41" s="52"/>
      <c r="HMQ41" s="52"/>
      <c r="HMR41" s="52"/>
      <c r="HMS41" s="52"/>
      <c r="HMT41" s="52"/>
      <c r="HMU41" s="52"/>
      <c r="HMV41" s="52"/>
      <c r="HMW41" s="52"/>
      <c r="HMX41" s="52"/>
      <c r="HMY41" s="52"/>
      <c r="HMZ41" s="52"/>
      <c r="HNA41" s="52"/>
      <c r="HNB41" s="52"/>
      <c r="HNC41" s="52"/>
      <c r="HND41" s="52"/>
      <c r="HNE41" s="52"/>
      <c r="HNF41" s="52"/>
      <c r="HNG41" s="52"/>
      <c r="HNH41" s="52"/>
      <c r="HNI41" s="52"/>
      <c r="HNJ41" s="52"/>
      <c r="HNK41" s="52"/>
      <c r="HNL41" s="52"/>
      <c r="HNM41" s="52"/>
      <c r="HNN41" s="52"/>
      <c r="HNO41" s="52"/>
      <c r="HNP41" s="52"/>
      <c r="HNQ41" s="52"/>
      <c r="HNR41" s="52"/>
      <c r="HNS41" s="52"/>
      <c r="HNT41" s="52"/>
      <c r="HNU41" s="52"/>
      <c r="HNV41" s="52"/>
      <c r="HNW41" s="52"/>
      <c r="HNX41" s="52"/>
      <c r="HNY41" s="52"/>
      <c r="HNZ41" s="52"/>
      <c r="HOA41" s="52"/>
      <c r="HOB41" s="52"/>
      <c r="HOC41" s="52"/>
      <c r="HOD41" s="52"/>
      <c r="HOE41" s="52"/>
      <c r="HOF41" s="52"/>
      <c r="HOG41" s="52"/>
      <c r="HOH41" s="52"/>
      <c r="HOI41" s="52"/>
      <c r="HOJ41" s="52"/>
      <c r="HOK41" s="52"/>
      <c r="HOL41" s="52"/>
      <c r="HOM41" s="52"/>
      <c r="HON41" s="52"/>
      <c r="HOO41" s="52"/>
      <c r="HOP41" s="52"/>
      <c r="HOQ41" s="52"/>
      <c r="HOR41" s="52"/>
      <c r="HOS41" s="52"/>
      <c r="HOT41" s="52"/>
      <c r="HOU41" s="52"/>
      <c r="HOV41" s="52"/>
      <c r="HOW41" s="52"/>
      <c r="HOX41" s="52"/>
      <c r="HOY41" s="52"/>
      <c r="HOZ41" s="52"/>
      <c r="HPA41" s="52"/>
      <c r="HPB41" s="52"/>
      <c r="HPC41" s="52"/>
      <c r="HPD41" s="52"/>
      <c r="HPE41" s="52"/>
      <c r="HPF41" s="52"/>
      <c r="HPG41" s="52"/>
      <c r="HPH41" s="52"/>
      <c r="HPI41" s="52"/>
      <c r="HPJ41" s="52"/>
      <c r="HPK41" s="52"/>
      <c r="HPL41" s="52"/>
      <c r="HPM41" s="52"/>
      <c r="HPN41" s="52"/>
      <c r="HPO41" s="52"/>
      <c r="HPP41" s="52"/>
      <c r="HPQ41" s="52"/>
      <c r="HPR41" s="52"/>
      <c r="HPS41" s="52"/>
      <c r="HPT41" s="52"/>
      <c r="HPU41" s="52"/>
      <c r="HPV41" s="52"/>
      <c r="HPW41" s="52"/>
      <c r="HPX41" s="52"/>
      <c r="HPY41" s="52"/>
      <c r="HPZ41" s="52"/>
      <c r="HQA41" s="52"/>
      <c r="HQB41" s="52"/>
      <c r="HQC41" s="52"/>
      <c r="HQD41" s="52"/>
      <c r="HQE41" s="52"/>
      <c r="HQF41" s="52"/>
      <c r="HQG41" s="52"/>
      <c r="HQH41" s="52"/>
      <c r="HQI41" s="52"/>
      <c r="HQJ41" s="52"/>
      <c r="HQK41" s="52"/>
      <c r="HQL41" s="52"/>
      <c r="HQM41" s="52"/>
      <c r="HQN41" s="52"/>
      <c r="HQO41" s="52"/>
      <c r="HQP41" s="52"/>
      <c r="HQQ41" s="52"/>
      <c r="HQR41" s="52"/>
      <c r="HQS41" s="52"/>
      <c r="HQT41" s="52"/>
      <c r="HQU41" s="52"/>
      <c r="HQV41" s="52"/>
      <c r="HQW41" s="52"/>
      <c r="HQX41" s="52"/>
      <c r="HQY41" s="52"/>
      <c r="HQZ41" s="52"/>
      <c r="HRA41" s="52"/>
      <c r="HRB41" s="52"/>
      <c r="HRC41" s="52"/>
      <c r="HRD41" s="52"/>
      <c r="HRE41" s="52"/>
      <c r="HRF41" s="52"/>
      <c r="HRG41" s="52"/>
      <c r="HRH41" s="52"/>
      <c r="HRI41" s="52"/>
      <c r="HRJ41" s="52"/>
      <c r="HRK41" s="52"/>
      <c r="HRL41" s="52"/>
      <c r="HRM41" s="52"/>
      <c r="HRN41" s="52"/>
      <c r="HRO41" s="52"/>
      <c r="HRP41" s="52"/>
      <c r="HRQ41" s="52"/>
      <c r="HRR41" s="52"/>
      <c r="HRS41" s="52"/>
      <c r="HRT41" s="52"/>
      <c r="HRU41" s="52"/>
      <c r="HRV41" s="52"/>
      <c r="HRW41" s="52"/>
      <c r="HRX41" s="52"/>
      <c r="HRY41" s="52"/>
      <c r="HRZ41" s="52"/>
      <c r="HSA41" s="52"/>
      <c r="HSB41" s="52"/>
      <c r="HSC41" s="52"/>
      <c r="HSD41" s="52"/>
      <c r="HSE41" s="52"/>
      <c r="HSF41" s="52"/>
      <c r="HSG41" s="52"/>
      <c r="HSH41" s="52"/>
      <c r="HSI41" s="52"/>
      <c r="HSJ41" s="52"/>
      <c r="HSK41" s="52"/>
      <c r="HSL41" s="52"/>
      <c r="HSM41" s="52"/>
      <c r="HSN41" s="52"/>
      <c r="HSO41" s="52"/>
      <c r="HSP41" s="52"/>
      <c r="HSQ41" s="52"/>
      <c r="HSR41" s="52"/>
      <c r="HSS41" s="52"/>
      <c r="HST41" s="52"/>
      <c r="HSU41" s="52"/>
      <c r="HSV41" s="52"/>
      <c r="HSW41" s="52"/>
      <c r="HSX41" s="52"/>
      <c r="HSY41" s="52"/>
      <c r="HSZ41" s="52"/>
      <c r="HTA41" s="52"/>
      <c r="HTB41" s="52"/>
      <c r="HTC41" s="52"/>
      <c r="HTD41" s="52"/>
      <c r="HTE41" s="52"/>
      <c r="HTF41" s="52"/>
      <c r="HTG41" s="52"/>
      <c r="HTH41" s="52"/>
      <c r="HTI41" s="52"/>
      <c r="HTJ41" s="52"/>
      <c r="HTK41" s="52"/>
      <c r="HTL41" s="52"/>
      <c r="HTM41" s="52"/>
      <c r="HTN41" s="52"/>
      <c r="HTO41" s="52"/>
      <c r="HTP41" s="52"/>
      <c r="HTQ41" s="52"/>
      <c r="HTR41" s="52"/>
      <c r="HTS41" s="52"/>
      <c r="HTT41" s="52"/>
      <c r="HTU41" s="52"/>
      <c r="HTV41" s="52"/>
      <c r="HTW41" s="52"/>
      <c r="HTX41" s="52"/>
      <c r="HTY41" s="52"/>
      <c r="HTZ41" s="52"/>
      <c r="HUA41" s="52"/>
      <c r="HUB41" s="52"/>
      <c r="HUC41" s="52"/>
      <c r="HUD41" s="52"/>
      <c r="HUE41" s="52"/>
      <c r="HUF41" s="52"/>
      <c r="HUG41" s="52"/>
      <c r="HUH41" s="52"/>
      <c r="HUI41" s="52"/>
      <c r="HUJ41" s="52"/>
      <c r="HUK41" s="52"/>
      <c r="HUL41" s="52"/>
      <c r="HUM41" s="52"/>
      <c r="HUN41" s="52"/>
      <c r="HUO41" s="52"/>
      <c r="HUP41" s="52"/>
      <c r="HUQ41" s="52"/>
      <c r="HUR41" s="52"/>
      <c r="HUS41" s="52"/>
      <c r="HUT41" s="52"/>
      <c r="HUU41" s="52"/>
      <c r="HUV41" s="52"/>
      <c r="HUW41" s="52"/>
      <c r="HUX41" s="52"/>
      <c r="HUY41" s="52"/>
      <c r="HUZ41" s="52"/>
      <c r="HVA41" s="52"/>
      <c r="HVB41" s="52"/>
      <c r="HVC41" s="52"/>
      <c r="HVD41" s="52"/>
      <c r="HVE41" s="52"/>
      <c r="HVF41" s="52"/>
      <c r="HVG41" s="52"/>
      <c r="HVH41" s="52"/>
      <c r="HVI41" s="52"/>
      <c r="HVJ41" s="52"/>
      <c r="HVK41" s="52"/>
      <c r="HVL41" s="52"/>
      <c r="HVM41" s="52"/>
      <c r="HVN41" s="52"/>
      <c r="HVO41" s="52"/>
      <c r="HVP41" s="52"/>
      <c r="HVQ41" s="52"/>
      <c r="HVR41" s="52"/>
      <c r="HVS41" s="52"/>
      <c r="HVT41" s="52"/>
      <c r="HVU41" s="52"/>
      <c r="HVV41" s="52"/>
      <c r="HVW41" s="52"/>
      <c r="HVX41" s="52"/>
      <c r="HVY41" s="52"/>
      <c r="HVZ41" s="52"/>
      <c r="HWA41" s="52"/>
      <c r="HWB41" s="52"/>
      <c r="HWC41" s="52"/>
      <c r="HWD41" s="52"/>
      <c r="HWE41" s="52"/>
      <c r="HWF41" s="52"/>
      <c r="HWG41" s="52"/>
      <c r="HWH41" s="52"/>
      <c r="HWI41" s="52"/>
      <c r="HWJ41" s="52"/>
      <c r="HWK41" s="52"/>
      <c r="HWL41" s="52"/>
      <c r="HWM41" s="52"/>
      <c r="HWN41" s="52"/>
      <c r="HWO41" s="52"/>
      <c r="HWP41" s="52"/>
      <c r="HWQ41" s="52"/>
      <c r="HWR41" s="52"/>
      <c r="HWS41" s="52"/>
      <c r="HWT41" s="52"/>
      <c r="HWU41" s="52"/>
      <c r="HWV41" s="52"/>
      <c r="HWW41" s="52"/>
      <c r="HWX41" s="52"/>
      <c r="HWY41" s="52"/>
      <c r="HWZ41" s="52"/>
      <c r="HXA41" s="52"/>
      <c r="HXB41" s="52"/>
      <c r="HXC41" s="52"/>
      <c r="HXD41" s="52"/>
      <c r="HXE41" s="52"/>
      <c r="HXF41" s="52"/>
      <c r="HXG41" s="52"/>
      <c r="HXH41" s="52"/>
      <c r="HXI41" s="52"/>
      <c r="HXJ41" s="52"/>
      <c r="HXK41" s="52"/>
      <c r="HXL41" s="52"/>
      <c r="HXM41" s="52"/>
      <c r="HXN41" s="52"/>
      <c r="HXO41" s="52"/>
      <c r="HXP41" s="52"/>
      <c r="HXQ41" s="52"/>
      <c r="HXR41" s="52"/>
      <c r="HXS41" s="52"/>
      <c r="HXT41" s="52"/>
      <c r="HXU41" s="52"/>
      <c r="HXV41" s="52"/>
      <c r="HXW41" s="52"/>
      <c r="HXX41" s="52"/>
      <c r="HXY41" s="52"/>
      <c r="HXZ41" s="52"/>
      <c r="HYA41" s="52"/>
      <c r="HYB41" s="52"/>
      <c r="HYC41" s="52"/>
      <c r="HYD41" s="52"/>
      <c r="HYE41" s="52"/>
      <c r="HYF41" s="52"/>
      <c r="HYG41" s="52"/>
      <c r="HYH41" s="52"/>
      <c r="HYI41" s="52"/>
      <c r="HYJ41" s="52"/>
      <c r="HYK41" s="52"/>
      <c r="HYL41" s="52"/>
      <c r="HYM41" s="52"/>
      <c r="HYN41" s="52"/>
      <c r="HYO41" s="52"/>
      <c r="HYP41" s="52"/>
      <c r="HYQ41" s="52"/>
      <c r="HYR41" s="52"/>
      <c r="HYS41" s="52"/>
      <c r="HYT41" s="52"/>
      <c r="HYU41" s="52"/>
      <c r="HYV41" s="52"/>
      <c r="HYW41" s="52"/>
      <c r="HYX41" s="52"/>
      <c r="HYY41" s="52"/>
      <c r="HYZ41" s="52"/>
      <c r="HZA41" s="52"/>
      <c r="HZB41" s="52"/>
      <c r="HZC41" s="52"/>
      <c r="HZD41" s="52"/>
      <c r="HZE41" s="52"/>
      <c r="HZF41" s="52"/>
      <c r="HZG41" s="52"/>
      <c r="HZH41" s="52"/>
      <c r="HZI41" s="52"/>
      <c r="HZJ41" s="52"/>
      <c r="HZK41" s="52"/>
      <c r="HZL41" s="52"/>
      <c r="HZM41" s="52"/>
      <c r="HZN41" s="52"/>
      <c r="HZO41" s="52"/>
      <c r="HZP41" s="52"/>
      <c r="HZQ41" s="52"/>
      <c r="HZR41" s="52"/>
      <c r="HZS41" s="52"/>
      <c r="HZT41" s="52"/>
      <c r="HZU41" s="52"/>
      <c r="HZV41" s="52"/>
      <c r="HZW41" s="52"/>
      <c r="HZX41" s="52"/>
      <c r="HZY41" s="52"/>
      <c r="HZZ41" s="52"/>
      <c r="IAA41" s="52"/>
      <c r="IAB41" s="52"/>
      <c r="IAC41" s="52"/>
      <c r="IAD41" s="52"/>
      <c r="IAE41" s="52"/>
      <c r="IAF41" s="52"/>
      <c r="IAG41" s="52"/>
      <c r="IAH41" s="52"/>
      <c r="IAI41" s="52"/>
      <c r="IAJ41" s="52"/>
      <c r="IAK41" s="52"/>
      <c r="IAL41" s="52"/>
      <c r="IAM41" s="52"/>
      <c r="IAN41" s="52"/>
      <c r="IAO41" s="52"/>
      <c r="IAP41" s="52"/>
      <c r="IAQ41" s="52"/>
      <c r="IAR41" s="52"/>
      <c r="IAS41" s="52"/>
      <c r="IAT41" s="52"/>
      <c r="IAU41" s="52"/>
      <c r="IAV41" s="52"/>
      <c r="IAW41" s="52"/>
      <c r="IAX41" s="52"/>
      <c r="IAY41" s="52"/>
      <c r="IAZ41" s="52"/>
      <c r="IBA41" s="52"/>
      <c r="IBB41" s="52"/>
      <c r="IBC41" s="52"/>
      <c r="IBD41" s="52"/>
      <c r="IBE41" s="52"/>
      <c r="IBF41" s="52"/>
      <c r="IBG41" s="52"/>
      <c r="IBH41" s="52"/>
      <c r="IBI41" s="52"/>
      <c r="IBJ41" s="52"/>
      <c r="IBK41" s="52"/>
      <c r="IBL41" s="52"/>
      <c r="IBM41" s="52"/>
      <c r="IBN41" s="52"/>
      <c r="IBO41" s="52"/>
      <c r="IBP41" s="52"/>
      <c r="IBQ41" s="52"/>
      <c r="IBR41" s="52"/>
      <c r="IBS41" s="52"/>
      <c r="IBT41" s="52"/>
      <c r="IBU41" s="52"/>
      <c r="IBV41" s="52"/>
      <c r="IBW41" s="52"/>
      <c r="IBX41" s="52"/>
      <c r="IBY41" s="52"/>
      <c r="IBZ41" s="52"/>
      <c r="ICA41" s="52"/>
      <c r="ICB41" s="52"/>
      <c r="ICC41" s="52"/>
      <c r="ICD41" s="52"/>
      <c r="ICE41" s="52"/>
      <c r="ICF41" s="52"/>
      <c r="ICG41" s="52"/>
      <c r="ICH41" s="52"/>
      <c r="ICI41" s="52"/>
      <c r="ICJ41" s="52"/>
      <c r="ICK41" s="52"/>
      <c r="ICL41" s="52"/>
      <c r="ICM41" s="52"/>
      <c r="ICN41" s="52"/>
      <c r="ICO41" s="52"/>
      <c r="ICP41" s="52"/>
      <c r="ICQ41" s="52"/>
      <c r="ICR41" s="52"/>
      <c r="ICS41" s="52"/>
      <c r="ICT41" s="52"/>
      <c r="ICU41" s="52"/>
      <c r="ICV41" s="52"/>
      <c r="ICW41" s="52"/>
      <c r="ICX41" s="52"/>
      <c r="ICY41" s="52"/>
      <c r="ICZ41" s="52"/>
      <c r="IDA41" s="52"/>
      <c r="IDB41" s="52"/>
      <c r="IDC41" s="52"/>
      <c r="IDD41" s="52"/>
      <c r="IDE41" s="52"/>
      <c r="IDF41" s="52"/>
      <c r="IDG41" s="52"/>
      <c r="IDH41" s="52"/>
      <c r="IDI41" s="52"/>
      <c r="IDJ41" s="52"/>
      <c r="IDK41" s="52"/>
      <c r="IDL41" s="52"/>
      <c r="IDM41" s="52"/>
      <c r="IDN41" s="52"/>
      <c r="IDO41" s="52"/>
      <c r="IDP41" s="52"/>
      <c r="IDQ41" s="52"/>
      <c r="IDR41" s="52"/>
      <c r="IDS41" s="52"/>
      <c r="IDT41" s="52"/>
      <c r="IDU41" s="52"/>
      <c r="IDV41" s="52"/>
      <c r="IDW41" s="52"/>
      <c r="IDX41" s="52"/>
      <c r="IDY41" s="52"/>
      <c r="IDZ41" s="52"/>
      <c r="IEA41" s="52"/>
      <c r="IEB41" s="52"/>
      <c r="IEC41" s="52"/>
      <c r="IED41" s="52"/>
      <c r="IEE41" s="52"/>
      <c r="IEF41" s="52"/>
      <c r="IEG41" s="52"/>
      <c r="IEH41" s="52"/>
      <c r="IEI41" s="52"/>
      <c r="IEJ41" s="52"/>
      <c r="IEK41" s="52"/>
      <c r="IEL41" s="52"/>
      <c r="IEM41" s="52"/>
      <c r="IEN41" s="52"/>
      <c r="IEO41" s="52"/>
      <c r="IEP41" s="52"/>
      <c r="IEQ41" s="52"/>
      <c r="IER41" s="52"/>
      <c r="IES41" s="52"/>
      <c r="IET41" s="52"/>
      <c r="IEU41" s="52"/>
      <c r="IEV41" s="52"/>
      <c r="IEW41" s="52"/>
      <c r="IEX41" s="52"/>
      <c r="IEY41" s="52"/>
      <c r="IEZ41" s="52"/>
      <c r="IFA41" s="52"/>
      <c r="IFB41" s="52"/>
      <c r="IFC41" s="52"/>
      <c r="IFD41" s="52"/>
      <c r="IFE41" s="52"/>
      <c r="IFF41" s="52"/>
      <c r="IFG41" s="52"/>
      <c r="IFH41" s="52"/>
      <c r="IFI41" s="52"/>
      <c r="IFJ41" s="52"/>
      <c r="IFK41" s="52"/>
      <c r="IFL41" s="52"/>
      <c r="IFM41" s="52"/>
      <c r="IFN41" s="52"/>
      <c r="IFO41" s="52"/>
      <c r="IFP41" s="52"/>
      <c r="IFQ41" s="52"/>
      <c r="IFR41" s="52"/>
      <c r="IFS41" s="52"/>
      <c r="IFT41" s="52"/>
      <c r="IFU41" s="52"/>
      <c r="IFV41" s="52"/>
      <c r="IFW41" s="52"/>
      <c r="IFX41" s="52"/>
      <c r="IFY41" s="52"/>
      <c r="IFZ41" s="52"/>
      <c r="IGA41" s="52"/>
      <c r="IGB41" s="52"/>
      <c r="IGC41" s="52"/>
      <c r="IGD41" s="52"/>
      <c r="IGE41" s="52"/>
      <c r="IGF41" s="52"/>
      <c r="IGG41" s="52"/>
      <c r="IGH41" s="52"/>
      <c r="IGI41" s="52"/>
      <c r="IGJ41" s="52"/>
      <c r="IGK41" s="52"/>
      <c r="IGL41" s="52"/>
      <c r="IGM41" s="52"/>
      <c r="IGN41" s="52"/>
      <c r="IGO41" s="52"/>
      <c r="IGP41" s="52"/>
      <c r="IGQ41" s="52"/>
      <c r="IGR41" s="52"/>
      <c r="IGS41" s="52"/>
      <c r="IGT41" s="52"/>
      <c r="IGU41" s="52"/>
      <c r="IGV41" s="52"/>
      <c r="IGW41" s="52"/>
      <c r="IGX41" s="52"/>
      <c r="IGY41" s="52"/>
      <c r="IGZ41" s="52"/>
      <c r="IHA41" s="52"/>
      <c r="IHB41" s="52"/>
      <c r="IHC41" s="52"/>
      <c r="IHD41" s="52"/>
      <c r="IHE41" s="52"/>
      <c r="IHF41" s="52"/>
      <c r="IHG41" s="52"/>
      <c r="IHH41" s="52"/>
      <c r="IHI41" s="52"/>
      <c r="IHJ41" s="52"/>
      <c r="IHK41" s="52"/>
      <c r="IHL41" s="52"/>
      <c r="IHM41" s="52"/>
      <c r="IHN41" s="52"/>
      <c r="IHO41" s="52"/>
      <c r="IHP41" s="52"/>
      <c r="IHQ41" s="52"/>
      <c r="IHR41" s="52"/>
      <c r="IHS41" s="52"/>
      <c r="IHT41" s="52"/>
      <c r="IHU41" s="52"/>
      <c r="IHV41" s="52"/>
      <c r="IHW41" s="52"/>
      <c r="IHX41" s="52"/>
      <c r="IHY41" s="52"/>
      <c r="IHZ41" s="52"/>
      <c r="IIA41" s="52"/>
      <c r="IIB41" s="52"/>
      <c r="IIC41" s="52"/>
      <c r="IID41" s="52"/>
      <c r="IIE41" s="52"/>
      <c r="IIF41" s="52"/>
      <c r="IIG41" s="52"/>
      <c r="IIH41" s="52"/>
      <c r="III41" s="52"/>
      <c r="IIJ41" s="52"/>
      <c r="IIK41" s="52"/>
      <c r="IIL41" s="52"/>
      <c r="IIM41" s="52"/>
      <c r="IIN41" s="52"/>
      <c r="IIO41" s="52"/>
      <c r="IIP41" s="52"/>
      <c r="IIQ41" s="52"/>
      <c r="IIR41" s="52"/>
      <c r="IIS41" s="52"/>
      <c r="IIT41" s="52"/>
      <c r="IIU41" s="52"/>
      <c r="IIV41" s="52"/>
      <c r="IIW41" s="52"/>
      <c r="IIX41" s="52"/>
      <c r="IIY41" s="52"/>
      <c r="IIZ41" s="52"/>
      <c r="IJA41" s="52"/>
      <c r="IJB41" s="52"/>
      <c r="IJC41" s="52"/>
      <c r="IJD41" s="52"/>
      <c r="IJE41" s="52"/>
      <c r="IJF41" s="52"/>
      <c r="IJG41" s="52"/>
      <c r="IJH41" s="52"/>
      <c r="IJI41" s="52"/>
      <c r="IJJ41" s="52"/>
      <c r="IJK41" s="52"/>
      <c r="IJL41" s="52"/>
      <c r="IJM41" s="52"/>
      <c r="IJN41" s="52"/>
      <c r="IJO41" s="52"/>
      <c r="IJP41" s="52"/>
      <c r="IJQ41" s="52"/>
      <c r="IJR41" s="52"/>
      <c r="IJS41" s="52"/>
      <c r="IJT41" s="52"/>
      <c r="IJU41" s="52"/>
      <c r="IJV41" s="52"/>
      <c r="IJW41" s="52"/>
      <c r="IJX41" s="52"/>
      <c r="IJY41" s="52"/>
      <c r="IJZ41" s="52"/>
      <c r="IKA41" s="52"/>
      <c r="IKB41" s="52"/>
      <c r="IKC41" s="52"/>
      <c r="IKD41" s="52"/>
      <c r="IKE41" s="52"/>
      <c r="IKF41" s="52"/>
      <c r="IKG41" s="52"/>
      <c r="IKH41" s="52"/>
      <c r="IKI41" s="52"/>
      <c r="IKJ41" s="52"/>
      <c r="IKK41" s="52"/>
      <c r="IKL41" s="52"/>
      <c r="IKM41" s="52"/>
      <c r="IKN41" s="52"/>
      <c r="IKO41" s="52"/>
      <c r="IKP41" s="52"/>
      <c r="IKQ41" s="52"/>
      <c r="IKR41" s="52"/>
      <c r="IKS41" s="52"/>
      <c r="IKT41" s="52"/>
      <c r="IKU41" s="52"/>
      <c r="IKV41" s="52"/>
      <c r="IKW41" s="52"/>
      <c r="IKX41" s="52"/>
      <c r="IKY41" s="52"/>
      <c r="IKZ41" s="52"/>
      <c r="ILA41" s="52"/>
      <c r="ILB41" s="52"/>
      <c r="ILC41" s="52"/>
      <c r="ILD41" s="52"/>
      <c r="ILE41" s="52"/>
      <c r="ILF41" s="52"/>
      <c r="ILG41" s="52"/>
      <c r="ILH41" s="52"/>
      <c r="ILI41" s="52"/>
      <c r="ILJ41" s="52"/>
      <c r="ILK41" s="52"/>
      <c r="ILL41" s="52"/>
      <c r="ILM41" s="52"/>
      <c r="ILN41" s="52"/>
      <c r="ILO41" s="52"/>
      <c r="ILP41" s="52"/>
      <c r="ILQ41" s="52"/>
      <c r="ILR41" s="52"/>
      <c r="ILS41" s="52"/>
      <c r="ILT41" s="52"/>
      <c r="ILU41" s="52"/>
      <c r="ILV41" s="52"/>
      <c r="ILW41" s="52"/>
      <c r="ILX41" s="52"/>
      <c r="ILY41" s="52"/>
      <c r="ILZ41" s="52"/>
      <c r="IMA41" s="52"/>
      <c r="IMB41" s="52"/>
      <c r="IMC41" s="52"/>
      <c r="IMD41" s="52"/>
      <c r="IME41" s="52"/>
      <c r="IMF41" s="52"/>
      <c r="IMG41" s="52"/>
      <c r="IMH41" s="52"/>
      <c r="IMI41" s="52"/>
      <c r="IMJ41" s="52"/>
      <c r="IMK41" s="52"/>
      <c r="IML41" s="52"/>
      <c r="IMM41" s="52"/>
      <c r="IMN41" s="52"/>
      <c r="IMO41" s="52"/>
      <c r="IMP41" s="52"/>
      <c r="IMQ41" s="52"/>
      <c r="IMR41" s="52"/>
      <c r="IMS41" s="52"/>
      <c r="IMT41" s="52"/>
      <c r="IMU41" s="52"/>
      <c r="IMV41" s="52"/>
      <c r="IMW41" s="52"/>
      <c r="IMX41" s="52"/>
      <c r="IMY41" s="52"/>
      <c r="IMZ41" s="52"/>
      <c r="INA41" s="52"/>
      <c r="INB41" s="52"/>
      <c r="INC41" s="52"/>
      <c r="IND41" s="52"/>
      <c r="INE41" s="52"/>
      <c r="INF41" s="52"/>
      <c r="ING41" s="52"/>
      <c r="INH41" s="52"/>
      <c r="INI41" s="52"/>
      <c r="INJ41" s="52"/>
      <c r="INK41" s="52"/>
      <c r="INL41" s="52"/>
      <c r="INM41" s="52"/>
      <c r="INN41" s="52"/>
      <c r="INO41" s="52"/>
      <c r="INP41" s="52"/>
      <c r="INQ41" s="52"/>
      <c r="INR41" s="52"/>
      <c r="INS41" s="52"/>
      <c r="INT41" s="52"/>
      <c r="INU41" s="52"/>
      <c r="INV41" s="52"/>
      <c r="INW41" s="52"/>
      <c r="INX41" s="52"/>
      <c r="INY41" s="52"/>
      <c r="INZ41" s="52"/>
      <c r="IOA41" s="52"/>
      <c r="IOB41" s="52"/>
      <c r="IOC41" s="52"/>
      <c r="IOD41" s="52"/>
      <c r="IOE41" s="52"/>
      <c r="IOF41" s="52"/>
      <c r="IOG41" s="52"/>
      <c r="IOH41" s="52"/>
      <c r="IOI41" s="52"/>
      <c r="IOJ41" s="52"/>
      <c r="IOK41" s="52"/>
      <c r="IOL41" s="52"/>
      <c r="IOM41" s="52"/>
      <c r="ION41" s="52"/>
      <c r="IOO41" s="52"/>
      <c r="IOP41" s="52"/>
      <c r="IOQ41" s="52"/>
      <c r="IOR41" s="52"/>
      <c r="IOS41" s="52"/>
      <c r="IOT41" s="52"/>
      <c r="IOU41" s="52"/>
      <c r="IOV41" s="52"/>
      <c r="IOW41" s="52"/>
      <c r="IOX41" s="52"/>
      <c r="IOY41" s="52"/>
      <c r="IOZ41" s="52"/>
      <c r="IPA41" s="52"/>
      <c r="IPB41" s="52"/>
      <c r="IPC41" s="52"/>
      <c r="IPD41" s="52"/>
      <c r="IPE41" s="52"/>
      <c r="IPF41" s="52"/>
      <c r="IPG41" s="52"/>
      <c r="IPH41" s="52"/>
      <c r="IPI41" s="52"/>
      <c r="IPJ41" s="52"/>
      <c r="IPK41" s="52"/>
      <c r="IPL41" s="52"/>
      <c r="IPM41" s="52"/>
      <c r="IPN41" s="52"/>
      <c r="IPO41" s="52"/>
      <c r="IPP41" s="52"/>
      <c r="IPQ41" s="52"/>
      <c r="IPR41" s="52"/>
      <c r="IPS41" s="52"/>
      <c r="IPT41" s="52"/>
      <c r="IPU41" s="52"/>
      <c r="IPV41" s="52"/>
      <c r="IPW41" s="52"/>
      <c r="IPX41" s="52"/>
      <c r="IPY41" s="52"/>
      <c r="IPZ41" s="52"/>
      <c r="IQA41" s="52"/>
      <c r="IQB41" s="52"/>
      <c r="IQC41" s="52"/>
      <c r="IQD41" s="52"/>
      <c r="IQE41" s="52"/>
      <c r="IQF41" s="52"/>
      <c r="IQG41" s="52"/>
      <c r="IQH41" s="52"/>
      <c r="IQI41" s="52"/>
      <c r="IQJ41" s="52"/>
      <c r="IQK41" s="52"/>
      <c r="IQL41" s="52"/>
      <c r="IQM41" s="52"/>
      <c r="IQN41" s="52"/>
      <c r="IQO41" s="52"/>
      <c r="IQP41" s="52"/>
      <c r="IQQ41" s="52"/>
      <c r="IQR41" s="52"/>
      <c r="IQS41" s="52"/>
      <c r="IQT41" s="52"/>
      <c r="IQU41" s="52"/>
      <c r="IQV41" s="52"/>
      <c r="IQW41" s="52"/>
      <c r="IQX41" s="52"/>
      <c r="IQY41" s="52"/>
      <c r="IQZ41" s="52"/>
      <c r="IRA41" s="52"/>
      <c r="IRB41" s="52"/>
      <c r="IRC41" s="52"/>
      <c r="IRD41" s="52"/>
      <c r="IRE41" s="52"/>
      <c r="IRF41" s="52"/>
      <c r="IRG41" s="52"/>
      <c r="IRH41" s="52"/>
      <c r="IRI41" s="52"/>
      <c r="IRJ41" s="52"/>
      <c r="IRK41" s="52"/>
      <c r="IRL41" s="52"/>
      <c r="IRM41" s="52"/>
      <c r="IRN41" s="52"/>
      <c r="IRO41" s="52"/>
      <c r="IRP41" s="52"/>
      <c r="IRQ41" s="52"/>
      <c r="IRR41" s="52"/>
      <c r="IRS41" s="52"/>
      <c r="IRT41" s="52"/>
      <c r="IRU41" s="52"/>
      <c r="IRV41" s="52"/>
      <c r="IRW41" s="52"/>
      <c r="IRX41" s="52"/>
      <c r="IRY41" s="52"/>
      <c r="IRZ41" s="52"/>
      <c r="ISA41" s="52"/>
      <c r="ISB41" s="52"/>
      <c r="ISC41" s="52"/>
      <c r="ISD41" s="52"/>
      <c r="ISE41" s="52"/>
      <c r="ISF41" s="52"/>
      <c r="ISG41" s="52"/>
      <c r="ISH41" s="52"/>
      <c r="ISI41" s="52"/>
      <c r="ISJ41" s="52"/>
      <c r="ISK41" s="52"/>
      <c r="ISL41" s="52"/>
      <c r="ISM41" s="52"/>
      <c r="ISN41" s="52"/>
      <c r="ISO41" s="52"/>
      <c r="ISP41" s="52"/>
      <c r="ISQ41" s="52"/>
      <c r="ISR41" s="52"/>
      <c r="ISS41" s="52"/>
      <c r="IST41" s="52"/>
      <c r="ISU41" s="52"/>
      <c r="ISV41" s="52"/>
      <c r="ISW41" s="52"/>
      <c r="ISX41" s="52"/>
      <c r="ISY41" s="52"/>
      <c r="ISZ41" s="52"/>
      <c r="ITA41" s="52"/>
      <c r="ITB41" s="52"/>
      <c r="ITC41" s="52"/>
      <c r="ITD41" s="52"/>
      <c r="ITE41" s="52"/>
      <c r="ITF41" s="52"/>
      <c r="ITG41" s="52"/>
      <c r="ITH41" s="52"/>
      <c r="ITI41" s="52"/>
      <c r="ITJ41" s="52"/>
      <c r="ITK41" s="52"/>
      <c r="ITL41" s="52"/>
      <c r="ITM41" s="52"/>
      <c r="ITN41" s="52"/>
      <c r="ITO41" s="52"/>
      <c r="ITP41" s="52"/>
      <c r="ITQ41" s="52"/>
      <c r="ITR41" s="52"/>
      <c r="ITS41" s="52"/>
      <c r="ITT41" s="52"/>
      <c r="ITU41" s="52"/>
      <c r="ITV41" s="52"/>
      <c r="ITW41" s="52"/>
      <c r="ITX41" s="52"/>
      <c r="ITY41" s="52"/>
      <c r="ITZ41" s="52"/>
      <c r="IUA41" s="52"/>
      <c r="IUB41" s="52"/>
      <c r="IUC41" s="52"/>
      <c r="IUD41" s="52"/>
      <c r="IUE41" s="52"/>
      <c r="IUF41" s="52"/>
      <c r="IUG41" s="52"/>
      <c r="IUH41" s="52"/>
      <c r="IUI41" s="52"/>
      <c r="IUJ41" s="52"/>
      <c r="IUK41" s="52"/>
      <c r="IUL41" s="52"/>
      <c r="IUM41" s="52"/>
      <c r="IUN41" s="52"/>
      <c r="IUO41" s="52"/>
      <c r="IUP41" s="52"/>
      <c r="IUQ41" s="52"/>
      <c r="IUR41" s="52"/>
      <c r="IUS41" s="52"/>
      <c r="IUT41" s="52"/>
      <c r="IUU41" s="52"/>
      <c r="IUV41" s="52"/>
      <c r="IUW41" s="52"/>
      <c r="IUX41" s="52"/>
      <c r="IUY41" s="52"/>
      <c r="IUZ41" s="52"/>
      <c r="IVA41" s="52"/>
      <c r="IVB41" s="52"/>
      <c r="IVC41" s="52"/>
      <c r="IVD41" s="52"/>
      <c r="IVE41" s="52"/>
      <c r="IVF41" s="52"/>
      <c r="IVG41" s="52"/>
      <c r="IVH41" s="52"/>
      <c r="IVI41" s="52"/>
      <c r="IVJ41" s="52"/>
      <c r="IVK41" s="52"/>
      <c r="IVL41" s="52"/>
      <c r="IVM41" s="52"/>
      <c r="IVN41" s="52"/>
      <c r="IVO41" s="52"/>
      <c r="IVP41" s="52"/>
      <c r="IVQ41" s="52"/>
      <c r="IVR41" s="52"/>
      <c r="IVS41" s="52"/>
      <c r="IVT41" s="52"/>
      <c r="IVU41" s="52"/>
      <c r="IVV41" s="52"/>
      <c r="IVW41" s="52"/>
      <c r="IVX41" s="52"/>
      <c r="IVY41" s="52"/>
      <c r="IVZ41" s="52"/>
      <c r="IWA41" s="52"/>
      <c r="IWB41" s="52"/>
      <c r="IWC41" s="52"/>
      <c r="IWD41" s="52"/>
      <c r="IWE41" s="52"/>
      <c r="IWF41" s="52"/>
      <c r="IWG41" s="52"/>
      <c r="IWH41" s="52"/>
      <c r="IWI41" s="52"/>
      <c r="IWJ41" s="52"/>
      <c r="IWK41" s="52"/>
      <c r="IWL41" s="52"/>
      <c r="IWM41" s="52"/>
      <c r="IWN41" s="52"/>
      <c r="IWO41" s="52"/>
      <c r="IWP41" s="52"/>
      <c r="IWQ41" s="52"/>
      <c r="IWR41" s="52"/>
      <c r="IWS41" s="52"/>
      <c r="IWT41" s="52"/>
      <c r="IWU41" s="52"/>
      <c r="IWV41" s="52"/>
      <c r="IWW41" s="52"/>
      <c r="IWX41" s="52"/>
      <c r="IWY41" s="52"/>
      <c r="IWZ41" s="52"/>
      <c r="IXA41" s="52"/>
      <c r="IXB41" s="52"/>
      <c r="IXC41" s="52"/>
      <c r="IXD41" s="52"/>
      <c r="IXE41" s="52"/>
      <c r="IXF41" s="52"/>
      <c r="IXG41" s="52"/>
      <c r="IXH41" s="52"/>
      <c r="IXI41" s="52"/>
      <c r="IXJ41" s="52"/>
      <c r="IXK41" s="52"/>
      <c r="IXL41" s="52"/>
      <c r="IXM41" s="52"/>
      <c r="IXN41" s="52"/>
      <c r="IXO41" s="52"/>
      <c r="IXP41" s="52"/>
      <c r="IXQ41" s="52"/>
      <c r="IXR41" s="52"/>
      <c r="IXS41" s="52"/>
      <c r="IXT41" s="52"/>
      <c r="IXU41" s="52"/>
      <c r="IXV41" s="52"/>
      <c r="IXW41" s="52"/>
      <c r="IXX41" s="52"/>
      <c r="IXY41" s="52"/>
      <c r="IXZ41" s="52"/>
      <c r="IYA41" s="52"/>
      <c r="IYB41" s="52"/>
      <c r="IYC41" s="52"/>
      <c r="IYD41" s="52"/>
      <c r="IYE41" s="52"/>
      <c r="IYF41" s="52"/>
      <c r="IYG41" s="52"/>
      <c r="IYH41" s="52"/>
      <c r="IYI41" s="52"/>
      <c r="IYJ41" s="52"/>
      <c r="IYK41" s="52"/>
      <c r="IYL41" s="52"/>
      <c r="IYM41" s="52"/>
      <c r="IYN41" s="52"/>
      <c r="IYO41" s="52"/>
      <c r="IYP41" s="52"/>
      <c r="IYQ41" s="52"/>
      <c r="IYR41" s="52"/>
      <c r="IYS41" s="52"/>
      <c r="IYT41" s="52"/>
      <c r="IYU41" s="52"/>
      <c r="IYV41" s="52"/>
      <c r="IYW41" s="52"/>
      <c r="IYX41" s="52"/>
      <c r="IYY41" s="52"/>
      <c r="IYZ41" s="52"/>
      <c r="IZA41" s="52"/>
      <c r="IZB41" s="52"/>
      <c r="IZC41" s="52"/>
      <c r="IZD41" s="52"/>
      <c r="IZE41" s="52"/>
      <c r="IZF41" s="52"/>
      <c r="IZG41" s="52"/>
      <c r="IZH41" s="52"/>
      <c r="IZI41" s="52"/>
      <c r="IZJ41" s="52"/>
      <c r="IZK41" s="52"/>
      <c r="IZL41" s="52"/>
      <c r="IZM41" s="52"/>
      <c r="IZN41" s="52"/>
      <c r="IZO41" s="52"/>
      <c r="IZP41" s="52"/>
      <c r="IZQ41" s="52"/>
      <c r="IZR41" s="52"/>
      <c r="IZS41" s="52"/>
      <c r="IZT41" s="52"/>
      <c r="IZU41" s="52"/>
      <c r="IZV41" s="52"/>
      <c r="IZW41" s="52"/>
      <c r="IZX41" s="52"/>
      <c r="IZY41" s="52"/>
      <c r="IZZ41" s="52"/>
      <c r="JAA41" s="52"/>
      <c r="JAB41" s="52"/>
      <c r="JAC41" s="52"/>
      <c r="JAD41" s="52"/>
      <c r="JAE41" s="52"/>
      <c r="JAF41" s="52"/>
      <c r="JAG41" s="52"/>
      <c r="JAH41" s="52"/>
      <c r="JAI41" s="52"/>
      <c r="JAJ41" s="52"/>
      <c r="JAK41" s="52"/>
      <c r="JAL41" s="52"/>
      <c r="JAM41" s="52"/>
      <c r="JAN41" s="52"/>
      <c r="JAO41" s="52"/>
      <c r="JAP41" s="52"/>
      <c r="JAQ41" s="52"/>
      <c r="JAR41" s="52"/>
      <c r="JAS41" s="52"/>
      <c r="JAT41" s="52"/>
      <c r="JAU41" s="52"/>
      <c r="JAV41" s="52"/>
      <c r="JAW41" s="52"/>
      <c r="JAX41" s="52"/>
      <c r="JAY41" s="52"/>
      <c r="JAZ41" s="52"/>
      <c r="JBA41" s="52"/>
      <c r="JBB41" s="52"/>
      <c r="JBC41" s="52"/>
      <c r="JBD41" s="52"/>
      <c r="JBE41" s="52"/>
      <c r="JBF41" s="52"/>
      <c r="JBG41" s="52"/>
      <c r="JBH41" s="52"/>
      <c r="JBI41" s="52"/>
      <c r="JBJ41" s="52"/>
      <c r="JBK41" s="52"/>
      <c r="JBL41" s="52"/>
      <c r="JBM41" s="52"/>
      <c r="JBN41" s="52"/>
      <c r="JBO41" s="52"/>
      <c r="JBP41" s="52"/>
      <c r="JBQ41" s="52"/>
      <c r="JBR41" s="52"/>
      <c r="JBS41" s="52"/>
      <c r="JBT41" s="52"/>
      <c r="JBU41" s="52"/>
      <c r="JBV41" s="52"/>
      <c r="JBW41" s="52"/>
      <c r="JBX41" s="52"/>
      <c r="JBY41" s="52"/>
      <c r="JBZ41" s="52"/>
      <c r="JCA41" s="52"/>
      <c r="JCB41" s="52"/>
      <c r="JCC41" s="52"/>
      <c r="JCD41" s="52"/>
      <c r="JCE41" s="52"/>
      <c r="JCF41" s="52"/>
      <c r="JCG41" s="52"/>
      <c r="JCH41" s="52"/>
      <c r="JCI41" s="52"/>
      <c r="JCJ41" s="52"/>
      <c r="JCK41" s="52"/>
      <c r="JCL41" s="52"/>
      <c r="JCM41" s="52"/>
      <c r="JCN41" s="52"/>
      <c r="JCO41" s="52"/>
      <c r="JCP41" s="52"/>
      <c r="JCQ41" s="52"/>
      <c r="JCR41" s="52"/>
      <c r="JCS41" s="52"/>
      <c r="JCT41" s="52"/>
      <c r="JCU41" s="52"/>
      <c r="JCV41" s="52"/>
      <c r="JCW41" s="52"/>
      <c r="JCX41" s="52"/>
      <c r="JCY41" s="52"/>
      <c r="JCZ41" s="52"/>
      <c r="JDA41" s="52"/>
      <c r="JDB41" s="52"/>
      <c r="JDC41" s="52"/>
      <c r="JDD41" s="52"/>
      <c r="JDE41" s="52"/>
      <c r="JDF41" s="52"/>
      <c r="JDG41" s="52"/>
      <c r="JDH41" s="52"/>
      <c r="JDI41" s="52"/>
      <c r="JDJ41" s="52"/>
      <c r="JDK41" s="52"/>
      <c r="JDL41" s="52"/>
      <c r="JDM41" s="52"/>
      <c r="JDN41" s="52"/>
      <c r="JDO41" s="52"/>
      <c r="JDP41" s="52"/>
      <c r="JDQ41" s="52"/>
      <c r="JDR41" s="52"/>
      <c r="JDS41" s="52"/>
      <c r="JDT41" s="52"/>
      <c r="JDU41" s="52"/>
      <c r="JDV41" s="52"/>
      <c r="JDW41" s="52"/>
      <c r="JDX41" s="52"/>
      <c r="JDY41" s="52"/>
      <c r="JDZ41" s="52"/>
      <c r="JEA41" s="52"/>
      <c r="JEB41" s="52"/>
      <c r="JEC41" s="52"/>
      <c r="JED41" s="52"/>
      <c r="JEE41" s="52"/>
      <c r="JEF41" s="52"/>
      <c r="JEG41" s="52"/>
      <c r="JEH41" s="52"/>
      <c r="JEI41" s="52"/>
      <c r="JEJ41" s="52"/>
      <c r="JEK41" s="52"/>
      <c r="JEL41" s="52"/>
      <c r="JEM41" s="52"/>
      <c r="JEN41" s="52"/>
      <c r="JEO41" s="52"/>
      <c r="JEP41" s="52"/>
      <c r="JEQ41" s="52"/>
      <c r="JER41" s="52"/>
      <c r="JES41" s="52"/>
      <c r="JET41" s="52"/>
      <c r="JEU41" s="52"/>
      <c r="JEV41" s="52"/>
      <c r="JEW41" s="52"/>
      <c r="JEX41" s="52"/>
      <c r="JEY41" s="52"/>
      <c r="JEZ41" s="52"/>
      <c r="JFA41" s="52"/>
      <c r="JFB41" s="52"/>
      <c r="JFC41" s="52"/>
      <c r="JFD41" s="52"/>
      <c r="JFE41" s="52"/>
      <c r="JFF41" s="52"/>
      <c r="JFG41" s="52"/>
      <c r="JFH41" s="52"/>
      <c r="JFI41" s="52"/>
      <c r="JFJ41" s="52"/>
      <c r="JFK41" s="52"/>
      <c r="JFL41" s="52"/>
      <c r="JFM41" s="52"/>
      <c r="JFN41" s="52"/>
      <c r="JFO41" s="52"/>
      <c r="JFP41" s="52"/>
      <c r="JFQ41" s="52"/>
      <c r="JFR41" s="52"/>
      <c r="JFS41" s="52"/>
      <c r="JFT41" s="52"/>
      <c r="JFU41" s="52"/>
      <c r="JFV41" s="52"/>
      <c r="JFW41" s="52"/>
      <c r="JFX41" s="52"/>
      <c r="JFY41" s="52"/>
      <c r="JFZ41" s="52"/>
      <c r="JGA41" s="52"/>
      <c r="JGB41" s="52"/>
      <c r="JGC41" s="52"/>
      <c r="JGD41" s="52"/>
      <c r="JGE41" s="52"/>
      <c r="JGF41" s="52"/>
      <c r="JGG41" s="52"/>
      <c r="JGH41" s="52"/>
      <c r="JGI41" s="52"/>
      <c r="JGJ41" s="52"/>
      <c r="JGK41" s="52"/>
      <c r="JGL41" s="52"/>
      <c r="JGM41" s="52"/>
      <c r="JGN41" s="52"/>
      <c r="JGO41" s="52"/>
      <c r="JGP41" s="52"/>
      <c r="JGQ41" s="52"/>
      <c r="JGR41" s="52"/>
      <c r="JGS41" s="52"/>
      <c r="JGT41" s="52"/>
      <c r="JGU41" s="52"/>
      <c r="JGV41" s="52"/>
      <c r="JGW41" s="52"/>
      <c r="JGX41" s="52"/>
      <c r="JGY41" s="52"/>
      <c r="JGZ41" s="52"/>
      <c r="JHA41" s="52"/>
      <c r="JHB41" s="52"/>
      <c r="JHC41" s="52"/>
      <c r="JHD41" s="52"/>
      <c r="JHE41" s="52"/>
      <c r="JHF41" s="52"/>
      <c r="JHG41" s="52"/>
      <c r="JHH41" s="52"/>
      <c r="JHI41" s="52"/>
      <c r="JHJ41" s="52"/>
      <c r="JHK41" s="52"/>
      <c r="JHL41" s="52"/>
      <c r="JHM41" s="52"/>
      <c r="JHN41" s="52"/>
      <c r="JHO41" s="52"/>
      <c r="JHP41" s="52"/>
      <c r="JHQ41" s="52"/>
      <c r="JHR41" s="52"/>
      <c r="JHS41" s="52"/>
      <c r="JHT41" s="52"/>
      <c r="JHU41" s="52"/>
      <c r="JHV41" s="52"/>
      <c r="JHW41" s="52"/>
      <c r="JHX41" s="52"/>
      <c r="JHY41" s="52"/>
      <c r="JHZ41" s="52"/>
      <c r="JIA41" s="52"/>
      <c r="JIB41" s="52"/>
      <c r="JIC41" s="52"/>
      <c r="JID41" s="52"/>
      <c r="JIE41" s="52"/>
      <c r="JIF41" s="52"/>
      <c r="JIG41" s="52"/>
      <c r="JIH41" s="52"/>
      <c r="JII41" s="52"/>
      <c r="JIJ41" s="52"/>
      <c r="JIK41" s="52"/>
      <c r="JIL41" s="52"/>
      <c r="JIM41" s="52"/>
      <c r="JIN41" s="52"/>
      <c r="JIO41" s="52"/>
      <c r="JIP41" s="52"/>
      <c r="JIQ41" s="52"/>
      <c r="JIR41" s="52"/>
      <c r="JIS41" s="52"/>
      <c r="JIT41" s="52"/>
      <c r="JIU41" s="52"/>
      <c r="JIV41" s="52"/>
      <c r="JIW41" s="52"/>
      <c r="JIX41" s="52"/>
      <c r="JIY41" s="52"/>
      <c r="JIZ41" s="52"/>
      <c r="JJA41" s="52"/>
      <c r="JJB41" s="52"/>
      <c r="JJC41" s="52"/>
      <c r="JJD41" s="52"/>
      <c r="JJE41" s="52"/>
      <c r="JJF41" s="52"/>
      <c r="JJG41" s="52"/>
      <c r="JJH41" s="52"/>
      <c r="JJI41" s="52"/>
      <c r="JJJ41" s="52"/>
      <c r="JJK41" s="52"/>
      <c r="JJL41" s="52"/>
      <c r="JJM41" s="52"/>
      <c r="JJN41" s="52"/>
      <c r="JJO41" s="52"/>
      <c r="JJP41" s="52"/>
      <c r="JJQ41" s="52"/>
      <c r="JJR41" s="52"/>
      <c r="JJS41" s="52"/>
      <c r="JJT41" s="52"/>
      <c r="JJU41" s="52"/>
      <c r="JJV41" s="52"/>
      <c r="JJW41" s="52"/>
      <c r="JJX41" s="52"/>
      <c r="JJY41" s="52"/>
      <c r="JJZ41" s="52"/>
      <c r="JKA41" s="52"/>
      <c r="JKB41" s="52"/>
      <c r="JKC41" s="52"/>
      <c r="JKD41" s="52"/>
      <c r="JKE41" s="52"/>
      <c r="JKF41" s="52"/>
      <c r="JKG41" s="52"/>
      <c r="JKH41" s="52"/>
      <c r="JKI41" s="52"/>
      <c r="JKJ41" s="52"/>
      <c r="JKK41" s="52"/>
      <c r="JKL41" s="52"/>
      <c r="JKM41" s="52"/>
      <c r="JKN41" s="52"/>
      <c r="JKO41" s="52"/>
      <c r="JKP41" s="52"/>
      <c r="JKQ41" s="52"/>
      <c r="JKR41" s="52"/>
      <c r="JKS41" s="52"/>
      <c r="JKT41" s="52"/>
      <c r="JKU41" s="52"/>
      <c r="JKV41" s="52"/>
      <c r="JKW41" s="52"/>
      <c r="JKX41" s="52"/>
      <c r="JKY41" s="52"/>
      <c r="JKZ41" s="52"/>
      <c r="JLA41" s="52"/>
      <c r="JLB41" s="52"/>
      <c r="JLC41" s="52"/>
      <c r="JLD41" s="52"/>
      <c r="JLE41" s="52"/>
      <c r="JLF41" s="52"/>
      <c r="JLG41" s="52"/>
      <c r="JLH41" s="52"/>
      <c r="JLI41" s="52"/>
      <c r="JLJ41" s="52"/>
      <c r="JLK41" s="52"/>
      <c r="JLL41" s="52"/>
      <c r="JLM41" s="52"/>
      <c r="JLN41" s="52"/>
      <c r="JLO41" s="52"/>
      <c r="JLP41" s="52"/>
      <c r="JLQ41" s="52"/>
      <c r="JLR41" s="52"/>
      <c r="JLS41" s="52"/>
      <c r="JLT41" s="52"/>
      <c r="JLU41" s="52"/>
      <c r="JLV41" s="52"/>
      <c r="JLW41" s="52"/>
      <c r="JLX41" s="52"/>
      <c r="JLY41" s="52"/>
      <c r="JLZ41" s="52"/>
      <c r="JMA41" s="52"/>
      <c r="JMB41" s="52"/>
      <c r="JMC41" s="52"/>
      <c r="JMD41" s="52"/>
      <c r="JME41" s="52"/>
      <c r="JMF41" s="52"/>
      <c r="JMG41" s="52"/>
      <c r="JMH41" s="52"/>
      <c r="JMI41" s="52"/>
      <c r="JMJ41" s="52"/>
      <c r="JMK41" s="52"/>
      <c r="JML41" s="52"/>
      <c r="JMM41" s="52"/>
      <c r="JMN41" s="52"/>
      <c r="JMO41" s="52"/>
      <c r="JMP41" s="52"/>
      <c r="JMQ41" s="52"/>
      <c r="JMR41" s="52"/>
      <c r="JMS41" s="52"/>
      <c r="JMT41" s="52"/>
      <c r="JMU41" s="52"/>
      <c r="JMV41" s="52"/>
      <c r="JMW41" s="52"/>
      <c r="JMX41" s="52"/>
      <c r="JMY41" s="52"/>
      <c r="JMZ41" s="52"/>
      <c r="JNA41" s="52"/>
      <c r="JNB41" s="52"/>
      <c r="JNC41" s="52"/>
      <c r="JND41" s="52"/>
      <c r="JNE41" s="52"/>
      <c r="JNF41" s="52"/>
      <c r="JNG41" s="52"/>
      <c r="JNH41" s="52"/>
      <c r="JNI41" s="52"/>
      <c r="JNJ41" s="52"/>
      <c r="JNK41" s="52"/>
      <c r="JNL41" s="52"/>
      <c r="JNM41" s="52"/>
      <c r="JNN41" s="52"/>
      <c r="JNO41" s="52"/>
      <c r="JNP41" s="52"/>
      <c r="JNQ41" s="52"/>
      <c r="JNR41" s="52"/>
      <c r="JNS41" s="52"/>
      <c r="JNT41" s="52"/>
      <c r="JNU41" s="52"/>
      <c r="JNV41" s="52"/>
      <c r="JNW41" s="52"/>
      <c r="JNX41" s="52"/>
      <c r="JNY41" s="52"/>
      <c r="JNZ41" s="52"/>
      <c r="JOA41" s="52"/>
      <c r="JOB41" s="52"/>
      <c r="JOC41" s="52"/>
      <c r="JOD41" s="52"/>
      <c r="JOE41" s="52"/>
      <c r="JOF41" s="52"/>
      <c r="JOG41" s="52"/>
      <c r="JOH41" s="52"/>
      <c r="JOI41" s="52"/>
      <c r="JOJ41" s="52"/>
      <c r="JOK41" s="52"/>
      <c r="JOL41" s="52"/>
      <c r="JOM41" s="52"/>
      <c r="JON41" s="52"/>
      <c r="JOO41" s="52"/>
      <c r="JOP41" s="52"/>
      <c r="JOQ41" s="52"/>
      <c r="JOR41" s="52"/>
      <c r="JOS41" s="52"/>
      <c r="JOT41" s="52"/>
      <c r="JOU41" s="52"/>
      <c r="JOV41" s="52"/>
      <c r="JOW41" s="52"/>
      <c r="JOX41" s="52"/>
      <c r="JOY41" s="52"/>
      <c r="JOZ41" s="52"/>
      <c r="JPA41" s="52"/>
      <c r="JPB41" s="52"/>
      <c r="JPC41" s="52"/>
      <c r="JPD41" s="52"/>
      <c r="JPE41" s="52"/>
      <c r="JPF41" s="52"/>
      <c r="JPG41" s="52"/>
      <c r="JPH41" s="52"/>
      <c r="JPI41" s="52"/>
      <c r="JPJ41" s="52"/>
      <c r="JPK41" s="52"/>
      <c r="JPL41" s="52"/>
      <c r="JPM41" s="52"/>
      <c r="JPN41" s="52"/>
      <c r="JPO41" s="52"/>
      <c r="JPP41" s="52"/>
      <c r="JPQ41" s="52"/>
      <c r="JPR41" s="52"/>
      <c r="JPS41" s="52"/>
      <c r="JPT41" s="52"/>
      <c r="JPU41" s="52"/>
      <c r="JPV41" s="52"/>
      <c r="JPW41" s="52"/>
      <c r="JPX41" s="52"/>
      <c r="JPY41" s="52"/>
      <c r="JPZ41" s="52"/>
      <c r="JQA41" s="52"/>
      <c r="JQB41" s="52"/>
      <c r="JQC41" s="52"/>
      <c r="JQD41" s="52"/>
      <c r="JQE41" s="52"/>
      <c r="JQF41" s="52"/>
      <c r="JQG41" s="52"/>
      <c r="JQH41" s="52"/>
      <c r="JQI41" s="52"/>
      <c r="JQJ41" s="52"/>
      <c r="JQK41" s="52"/>
      <c r="JQL41" s="52"/>
      <c r="JQM41" s="52"/>
      <c r="JQN41" s="52"/>
      <c r="JQO41" s="52"/>
      <c r="JQP41" s="52"/>
      <c r="JQQ41" s="52"/>
      <c r="JQR41" s="52"/>
      <c r="JQS41" s="52"/>
      <c r="JQT41" s="52"/>
      <c r="JQU41" s="52"/>
      <c r="JQV41" s="52"/>
      <c r="JQW41" s="52"/>
      <c r="JQX41" s="52"/>
      <c r="JQY41" s="52"/>
      <c r="JQZ41" s="52"/>
      <c r="JRA41" s="52"/>
      <c r="JRB41" s="52"/>
      <c r="JRC41" s="52"/>
      <c r="JRD41" s="52"/>
      <c r="JRE41" s="52"/>
      <c r="JRF41" s="52"/>
      <c r="JRG41" s="52"/>
      <c r="JRH41" s="52"/>
      <c r="JRI41" s="52"/>
      <c r="JRJ41" s="52"/>
      <c r="JRK41" s="52"/>
      <c r="JRL41" s="52"/>
      <c r="JRM41" s="52"/>
      <c r="JRN41" s="52"/>
      <c r="JRO41" s="52"/>
      <c r="JRP41" s="52"/>
      <c r="JRQ41" s="52"/>
      <c r="JRR41" s="52"/>
      <c r="JRS41" s="52"/>
      <c r="JRT41" s="52"/>
      <c r="JRU41" s="52"/>
      <c r="JRV41" s="52"/>
      <c r="JRW41" s="52"/>
      <c r="JRX41" s="52"/>
      <c r="JRY41" s="52"/>
      <c r="JRZ41" s="52"/>
      <c r="JSA41" s="52"/>
      <c r="JSB41" s="52"/>
      <c r="JSC41" s="52"/>
      <c r="JSD41" s="52"/>
      <c r="JSE41" s="52"/>
      <c r="JSF41" s="52"/>
      <c r="JSG41" s="52"/>
      <c r="JSH41" s="52"/>
      <c r="JSI41" s="52"/>
      <c r="JSJ41" s="52"/>
      <c r="JSK41" s="52"/>
      <c r="JSL41" s="52"/>
      <c r="JSM41" s="52"/>
      <c r="JSN41" s="52"/>
      <c r="JSO41" s="52"/>
      <c r="JSP41" s="52"/>
      <c r="JSQ41" s="52"/>
      <c r="JSR41" s="52"/>
      <c r="JSS41" s="52"/>
      <c r="JST41" s="52"/>
      <c r="JSU41" s="52"/>
      <c r="JSV41" s="52"/>
      <c r="JSW41" s="52"/>
      <c r="JSX41" s="52"/>
      <c r="JSY41" s="52"/>
      <c r="JSZ41" s="52"/>
      <c r="JTA41" s="52"/>
      <c r="JTB41" s="52"/>
      <c r="JTC41" s="52"/>
      <c r="JTD41" s="52"/>
      <c r="JTE41" s="52"/>
      <c r="JTF41" s="52"/>
      <c r="JTG41" s="52"/>
      <c r="JTH41" s="52"/>
      <c r="JTI41" s="52"/>
      <c r="JTJ41" s="52"/>
      <c r="JTK41" s="52"/>
      <c r="JTL41" s="52"/>
      <c r="JTM41" s="52"/>
      <c r="JTN41" s="52"/>
      <c r="JTO41" s="52"/>
      <c r="JTP41" s="52"/>
      <c r="JTQ41" s="52"/>
      <c r="JTR41" s="52"/>
      <c r="JTS41" s="52"/>
      <c r="JTT41" s="52"/>
      <c r="JTU41" s="52"/>
      <c r="JTV41" s="52"/>
      <c r="JTW41" s="52"/>
      <c r="JTX41" s="52"/>
      <c r="JTY41" s="52"/>
      <c r="JTZ41" s="52"/>
      <c r="JUA41" s="52"/>
      <c r="JUB41" s="52"/>
      <c r="JUC41" s="52"/>
      <c r="JUD41" s="52"/>
      <c r="JUE41" s="52"/>
      <c r="JUF41" s="52"/>
      <c r="JUG41" s="52"/>
      <c r="JUH41" s="52"/>
      <c r="JUI41" s="52"/>
      <c r="JUJ41" s="52"/>
      <c r="JUK41" s="52"/>
      <c r="JUL41" s="52"/>
      <c r="JUM41" s="52"/>
      <c r="JUN41" s="52"/>
      <c r="JUO41" s="52"/>
      <c r="JUP41" s="52"/>
      <c r="JUQ41" s="52"/>
      <c r="JUR41" s="52"/>
      <c r="JUS41" s="52"/>
      <c r="JUT41" s="52"/>
      <c r="JUU41" s="52"/>
      <c r="JUV41" s="52"/>
      <c r="JUW41" s="52"/>
      <c r="JUX41" s="52"/>
      <c r="JUY41" s="52"/>
      <c r="JUZ41" s="52"/>
      <c r="JVA41" s="52"/>
      <c r="JVB41" s="52"/>
      <c r="JVC41" s="52"/>
      <c r="JVD41" s="52"/>
      <c r="JVE41" s="52"/>
      <c r="JVF41" s="52"/>
      <c r="JVG41" s="52"/>
      <c r="JVH41" s="52"/>
      <c r="JVI41" s="52"/>
      <c r="JVJ41" s="52"/>
      <c r="JVK41" s="52"/>
      <c r="JVL41" s="52"/>
      <c r="JVM41" s="52"/>
      <c r="JVN41" s="52"/>
      <c r="JVO41" s="52"/>
      <c r="JVP41" s="52"/>
      <c r="JVQ41" s="52"/>
      <c r="JVR41" s="52"/>
      <c r="JVS41" s="52"/>
      <c r="JVT41" s="52"/>
      <c r="JVU41" s="52"/>
      <c r="JVV41" s="52"/>
      <c r="JVW41" s="52"/>
      <c r="JVX41" s="52"/>
      <c r="JVY41" s="52"/>
      <c r="JVZ41" s="52"/>
      <c r="JWA41" s="52"/>
      <c r="JWB41" s="52"/>
      <c r="JWC41" s="52"/>
      <c r="JWD41" s="52"/>
      <c r="JWE41" s="52"/>
      <c r="JWF41" s="52"/>
      <c r="JWG41" s="52"/>
      <c r="JWH41" s="52"/>
      <c r="JWI41" s="52"/>
      <c r="JWJ41" s="52"/>
      <c r="JWK41" s="52"/>
      <c r="JWL41" s="52"/>
      <c r="JWM41" s="52"/>
      <c r="JWN41" s="52"/>
      <c r="JWO41" s="52"/>
      <c r="JWP41" s="52"/>
      <c r="JWQ41" s="52"/>
      <c r="JWR41" s="52"/>
      <c r="JWS41" s="52"/>
      <c r="JWT41" s="52"/>
      <c r="JWU41" s="52"/>
      <c r="JWV41" s="52"/>
      <c r="JWW41" s="52"/>
      <c r="JWX41" s="52"/>
      <c r="JWY41" s="52"/>
      <c r="JWZ41" s="52"/>
      <c r="JXA41" s="52"/>
      <c r="JXB41" s="52"/>
      <c r="JXC41" s="52"/>
      <c r="JXD41" s="52"/>
      <c r="JXE41" s="52"/>
      <c r="JXF41" s="52"/>
      <c r="JXG41" s="52"/>
      <c r="JXH41" s="52"/>
      <c r="JXI41" s="52"/>
      <c r="JXJ41" s="52"/>
      <c r="JXK41" s="52"/>
      <c r="JXL41" s="52"/>
      <c r="JXM41" s="52"/>
      <c r="JXN41" s="52"/>
      <c r="JXO41" s="52"/>
      <c r="JXP41" s="52"/>
      <c r="JXQ41" s="52"/>
      <c r="JXR41" s="52"/>
      <c r="JXS41" s="52"/>
      <c r="JXT41" s="52"/>
      <c r="JXU41" s="52"/>
      <c r="JXV41" s="52"/>
      <c r="JXW41" s="52"/>
      <c r="JXX41" s="52"/>
      <c r="JXY41" s="52"/>
      <c r="JXZ41" s="52"/>
      <c r="JYA41" s="52"/>
      <c r="JYB41" s="52"/>
      <c r="JYC41" s="52"/>
      <c r="JYD41" s="52"/>
      <c r="JYE41" s="52"/>
      <c r="JYF41" s="52"/>
      <c r="JYG41" s="52"/>
      <c r="JYH41" s="52"/>
      <c r="JYI41" s="52"/>
      <c r="JYJ41" s="52"/>
      <c r="JYK41" s="52"/>
      <c r="JYL41" s="52"/>
      <c r="JYM41" s="52"/>
      <c r="JYN41" s="52"/>
      <c r="JYO41" s="52"/>
      <c r="JYP41" s="52"/>
      <c r="JYQ41" s="52"/>
      <c r="JYR41" s="52"/>
      <c r="JYS41" s="52"/>
      <c r="JYT41" s="52"/>
      <c r="JYU41" s="52"/>
      <c r="JYV41" s="52"/>
      <c r="JYW41" s="52"/>
      <c r="JYX41" s="52"/>
      <c r="JYY41" s="52"/>
      <c r="JYZ41" s="52"/>
      <c r="JZA41" s="52"/>
      <c r="JZB41" s="52"/>
      <c r="JZC41" s="52"/>
      <c r="JZD41" s="52"/>
      <c r="JZE41" s="52"/>
      <c r="JZF41" s="52"/>
      <c r="JZG41" s="52"/>
      <c r="JZH41" s="52"/>
      <c r="JZI41" s="52"/>
      <c r="JZJ41" s="52"/>
      <c r="JZK41" s="52"/>
      <c r="JZL41" s="52"/>
      <c r="JZM41" s="52"/>
      <c r="JZN41" s="52"/>
      <c r="JZO41" s="52"/>
      <c r="JZP41" s="52"/>
      <c r="JZQ41" s="52"/>
      <c r="JZR41" s="52"/>
      <c r="JZS41" s="52"/>
      <c r="JZT41" s="52"/>
      <c r="JZU41" s="52"/>
      <c r="JZV41" s="52"/>
      <c r="JZW41" s="52"/>
      <c r="JZX41" s="52"/>
      <c r="JZY41" s="52"/>
      <c r="JZZ41" s="52"/>
      <c r="KAA41" s="52"/>
      <c r="KAB41" s="52"/>
      <c r="KAC41" s="52"/>
      <c r="KAD41" s="52"/>
      <c r="KAE41" s="52"/>
      <c r="KAF41" s="52"/>
      <c r="KAG41" s="52"/>
      <c r="KAH41" s="52"/>
      <c r="KAI41" s="52"/>
      <c r="KAJ41" s="52"/>
      <c r="KAK41" s="52"/>
      <c r="KAL41" s="52"/>
      <c r="KAM41" s="52"/>
      <c r="KAN41" s="52"/>
      <c r="KAO41" s="52"/>
      <c r="KAP41" s="52"/>
      <c r="KAQ41" s="52"/>
      <c r="KAR41" s="52"/>
      <c r="KAS41" s="52"/>
      <c r="KAT41" s="52"/>
      <c r="KAU41" s="52"/>
      <c r="KAV41" s="52"/>
      <c r="KAW41" s="52"/>
      <c r="KAX41" s="52"/>
      <c r="KAY41" s="52"/>
      <c r="KAZ41" s="52"/>
      <c r="KBA41" s="52"/>
      <c r="KBB41" s="52"/>
      <c r="KBC41" s="52"/>
      <c r="KBD41" s="52"/>
      <c r="KBE41" s="52"/>
      <c r="KBF41" s="52"/>
      <c r="KBG41" s="52"/>
      <c r="KBH41" s="52"/>
      <c r="KBI41" s="52"/>
      <c r="KBJ41" s="52"/>
      <c r="KBK41" s="52"/>
      <c r="KBL41" s="52"/>
      <c r="KBM41" s="52"/>
      <c r="KBN41" s="52"/>
      <c r="KBO41" s="52"/>
      <c r="KBP41" s="52"/>
      <c r="KBQ41" s="52"/>
      <c r="KBR41" s="52"/>
      <c r="KBS41" s="52"/>
      <c r="KBT41" s="52"/>
      <c r="KBU41" s="52"/>
      <c r="KBV41" s="52"/>
      <c r="KBW41" s="52"/>
      <c r="KBX41" s="52"/>
      <c r="KBY41" s="52"/>
      <c r="KBZ41" s="52"/>
      <c r="KCA41" s="52"/>
      <c r="KCB41" s="52"/>
      <c r="KCC41" s="52"/>
      <c r="KCD41" s="52"/>
      <c r="KCE41" s="52"/>
      <c r="KCF41" s="52"/>
      <c r="KCG41" s="52"/>
      <c r="KCH41" s="52"/>
      <c r="KCI41" s="52"/>
      <c r="KCJ41" s="52"/>
      <c r="KCK41" s="52"/>
      <c r="KCL41" s="52"/>
      <c r="KCM41" s="52"/>
      <c r="KCN41" s="52"/>
      <c r="KCO41" s="52"/>
      <c r="KCP41" s="52"/>
      <c r="KCQ41" s="52"/>
      <c r="KCR41" s="52"/>
      <c r="KCS41" s="52"/>
      <c r="KCT41" s="52"/>
      <c r="KCU41" s="52"/>
      <c r="KCV41" s="52"/>
      <c r="KCW41" s="52"/>
      <c r="KCX41" s="52"/>
      <c r="KCY41" s="52"/>
      <c r="KCZ41" s="52"/>
      <c r="KDA41" s="52"/>
      <c r="KDB41" s="52"/>
      <c r="KDC41" s="52"/>
      <c r="KDD41" s="52"/>
      <c r="KDE41" s="52"/>
      <c r="KDF41" s="52"/>
      <c r="KDG41" s="52"/>
      <c r="KDH41" s="52"/>
      <c r="KDI41" s="52"/>
      <c r="KDJ41" s="52"/>
      <c r="KDK41" s="52"/>
      <c r="KDL41" s="52"/>
      <c r="KDM41" s="52"/>
      <c r="KDN41" s="52"/>
      <c r="KDO41" s="52"/>
      <c r="KDP41" s="52"/>
      <c r="KDQ41" s="52"/>
      <c r="KDR41" s="52"/>
      <c r="KDS41" s="52"/>
      <c r="KDT41" s="52"/>
      <c r="KDU41" s="52"/>
      <c r="KDV41" s="52"/>
      <c r="KDW41" s="52"/>
      <c r="KDX41" s="52"/>
      <c r="KDY41" s="52"/>
      <c r="KDZ41" s="52"/>
      <c r="KEA41" s="52"/>
      <c r="KEB41" s="52"/>
      <c r="KEC41" s="52"/>
      <c r="KED41" s="52"/>
      <c r="KEE41" s="52"/>
      <c r="KEF41" s="52"/>
      <c r="KEG41" s="52"/>
      <c r="KEH41" s="52"/>
      <c r="KEI41" s="52"/>
      <c r="KEJ41" s="52"/>
      <c r="KEK41" s="52"/>
      <c r="KEL41" s="52"/>
      <c r="KEM41" s="52"/>
      <c r="KEN41" s="52"/>
      <c r="KEO41" s="52"/>
      <c r="KEP41" s="52"/>
      <c r="KEQ41" s="52"/>
      <c r="KER41" s="52"/>
      <c r="KES41" s="52"/>
      <c r="KET41" s="52"/>
      <c r="KEU41" s="52"/>
      <c r="KEV41" s="52"/>
      <c r="KEW41" s="52"/>
      <c r="KEX41" s="52"/>
      <c r="KEY41" s="52"/>
      <c r="KEZ41" s="52"/>
      <c r="KFA41" s="52"/>
      <c r="KFB41" s="52"/>
      <c r="KFC41" s="52"/>
      <c r="KFD41" s="52"/>
      <c r="KFE41" s="52"/>
      <c r="KFF41" s="52"/>
      <c r="KFG41" s="52"/>
      <c r="KFH41" s="52"/>
      <c r="KFI41" s="52"/>
      <c r="KFJ41" s="52"/>
      <c r="KFK41" s="52"/>
      <c r="KFL41" s="52"/>
      <c r="KFM41" s="52"/>
      <c r="KFN41" s="52"/>
      <c r="KFO41" s="52"/>
      <c r="KFP41" s="52"/>
      <c r="KFQ41" s="52"/>
      <c r="KFR41" s="52"/>
      <c r="KFS41" s="52"/>
      <c r="KFT41" s="52"/>
      <c r="KFU41" s="52"/>
      <c r="KFV41" s="52"/>
      <c r="KFW41" s="52"/>
      <c r="KFX41" s="52"/>
      <c r="KFY41" s="52"/>
      <c r="KFZ41" s="52"/>
      <c r="KGA41" s="52"/>
      <c r="KGB41" s="52"/>
      <c r="KGC41" s="52"/>
      <c r="KGD41" s="52"/>
      <c r="KGE41" s="52"/>
      <c r="KGF41" s="52"/>
      <c r="KGG41" s="52"/>
      <c r="KGH41" s="52"/>
      <c r="KGI41" s="52"/>
      <c r="KGJ41" s="52"/>
      <c r="KGK41" s="52"/>
      <c r="KGL41" s="52"/>
      <c r="KGM41" s="52"/>
      <c r="KGN41" s="52"/>
      <c r="KGO41" s="52"/>
      <c r="KGP41" s="52"/>
      <c r="KGQ41" s="52"/>
      <c r="KGR41" s="52"/>
      <c r="KGS41" s="52"/>
      <c r="KGT41" s="52"/>
      <c r="KGU41" s="52"/>
      <c r="KGV41" s="52"/>
      <c r="KGW41" s="52"/>
      <c r="KGX41" s="52"/>
      <c r="KGY41" s="52"/>
      <c r="KGZ41" s="52"/>
      <c r="KHA41" s="52"/>
      <c r="KHB41" s="52"/>
      <c r="KHC41" s="52"/>
      <c r="KHD41" s="52"/>
      <c r="KHE41" s="52"/>
      <c r="KHF41" s="52"/>
      <c r="KHG41" s="52"/>
      <c r="KHH41" s="52"/>
      <c r="KHI41" s="52"/>
      <c r="KHJ41" s="52"/>
      <c r="KHK41" s="52"/>
      <c r="KHL41" s="52"/>
      <c r="KHM41" s="52"/>
      <c r="KHN41" s="52"/>
      <c r="KHO41" s="52"/>
      <c r="KHP41" s="52"/>
      <c r="KHQ41" s="52"/>
      <c r="KHR41" s="52"/>
      <c r="KHS41" s="52"/>
      <c r="KHT41" s="52"/>
      <c r="KHU41" s="52"/>
      <c r="KHV41" s="52"/>
      <c r="KHW41" s="52"/>
      <c r="KHX41" s="52"/>
      <c r="KHY41" s="52"/>
      <c r="KHZ41" s="52"/>
      <c r="KIA41" s="52"/>
      <c r="KIB41" s="52"/>
      <c r="KIC41" s="52"/>
      <c r="KID41" s="52"/>
      <c r="KIE41" s="52"/>
      <c r="KIF41" s="52"/>
      <c r="KIG41" s="52"/>
      <c r="KIH41" s="52"/>
      <c r="KII41" s="52"/>
      <c r="KIJ41" s="52"/>
      <c r="KIK41" s="52"/>
      <c r="KIL41" s="52"/>
      <c r="KIM41" s="52"/>
      <c r="KIN41" s="52"/>
      <c r="KIO41" s="52"/>
      <c r="KIP41" s="52"/>
      <c r="KIQ41" s="52"/>
      <c r="KIR41" s="52"/>
      <c r="KIS41" s="52"/>
      <c r="KIT41" s="52"/>
      <c r="KIU41" s="52"/>
      <c r="KIV41" s="52"/>
      <c r="KIW41" s="52"/>
      <c r="KIX41" s="52"/>
      <c r="KIY41" s="52"/>
      <c r="KIZ41" s="52"/>
      <c r="KJA41" s="52"/>
      <c r="KJB41" s="52"/>
      <c r="KJC41" s="52"/>
      <c r="KJD41" s="52"/>
      <c r="KJE41" s="52"/>
      <c r="KJF41" s="52"/>
      <c r="KJG41" s="52"/>
      <c r="KJH41" s="52"/>
      <c r="KJI41" s="52"/>
      <c r="KJJ41" s="52"/>
      <c r="KJK41" s="52"/>
      <c r="KJL41" s="52"/>
      <c r="KJM41" s="52"/>
      <c r="KJN41" s="52"/>
      <c r="KJO41" s="52"/>
      <c r="KJP41" s="52"/>
      <c r="KJQ41" s="52"/>
      <c r="KJR41" s="52"/>
      <c r="KJS41" s="52"/>
      <c r="KJT41" s="52"/>
      <c r="KJU41" s="52"/>
      <c r="KJV41" s="52"/>
      <c r="KJW41" s="52"/>
      <c r="KJX41" s="52"/>
      <c r="KJY41" s="52"/>
      <c r="KJZ41" s="52"/>
      <c r="KKA41" s="52"/>
      <c r="KKB41" s="52"/>
      <c r="KKC41" s="52"/>
      <c r="KKD41" s="52"/>
      <c r="KKE41" s="52"/>
      <c r="KKF41" s="52"/>
      <c r="KKG41" s="52"/>
      <c r="KKH41" s="52"/>
      <c r="KKI41" s="52"/>
      <c r="KKJ41" s="52"/>
      <c r="KKK41" s="52"/>
      <c r="KKL41" s="52"/>
      <c r="KKM41" s="52"/>
      <c r="KKN41" s="52"/>
      <c r="KKO41" s="52"/>
      <c r="KKP41" s="52"/>
      <c r="KKQ41" s="52"/>
      <c r="KKR41" s="52"/>
      <c r="KKS41" s="52"/>
      <c r="KKT41" s="52"/>
      <c r="KKU41" s="52"/>
      <c r="KKV41" s="52"/>
      <c r="KKW41" s="52"/>
      <c r="KKX41" s="52"/>
      <c r="KKY41" s="52"/>
      <c r="KKZ41" s="52"/>
      <c r="KLA41" s="52"/>
      <c r="KLB41" s="52"/>
      <c r="KLC41" s="52"/>
      <c r="KLD41" s="52"/>
      <c r="KLE41" s="52"/>
      <c r="KLF41" s="52"/>
      <c r="KLG41" s="52"/>
      <c r="KLH41" s="52"/>
      <c r="KLI41" s="52"/>
      <c r="KLJ41" s="52"/>
      <c r="KLK41" s="52"/>
      <c r="KLL41" s="52"/>
      <c r="KLM41" s="52"/>
      <c r="KLN41" s="52"/>
      <c r="KLO41" s="52"/>
      <c r="KLP41" s="52"/>
      <c r="KLQ41" s="52"/>
      <c r="KLR41" s="52"/>
      <c r="KLS41" s="52"/>
      <c r="KLT41" s="52"/>
      <c r="KLU41" s="52"/>
      <c r="KLV41" s="52"/>
      <c r="KLW41" s="52"/>
      <c r="KLX41" s="52"/>
      <c r="KLY41" s="52"/>
      <c r="KLZ41" s="52"/>
      <c r="KMA41" s="52"/>
      <c r="KMB41" s="52"/>
      <c r="KMC41" s="52"/>
      <c r="KMD41" s="52"/>
      <c r="KME41" s="52"/>
      <c r="KMF41" s="52"/>
      <c r="KMG41" s="52"/>
      <c r="KMH41" s="52"/>
      <c r="KMI41" s="52"/>
      <c r="KMJ41" s="52"/>
      <c r="KMK41" s="52"/>
      <c r="KML41" s="52"/>
      <c r="KMM41" s="52"/>
      <c r="KMN41" s="52"/>
      <c r="KMO41" s="52"/>
      <c r="KMP41" s="52"/>
      <c r="KMQ41" s="52"/>
      <c r="KMR41" s="52"/>
      <c r="KMS41" s="52"/>
      <c r="KMT41" s="52"/>
      <c r="KMU41" s="52"/>
      <c r="KMV41" s="52"/>
      <c r="KMW41" s="52"/>
      <c r="KMX41" s="52"/>
      <c r="KMY41" s="52"/>
      <c r="KMZ41" s="52"/>
      <c r="KNA41" s="52"/>
      <c r="KNB41" s="52"/>
      <c r="KNC41" s="52"/>
      <c r="KND41" s="52"/>
      <c r="KNE41" s="52"/>
      <c r="KNF41" s="52"/>
      <c r="KNG41" s="52"/>
      <c r="KNH41" s="52"/>
      <c r="KNI41" s="52"/>
      <c r="KNJ41" s="52"/>
      <c r="KNK41" s="52"/>
      <c r="KNL41" s="52"/>
      <c r="KNM41" s="52"/>
      <c r="KNN41" s="52"/>
      <c r="KNO41" s="52"/>
      <c r="KNP41" s="52"/>
      <c r="KNQ41" s="52"/>
      <c r="KNR41" s="52"/>
      <c r="KNS41" s="52"/>
      <c r="KNT41" s="52"/>
      <c r="KNU41" s="52"/>
      <c r="KNV41" s="52"/>
      <c r="KNW41" s="52"/>
      <c r="KNX41" s="52"/>
      <c r="KNY41" s="52"/>
      <c r="KNZ41" s="52"/>
      <c r="KOA41" s="52"/>
      <c r="KOB41" s="52"/>
      <c r="KOC41" s="52"/>
      <c r="KOD41" s="52"/>
      <c r="KOE41" s="52"/>
      <c r="KOF41" s="52"/>
      <c r="KOG41" s="52"/>
      <c r="KOH41" s="52"/>
      <c r="KOI41" s="52"/>
      <c r="KOJ41" s="52"/>
      <c r="KOK41" s="52"/>
      <c r="KOL41" s="52"/>
      <c r="KOM41" s="52"/>
      <c r="KON41" s="52"/>
      <c r="KOO41" s="52"/>
      <c r="KOP41" s="52"/>
      <c r="KOQ41" s="52"/>
      <c r="KOR41" s="52"/>
      <c r="KOS41" s="52"/>
      <c r="KOT41" s="52"/>
      <c r="KOU41" s="52"/>
      <c r="KOV41" s="52"/>
      <c r="KOW41" s="52"/>
      <c r="KOX41" s="52"/>
      <c r="KOY41" s="52"/>
      <c r="KOZ41" s="52"/>
      <c r="KPA41" s="52"/>
      <c r="KPB41" s="52"/>
      <c r="KPC41" s="52"/>
      <c r="KPD41" s="52"/>
      <c r="KPE41" s="52"/>
      <c r="KPF41" s="52"/>
      <c r="KPG41" s="52"/>
      <c r="KPH41" s="52"/>
      <c r="KPI41" s="52"/>
      <c r="KPJ41" s="52"/>
      <c r="KPK41" s="52"/>
      <c r="KPL41" s="52"/>
      <c r="KPM41" s="52"/>
      <c r="KPN41" s="52"/>
      <c r="KPO41" s="52"/>
      <c r="KPP41" s="52"/>
      <c r="KPQ41" s="52"/>
      <c r="KPR41" s="52"/>
      <c r="KPS41" s="52"/>
      <c r="KPT41" s="52"/>
      <c r="KPU41" s="52"/>
      <c r="KPV41" s="52"/>
      <c r="KPW41" s="52"/>
      <c r="KPX41" s="52"/>
      <c r="KPY41" s="52"/>
      <c r="KPZ41" s="52"/>
      <c r="KQA41" s="52"/>
      <c r="KQB41" s="52"/>
      <c r="KQC41" s="52"/>
      <c r="KQD41" s="52"/>
      <c r="KQE41" s="52"/>
      <c r="KQF41" s="52"/>
      <c r="KQG41" s="52"/>
      <c r="KQH41" s="52"/>
      <c r="KQI41" s="52"/>
      <c r="KQJ41" s="52"/>
      <c r="KQK41" s="52"/>
      <c r="KQL41" s="52"/>
      <c r="KQM41" s="52"/>
      <c r="KQN41" s="52"/>
      <c r="KQO41" s="52"/>
      <c r="KQP41" s="52"/>
      <c r="KQQ41" s="52"/>
      <c r="KQR41" s="52"/>
      <c r="KQS41" s="52"/>
      <c r="KQT41" s="52"/>
      <c r="KQU41" s="52"/>
      <c r="KQV41" s="52"/>
      <c r="KQW41" s="52"/>
      <c r="KQX41" s="52"/>
      <c r="KQY41" s="52"/>
      <c r="KQZ41" s="52"/>
      <c r="KRA41" s="52"/>
      <c r="KRB41" s="52"/>
      <c r="KRC41" s="52"/>
      <c r="KRD41" s="52"/>
      <c r="KRE41" s="52"/>
      <c r="KRF41" s="52"/>
      <c r="KRG41" s="52"/>
      <c r="KRH41" s="52"/>
      <c r="KRI41" s="52"/>
      <c r="KRJ41" s="52"/>
      <c r="KRK41" s="52"/>
      <c r="KRL41" s="52"/>
      <c r="KRM41" s="52"/>
      <c r="KRN41" s="52"/>
      <c r="KRO41" s="52"/>
      <c r="KRP41" s="52"/>
      <c r="KRQ41" s="52"/>
      <c r="KRR41" s="52"/>
      <c r="KRS41" s="52"/>
      <c r="KRT41" s="52"/>
      <c r="KRU41" s="52"/>
      <c r="KRV41" s="52"/>
      <c r="KRW41" s="52"/>
      <c r="KRX41" s="52"/>
      <c r="KRY41" s="52"/>
      <c r="KRZ41" s="52"/>
      <c r="KSA41" s="52"/>
      <c r="KSB41" s="52"/>
      <c r="KSC41" s="52"/>
      <c r="KSD41" s="52"/>
      <c r="KSE41" s="52"/>
      <c r="KSF41" s="52"/>
      <c r="KSG41" s="52"/>
      <c r="KSH41" s="52"/>
      <c r="KSI41" s="52"/>
      <c r="KSJ41" s="52"/>
      <c r="KSK41" s="52"/>
      <c r="KSL41" s="52"/>
      <c r="KSM41" s="52"/>
      <c r="KSN41" s="52"/>
      <c r="KSO41" s="52"/>
      <c r="KSP41" s="52"/>
      <c r="KSQ41" s="52"/>
      <c r="KSR41" s="52"/>
      <c r="KSS41" s="52"/>
      <c r="KST41" s="52"/>
      <c r="KSU41" s="52"/>
      <c r="KSV41" s="52"/>
      <c r="KSW41" s="52"/>
      <c r="KSX41" s="52"/>
      <c r="KSY41" s="52"/>
      <c r="KSZ41" s="52"/>
      <c r="KTA41" s="52"/>
      <c r="KTB41" s="52"/>
      <c r="KTC41" s="52"/>
      <c r="KTD41" s="52"/>
      <c r="KTE41" s="52"/>
      <c r="KTF41" s="52"/>
      <c r="KTG41" s="52"/>
      <c r="KTH41" s="52"/>
      <c r="KTI41" s="52"/>
      <c r="KTJ41" s="52"/>
      <c r="KTK41" s="52"/>
      <c r="KTL41" s="52"/>
      <c r="KTM41" s="52"/>
      <c r="KTN41" s="52"/>
      <c r="KTO41" s="52"/>
      <c r="KTP41" s="52"/>
      <c r="KTQ41" s="52"/>
      <c r="KTR41" s="52"/>
      <c r="KTS41" s="52"/>
      <c r="KTT41" s="52"/>
      <c r="KTU41" s="52"/>
      <c r="KTV41" s="52"/>
      <c r="KTW41" s="52"/>
      <c r="KTX41" s="52"/>
      <c r="KTY41" s="52"/>
      <c r="KTZ41" s="52"/>
      <c r="KUA41" s="52"/>
      <c r="KUB41" s="52"/>
      <c r="KUC41" s="52"/>
      <c r="KUD41" s="52"/>
      <c r="KUE41" s="52"/>
      <c r="KUF41" s="52"/>
      <c r="KUG41" s="52"/>
      <c r="KUH41" s="52"/>
      <c r="KUI41" s="52"/>
      <c r="KUJ41" s="52"/>
      <c r="KUK41" s="52"/>
      <c r="KUL41" s="52"/>
      <c r="KUM41" s="52"/>
      <c r="KUN41" s="52"/>
      <c r="KUO41" s="52"/>
      <c r="KUP41" s="52"/>
      <c r="KUQ41" s="52"/>
      <c r="KUR41" s="52"/>
      <c r="KUS41" s="52"/>
      <c r="KUT41" s="52"/>
      <c r="KUU41" s="52"/>
      <c r="KUV41" s="52"/>
      <c r="KUW41" s="52"/>
      <c r="KUX41" s="52"/>
      <c r="KUY41" s="52"/>
      <c r="KUZ41" s="52"/>
      <c r="KVA41" s="52"/>
      <c r="KVB41" s="52"/>
      <c r="KVC41" s="52"/>
      <c r="KVD41" s="52"/>
      <c r="KVE41" s="52"/>
      <c r="KVF41" s="52"/>
      <c r="KVG41" s="52"/>
      <c r="KVH41" s="52"/>
      <c r="KVI41" s="52"/>
      <c r="KVJ41" s="52"/>
      <c r="KVK41" s="52"/>
      <c r="KVL41" s="52"/>
      <c r="KVM41" s="52"/>
      <c r="KVN41" s="52"/>
      <c r="KVO41" s="52"/>
      <c r="KVP41" s="52"/>
      <c r="KVQ41" s="52"/>
      <c r="KVR41" s="52"/>
      <c r="KVS41" s="52"/>
      <c r="KVT41" s="52"/>
      <c r="KVU41" s="52"/>
      <c r="KVV41" s="52"/>
      <c r="KVW41" s="52"/>
      <c r="KVX41" s="52"/>
      <c r="KVY41" s="52"/>
      <c r="KVZ41" s="52"/>
      <c r="KWA41" s="52"/>
      <c r="KWB41" s="52"/>
      <c r="KWC41" s="52"/>
      <c r="KWD41" s="52"/>
      <c r="KWE41" s="52"/>
      <c r="KWF41" s="52"/>
      <c r="KWG41" s="52"/>
      <c r="KWH41" s="52"/>
      <c r="KWI41" s="52"/>
      <c r="KWJ41" s="52"/>
      <c r="KWK41" s="52"/>
      <c r="KWL41" s="52"/>
      <c r="KWM41" s="52"/>
      <c r="KWN41" s="52"/>
      <c r="KWO41" s="52"/>
      <c r="KWP41" s="52"/>
      <c r="KWQ41" s="52"/>
      <c r="KWR41" s="52"/>
      <c r="KWS41" s="52"/>
      <c r="KWT41" s="52"/>
      <c r="KWU41" s="52"/>
      <c r="KWV41" s="52"/>
      <c r="KWW41" s="52"/>
      <c r="KWX41" s="52"/>
      <c r="KWY41" s="52"/>
      <c r="KWZ41" s="52"/>
      <c r="KXA41" s="52"/>
      <c r="KXB41" s="52"/>
      <c r="KXC41" s="52"/>
      <c r="KXD41" s="52"/>
      <c r="KXE41" s="52"/>
      <c r="KXF41" s="52"/>
      <c r="KXG41" s="52"/>
      <c r="KXH41" s="52"/>
      <c r="KXI41" s="52"/>
      <c r="KXJ41" s="52"/>
      <c r="KXK41" s="52"/>
      <c r="KXL41" s="52"/>
      <c r="KXM41" s="52"/>
      <c r="KXN41" s="52"/>
      <c r="KXO41" s="52"/>
      <c r="KXP41" s="52"/>
      <c r="KXQ41" s="52"/>
      <c r="KXR41" s="52"/>
      <c r="KXS41" s="52"/>
      <c r="KXT41" s="52"/>
      <c r="KXU41" s="52"/>
      <c r="KXV41" s="52"/>
      <c r="KXW41" s="52"/>
      <c r="KXX41" s="52"/>
      <c r="KXY41" s="52"/>
      <c r="KXZ41" s="52"/>
      <c r="KYA41" s="52"/>
      <c r="KYB41" s="52"/>
      <c r="KYC41" s="52"/>
      <c r="KYD41" s="52"/>
      <c r="KYE41" s="52"/>
      <c r="KYF41" s="52"/>
      <c r="KYG41" s="52"/>
      <c r="KYH41" s="52"/>
      <c r="KYI41" s="52"/>
      <c r="KYJ41" s="52"/>
      <c r="KYK41" s="52"/>
      <c r="KYL41" s="52"/>
      <c r="KYM41" s="52"/>
      <c r="KYN41" s="52"/>
      <c r="KYO41" s="52"/>
      <c r="KYP41" s="52"/>
      <c r="KYQ41" s="52"/>
      <c r="KYR41" s="52"/>
      <c r="KYS41" s="52"/>
      <c r="KYT41" s="52"/>
      <c r="KYU41" s="52"/>
      <c r="KYV41" s="52"/>
      <c r="KYW41" s="52"/>
      <c r="KYX41" s="52"/>
      <c r="KYY41" s="52"/>
      <c r="KYZ41" s="52"/>
      <c r="KZA41" s="52"/>
      <c r="KZB41" s="52"/>
      <c r="KZC41" s="52"/>
      <c r="KZD41" s="52"/>
      <c r="KZE41" s="52"/>
      <c r="KZF41" s="52"/>
      <c r="KZG41" s="52"/>
      <c r="KZH41" s="52"/>
      <c r="KZI41" s="52"/>
      <c r="KZJ41" s="52"/>
      <c r="KZK41" s="52"/>
      <c r="KZL41" s="52"/>
      <c r="KZM41" s="52"/>
      <c r="KZN41" s="52"/>
      <c r="KZO41" s="52"/>
      <c r="KZP41" s="52"/>
      <c r="KZQ41" s="52"/>
      <c r="KZR41" s="52"/>
      <c r="KZS41" s="52"/>
      <c r="KZT41" s="52"/>
      <c r="KZU41" s="52"/>
      <c r="KZV41" s="52"/>
      <c r="KZW41" s="52"/>
      <c r="KZX41" s="52"/>
      <c r="KZY41" s="52"/>
      <c r="KZZ41" s="52"/>
      <c r="LAA41" s="52"/>
      <c r="LAB41" s="52"/>
      <c r="LAC41" s="52"/>
      <c r="LAD41" s="52"/>
      <c r="LAE41" s="52"/>
      <c r="LAF41" s="52"/>
      <c r="LAG41" s="52"/>
      <c r="LAH41" s="52"/>
      <c r="LAI41" s="52"/>
      <c r="LAJ41" s="52"/>
      <c r="LAK41" s="52"/>
      <c r="LAL41" s="52"/>
      <c r="LAM41" s="52"/>
      <c r="LAN41" s="52"/>
      <c r="LAO41" s="52"/>
      <c r="LAP41" s="52"/>
      <c r="LAQ41" s="52"/>
      <c r="LAR41" s="52"/>
      <c r="LAS41" s="52"/>
      <c r="LAT41" s="52"/>
      <c r="LAU41" s="52"/>
      <c r="LAV41" s="52"/>
      <c r="LAW41" s="52"/>
      <c r="LAX41" s="52"/>
      <c r="LAY41" s="52"/>
      <c r="LAZ41" s="52"/>
      <c r="LBA41" s="52"/>
      <c r="LBB41" s="52"/>
      <c r="LBC41" s="52"/>
      <c r="LBD41" s="52"/>
      <c r="LBE41" s="52"/>
      <c r="LBF41" s="52"/>
      <c r="LBG41" s="52"/>
      <c r="LBH41" s="52"/>
      <c r="LBI41" s="52"/>
      <c r="LBJ41" s="52"/>
      <c r="LBK41" s="52"/>
      <c r="LBL41" s="52"/>
      <c r="LBM41" s="52"/>
      <c r="LBN41" s="52"/>
      <c r="LBO41" s="52"/>
      <c r="LBP41" s="52"/>
      <c r="LBQ41" s="52"/>
      <c r="LBR41" s="52"/>
      <c r="LBS41" s="52"/>
      <c r="LBT41" s="52"/>
      <c r="LBU41" s="52"/>
      <c r="LBV41" s="52"/>
      <c r="LBW41" s="52"/>
      <c r="LBX41" s="52"/>
      <c r="LBY41" s="52"/>
      <c r="LBZ41" s="52"/>
      <c r="LCA41" s="52"/>
      <c r="LCB41" s="52"/>
      <c r="LCC41" s="52"/>
      <c r="LCD41" s="52"/>
      <c r="LCE41" s="52"/>
      <c r="LCF41" s="52"/>
      <c r="LCG41" s="52"/>
      <c r="LCH41" s="52"/>
      <c r="LCI41" s="52"/>
      <c r="LCJ41" s="52"/>
      <c r="LCK41" s="52"/>
      <c r="LCL41" s="52"/>
      <c r="LCM41" s="52"/>
      <c r="LCN41" s="52"/>
      <c r="LCO41" s="52"/>
      <c r="LCP41" s="52"/>
      <c r="LCQ41" s="52"/>
      <c r="LCR41" s="52"/>
      <c r="LCS41" s="52"/>
      <c r="LCT41" s="52"/>
      <c r="LCU41" s="52"/>
      <c r="LCV41" s="52"/>
      <c r="LCW41" s="52"/>
      <c r="LCX41" s="52"/>
      <c r="LCY41" s="52"/>
      <c r="LCZ41" s="52"/>
      <c r="LDA41" s="52"/>
      <c r="LDB41" s="52"/>
      <c r="LDC41" s="52"/>
      <c r="LDD41" s="52"/>
      <c r="LDE41" s="52"/>
      <c r="LDF41" s="52"/>
      <c r="LDG41" s="52"/>
      <c r="LDH41" s="52"/>
      <c r="LDI41" s="52"/>
      <c r="LDJ41" s="52"/>
      <c r="LDK41" s="52"/>
      <c r="LDL41" s="52"/>
      <c r="LDM41" s="52"/>
      <c r="LDN41" s="52"/>
      <c r="LDO41" s="52"/>
      <c r="LDP41" s="52"/>
      <c r="LDQ41" s="52"/>
      <c r="LDR41" s="52"/>
      <c r="LDS41" s="52"/>
      <c r="LDT41" s="52"/>
      <c r="LDU41" s="52"/>
      <c r="LDV41" s="52"/>
      <c r="LDW41" s="52"/>
      <c r="LDX41" s="52"/>
      <c r="LDY41" s="52"/>
      <c r="LDZ41" s="52"/>
      <c r="LEA41" s="52"/>
      <c r="LEB41" s="52"/>
      <c r="LEC41" s="52"/>
      <c r="LED41" s="52"/>
      <c r="LEE41" s="52"/>
      <c r="LEF41" s="52"/>
      <c r="LEG41" s="52"/>
      <c r="LEH41" s="52"/>
      <c r="LEI41" s="52"/>
      <c r="LEJ41" s="52"/>
      <c r="LEK41" s="52"/>
      <c r="LEL41" s="52"/>
      <c r="LEM41" s="52"/>
      <c r="LEN41" s="52"/>
      <c r="LEO41" s="52"/>
      <c r="LEP41" s="52"/>
      <c r="LEQ41" s="52"/>
      <c r="LER41" s="52"/>
      <c r="LES41" s="52"/>
      <c r="LET41" s="52"/>
      <c r="LEU41" s="52"/>
      <c r="LEV41" s="52"/>
      <c r="LEW41" s="52"/>
      <c r="LEX41" s="52"/>
      <c r="LEY41" s="52"/>
      <c r="LEZ41" s="52"/>
      <c r="LFA41" s="52"/>
      <c r="LFB41" s="52"/>
      <c r="LFC41" s="52"/>
      <c r="LFD41" s="52"/>
      <c r="LFE41" s="52"/>
      <c r="LFF41" s="52"/>
      <c r="LFG41" s="52"/>
      <c r="LFH41" s="52"/>
      <c r="LFI41" s="52"/>
      <c r="LFJ41" s="52"/>
      <c r="LFK41" s="52"/>
      <c r="LFL41" s="52"/>
      <c r="LFM41" s="52"/>
      <c r="LFN41" s="52"/>
      <c r="LFO41" s="52"/>
      <c r="LFP41" s="52"/>
      <c r="LFQ41" s="52"/>
      <c r="LFR41" s="52"/>
      <c r="LFS41" s="52"/>
      <c r="LFT41" s="52"/>
      <c r="LFU41" s="52"/>
      <c r="LFV41" s="52"/>
      <c r="LFW41" s="52"/>
      <c r="LFX41" s="52"/>
      <c r="LFY41" s="52"/>
      <c r="LFZ41" s="52"/>
      <c r="LGA41" s="52"/>
      <c r="LGB41" s="52"/>
      <c r="LGC41" s="52"/>
      <c r="LGD41" s="52"/>
      <c r="LGE41" s="52"/>
      <c r="LGF41" s="52"/>
      <c r="LGG41" s="52"/>
      <c r="LGH41" s="52"/>
      <c r="LGI41" s="52"/>
      <c r="LGJ41" s="52"/>
      <c r="LGK41" s="52"/>
      <c r="LGL41" s="52"/>
      <c r="LGM41" s="52"/>
      <c r="LGN41" s="52"/>
      <c r="LGO41" s="52"/>
      <c r="LGP41" s="52"/>
      <c r="LGQ41" s="52"/>
      <c r="LGR41" s="52"/>
      <c r="LGS41" s="52"/>
      <c r="LGT41" s="52"/>
      <c r="LGU41" s="52"/>
      <c r="LGV41" s="52"/>
      <c r="LGW41" s="52"/>
      <c r="LGX41" s="52"/>
      <c r="LGY41" s="52"/>
      <c r="LGZ41" s="52"/>
      <c r="LHA41" s="52"/>
      <c r="LHB41" s="52"/>
      <c r="LHC41" s="52"/>
      <c r="LHD41" s="52"/>
      <c r="LHE41" s="52"/>
      <c r="LHF41" s="52"/>
      <c r="LHG41" s="52"/>
      <c r="LHH41" s="52"/>
      <c r="LHI41" s="52"/>
      <c r="LHJ41" s="52"/>
      <c r="LHK41" s="52"/>
      <c r="LHL41" s="52"/>
      <c r="LHM41" s="52"/>
      <c r="LHN41" s="52"/>
      <c r="LHO41" s="52"/>
      <c r="LHP41" s="52"/>
      <c r="LHQ41" s="52"/>
      <c r="LHR41" s="52"/>
      <c r="LHS41" s="52"/>
      <c r="LHT41" s="52"/>
      <c r="LHU41" s="52"/>
      <c r="LHV41" s="52"/>
      <c r="LHW41" s="52"/>
      <c r="LHX41" s="52"/>
      <c r="LHY41" s="52"/>
      <c r="LHZ41" s="52"/>
      <c r="LIA41" s="52"/>
      <c r="LIB41" s="52"/>
      <c r="LIC41" s="52"/>
      <c r="LID41" s="52"/>
      <c r="LIE41" s="52"/>
      <c r="LIF41" s="52"/>
      <c r="LIG41" s="52"/>
      <c r="LIH41" s="52"/>
      <c r="LII41" s="52"/>
      <c r="LIJ41" s="52"/>
      <c r="LIK41" s="52"/>
      <c r="LIL41" s="52"/>
      <c r="LIM41" s="52"/>
      <c r="LIN41" s="52"/>
      <c r="LIO41" s="52"/>
      <c r="LIP41" s="52"/>
      <c r="LIQ41" s="52"/>
      <c r="LIR41" s="52"/>
      <c r="LIS41" s="52"/>
      <c r="LIT41" s="52"/>
      <c r="LIU41" s="52"/>
      <c r="LIV41" s="52"/>
      <c r="LIW41" s="52"/>
      <c r="LIX41" s="52"/>
      <c r="LIY41" s="52"/>
      <c r="LIZ41" s="52"/>
      <c r="LJA41" s="52"/>
      <c r="LJB41" s="52"/>
      <c r="LJC41" s="52"/>
      <c r="LJD41" s="52"/>
      <c r="LJE41" s="52"/>
      <c r="LJF41" s="52"/>
      <c r="LJG41" s="52"/>
      <c r="LJH41" s="52"/>
      <c r="LJI41" s="52"/>
      <c r="LJJ41" s="52"/>
      <c r="LJK41" s="52"/>
      <c r="LJL41" s="52"/>
      <c r="LJM41" s="52"/>
      <c r="LJN41" s="52"/>
      <c r="LJO41" s="52"/>
      <c r="LJP41" s="52"/>
      <c r="LJQ41" s="52"/>
      <c r="LJR41" s="52"/>
      <c r="LJS41" s="52"/>
      <c r="LJT41" s="52"/>
      <c r="LJU41" s="52"/>
      <c r="LJV41" s="52"/>
      <c r="LJW41" s="52"/>
      <c r="LJX41" s="52"/>
      <c r="LJY41" s="52"/>
      <c r="LJZ41" s="52"/>
      <c r="LKA41" s="52"/>
      <c r="LKB41" s="52"/>
      <c r="LKC41" s="52"/>
      <c r="LKD41" s="52"/>
      <c r="LKE41" s="52"/>
      <c r="LKF41" s="52"/>
      <c r="LKG41" s="52"/>
      <c r="LKH41" s="52"/>
      <c r="LKI41" s="52"/>
      <c r="LKJ41" s="52"/>
      <c r="LKK41" s="52"/>
      <c r="LKL41" s="52"/>
      <c r="LKM41" s="52"/>
      <c r="LKN41" s="52"/>
      <c r="LKO41" s="52"/>
      <c r="LKP41" s="52"/>
      <c r="LKQ41" s="52"/>
      <c r="LKR41" s="52"/>
      <c r="LKS41" s="52"/>
      <c r="LKT41" s="52"/>
      <c r="LKU41" s="52"/>
      <c r="LKV41" s="52"/>
      <c r="LKW41" s="52"/>
      <c r="LKX41" s="52"/>
      <c r="LKY41" s="52"/>
      <c r="LKZ41" s="52"/>
      <c r="LLA41" s="52"/>
      <c r="LLB41" s="52"/>
      <c r="LLC41" s="52"/>
      <c r="LLD41" s="52"/>
      <c r="LLE41" s="52"/>
      <c r="LLF41" s="52"/>
      <c r="LLG41" s="52"/>
      <c r="LLH41" s="52"/>
      <c r="LLI41" s="52"/>
      <c r="LLJ41" s="52"/>
      <c r="LLK41" s="52"/>
      <c r="LLL41" s="52"/>
      <c r="LLM41" s="52"/>
      <c r="LLN41" s="52"/>
      <c r="LLO41" s="52"/>
      <c r="LLP41" s="52"/>
      <c r="LLQ41" s="52"/>
      <c r="LLR41" s="52"/>
      <c r="LLS41" s="52"/>
      <c r="LLT41" s="52"/>
      <c r="LLU41" s="52"/>
      <c r="LLV41" s="52"/>
      <c r="LLW41" s="52"/>
      <c r="LLX41" s="52"/>
      <c r="LLY41" s="52"/>
      <c r="LLZ41" s="52"/>
      <c r="LMA41" s="52"/>
      <c r="LMB41" s="52"/>
      <c r="LMC41" s="52"/>
      <c r="LMD41" s="52"/>
      <c r="LME41" s="52"/>
      <c r="LMF41" s="52"/>
      <c r="LMG41" s="52"/>
      <c r="LMH41" s="52"/>
      <c r="LMI41" s="52"/>
      <c r="LMJ41" s="52"/>
      <c r="LMK41" s="52"/>
      <c r="LML41" s="52"/>
      <c r="LMM41" s="52"/>
      <c r="LMN41" s="52"/>
      <c r="LMO41" s="52"/>
      <c r="LMP41" s="52"/>
      <c r="LMQ41" s="52"/>
      <c r="LMR41" s="52"/>
      <c r="LMS41" s="52"/>
      <c r="LMT41" s="52"/>
      <c r="LMU41" s="52"/>
      <c r="LMV41" s="52"/>
      <c r="LMW41" s="52"/>
      <c r="LMX41" s="52"/>
      <c r="LMY41" s="52"/>
      <c r="LMZ41" s="52"/>
      <c r="LNA41" s="52"/>
      <c r="LNB41" s="52"/>
      <c r="LNC41" s="52"/>
      <c r="LND41" s="52"/>
      <c r="LNE41" s="52"/>
      <c r="LNF41" s="52"/>
      <c r="LNG41" s="52"/>
      <c r="LNH41" s="52"/>
      <c r="LNI41" s="52"/>
      <c r="LNJ41" s="52"/>
      <c r="LNK41" s="52"/>
      <c r="LNL41" s="52"/>
      <c r="LNM41" s="52"/>
      <c r="LNN41" s="52"/>
      <c r="LNO41" s="52"/>
      <c r="LNP41" s="52"/>
      <c r="LNQ41" s="52"/>
      <c r="LNR41" s="52"/>
      <c r="LNS41" s="52"/>
      <c r="LNT41" s="52"/>
      <c r="LNU41" s="52"/>
      <c r="LNV41" s="52"/>
      <c r="LNW41" s="52"/>
      <c r="LNX41" s="52"/>
      <c r="LNY41" s="52"/>
      <c r="LNZ41" s="52"/>
      <c r="LOA41" s="52"/>
      <c r="LOB41" s="52"/>
      <c r="LOC41" s="52"/>
      <c r="LOD41" s="52"/>
      <c r="LOE41" s="52"/>
      <c r="LOF41" s="52"/>
      <c r="LOG41" s="52"/>
      <c r="LOH41" s="52"/>
      <c r="LOI41" s="52"/>
      <c r="LOJ41" s="52"/>
      <c r="LOK41" s="52"/>
      <c r="LOL41" s="52"/>
      <c r="LOM41" s="52"/>
      <c r="LON41" s="52"/>
      <c r="LOO41" s="52"/>
      <c r="LOP41" s="52"/>
      <c r="LOQ41" s="52"/>
      <c r="LOR41" s="52"/>
      <c r="LOS41" s="52"/>
      <c r="LOT41" s="52"/>
      <c r="LOU41" s="52"/>
      <c r="LOV41" s="52"/>
      <c r="LOW41" s="52"/>
      <c r="LOX41" s="52"/>
      <c r="LOY41" s="52"/>
      <c r="LOZ41" s="52"/>
      <c r="LPA41" s="52"/>
      <c r="LPB41" s="52"/>
      <c r="LPC41" s="52"/>
      <c r="LPD41" s="52"/>
      <c r="LPE41" s="52"/>
      <c r="LPF41" s="52"/>
      <c r="LPG41" s="52"/>
      <c r="LPH41" s="52"/>
      <c r="LPI41" s="52"/>
      <c r="LPJ41" s="52"/>
      <c r="LPK41" s="52"/>
      <c r="LPL41" s="52"/>
      <c r="LPM41" s="52"/>
      <c r="LPN41" s="52"/>
      <c r="LPO41" s="52"/>
      <c r="LPP41" s="52"/>
      <c r="LPQ41" s="52"/>
      <c r="LPR41" s="52"/>
      <c r="LPS41" s="52"/>
      <c r="LPT41" s="52"/>
      <c r="LPU41" s="52"/>
      <c r="LPV41" s="52"/>
      <c r="LPW41" s="52"/>
      <c r="LPX41" s="52"/>
      <c r="LPY41" s="52"/>
      <c r="LPZ41" s="52"/>
      <c r="LQA41" s="52"/>
      <c r="LQB41" s="52"/>
      <c r="LQC41" s="52"/>
      <c r="LQD41" s="52"/>
      <c r="LQE41" s="52"/>
      <c r="LQF41" s="52"/>
      <c r="LQG41" s="52"/>
      <c r="LQH41" s="52"/>
      <c r="LQI41" s="52"/>
      <c r="LQJ41" s="52"/>
      <c r="LQK41" s="52"/>
      <c r="LQL41" s="52"/>
      <c r="LQM41" s="52"/>
      <c r="LQN41" s="52"/>
      <c r="LQO41" s="52"/>
      <c r="LQP41" s="52"/>
      <c r="LQQ41" s="52"/>
      <c r="LQR41" s="52"/>
      <c r="LQS41" s="52"/>
      <c r="LQT41" s="52"/>
      <c r="LQU41" s="52"/>
      <c r="LQV41" s="52"/>
      <c r="LQW41" s="52"/>
      <c r="LQX41" s="52"/>
      <c r="LQY41" s="52"/>
      <c r="LQZ41" s="52"/>
      <c r="LRA41" s="52"/>
      <c r="LRB41" s="52"/>
      <c r="LRC41" s="52"/>
      <c r="LRD41" s="52"/>
      <c r="LRE41" s="52"/>
      <c r="LRF41" s="52"/>
      <c r="LRG41" s="52"/>
      <c r="LRH41" s="52"/>
      <c r="LRI41" s="52"/>
      <c r="LRJ41" s="52"/>
      <c r="LRK41" s="52"/>
      <c r="LRL41" s="52"/>
      <c r="LRM41" s="52"/>
      <c r="LRN41" s="52"/>
      <c r="LRO41" s="52"/>
      <c r="LRP41" s="52"/>
      <c r="LRQ41" s="52"/>
      <c r="LRR41" s="52"/>
      <c r="LRS41" s="52"/>
      <c r="LRT41" s="52"/>
      <c r="LRU41" s="52"/>
      <c r="LRV41" s="52"/>
      <c r="LRW41" s="52"/>
      <c r="LRX41" s="52"/>
      <c r="LRY41" s="52"/>
      <c r="LRZ41" s="52"/>
      <c r="LSA41" s="52"/>
      <c r="LSB41" s="52"/>
      <c r="LSC41" s="52"/>
      <c r="LSD41" s="52"/>
      <c r="LSE41" s="52"/>
      <c r="LSF41" s="52"/>
      <c r="LSG41" s="52"/>
      <c r="LSH41" s="52"/>
      <c r="LSI41" s="52"/>
      <c r="LSJ41" s="52"/>
      <c r="LSK41" s="52"/>
      <c r="LSL41" s="52"/>
      <c r="LSM41" s="52"/>
      <c r="LSN41" s="52"/>
      <c r="LSO41" s="52"/>
      <c r="LSP41" s="52"/>
      <c r="LSQ41" s="52"/>
      <c r="LSR41" s="52"/>
      <c r="LSS41" s="52"/>
      <c r="LST41" s="52"/>
      <c r="LSU41" s="52"/>
      <c r="LSV41" s="52"/>
      <c r="LSW41" s="52"/>
      <c r="LSX41" s="52"/>
      <c r="LSY41" s="52"/>
      <c r="LSZ41" s="52"/>
      <c r="LTA41" s="52"/>
      <c r="LTB41" s="52"/>
      <c r="LTC41" s="52"/>
      <c r="LTD41" s="52"/>
      <c r="LTE41" s="52"/>
      <c r="LTF41" s="52"/>
      <c r="LTG41" s="52"/>
      <c r="LTH41" s="52"/>
      <c r="LTI41" s="52"/>
      <c r="LTJ41" s="52"/>
      <c r="LTK41" s="52"/>
      <c r="LTL41" s="52"/>
      <c r="LTM41" s="52"/>
      <c r="LTN41" s="52"/>
      <c r="LTO41" s="52"/>
      <c r="LTP41" s="52"/>
      <c r="LTQ41" s="52"/>
      <c r="LTR41" s="52"/>
      <c r="LTS41" s="52"/>
      <c r="LTT41" s="52"/>
      <c r="LTU41" s="52"/>
      <c r="LTV41" s="52"/>
      <c r="LTW41" s="52"/>
      <c r="LTX41" s="52"/>
      <c r="LTY41" s="52"/>
      <c r="LTZ41" s="52"/>
      <c r="LUA41" s="52"/>
      <c r="LUB41" s="52"/>
      <c r="LUC41" s="52"/>
      <c r="LUD41" s="52"/>
      <c r="LUE41" s="52"/>
      <c r="LUF41" s="52"/>
      <c r="LUG41" s="52"/>
      <c r="LUH41" s="52"/>
      <c r="LUI41" s="52"/>
      <c r="LUJ41" s="52"/>
      <c r="LUK41" s="52"/>
      <c r="LUL41" s="52"/>
      <c r="LUM41" s="52"/>
      <c r="LUN41" s="52"/>
      <c r="LUO41" s="52"/>
      <c r="LUP41" s="52"/>
      <c r="LUQ41" s="52"/>
      <c r="LUR41" s="52"/>
      <c r="LUS41" s="52"/>
      <c r="LUT41" s="52"/>
      <c r="LUU41" s="52"/>
      <c r="LUV41" s="52"/>
      <c r="LUW41" s="52"/>
      <c r="LUX41" s="52"/>
      <c r="LUY41" s="52"/>
      <c r="LUZ41" s="52"/>
      <c r="LVA41" s="52"/>
      <c r="LVB41" s="52"/>
      <c r="LVC41" s="52"/>
      <c r="LVD41" s="52"/>
      <c r="LVE41" s="52"/>
      <c r="LVF41" s="52"/>
      <c r="LVG41" s="52"/>
      <c r="LVH41" s="52"/>
      <c r="LVI41" s="52"/>
      <c r="LVJ41" s="52"/>
      <c r="LVK41" s="52"/>
      <c r="LVL41" s="52"/>
      <c r="LVM41" s="52"/>
      <c r="LVN41" s="52"/>
      <c r="LVO41" s="52"/>
      <c r="LVP41" s="52"/>
      <c r="LVQ41" s="52"/>
      <c r="LVR41" s="52"/>
      <c r="LVS41" s="52"/>
      <c r="LVT41" s="52"/>
      <c r="LVU41" s="52"/>
      <c r="LVV41" s="52"/>
      <c r="LVW41" s="52"/>
      <c r="LVX41" s="52"/>
      <c r="LVY41" s="52"/>
      <c r="LVZ41" s="52"/>
      <c r="LWA41" s="52"/>
      <c r="LWB41" s="52"/>
      <c r="LWC41" s="52"/>
      <c r="LWD41" s="52"/>
      <c r="LWE41" s="52"/>
      <c r="LWF41" s="52"/>
      <c r="LWG41" s="52"/>
      <c r="LWH41" s="52"/>
      <c r="LWI41" s="52"/>
      <c r="LWJ41" s="52"/>
      <c r="LWK41" s="52"/>
      <c r="LWL41" s="52"/>
      <c r="LWM41" s="52"/>
      <c r="LWN41" s="52"/>
      <c r="LWO41" s="52"/>
      <c r="LWP41" s="52"/>
      <c r="LWQ41" s="52"/>
      <c r="LWR41" s="52"/>
      <c r="LWS41" s="52"/>
      <c r="LWT41" s="52"/>
      <c r="LWU41" s="52"/>
      <c r="LWV41" s="52"/>
      <c r="LWW41" s="52"/>
      <c r="LWX41" s="52"/>
      <c r="LWY41" s="52"/>
      <c r="LWZ41" s="52"/>
      <c r="LXA41" s="52"/>
      <c r="LXB41" s="52"/>
      <c r="LXC41" s="52"/>
      <c r="LXD41" s="52"/>
      <c r="LXE41" s="52"/>
      <c r="LXF41" s="52"/>
      <c r="LXG41" s="52"/>
      <c r="LXH41" s="52"/>
      <c r="LXI41" s="52"/>
      <c r="LXJ41" s="52"/>
      <c r="LXK41" s="52"/>
      <c r="LXL41" s="52"/>
      <c r="LXM41" s="52"/>
      <c r="LXN41" s="52"/>
      <c r="LXO41" s="52"/>
      <c r="LXP41" s="52"/>
      <c r="LXQ41" s="52"/>
      <c r="LXR41" s="52"/>
      <c r="LXS41" s="52"/>
      <c r="LXT41" s="52"/>
      <c r="LXU41" s="52"/>
      <c r="LXV41" s="52"/>
      <c r="LXW41" s="52"/>
      <c r="LXX41" s="52"/>
      <c r="LXY41" s="52"/>
      <c r="LXZ41" s="52"/>
      <c r="LYA41" s="52"/>
      <c r="LYB41" s="52"/>
      <c r="LYC41" s="52"/>
      <c r="LYD41" s="52"/>
      <c r="LYE41" s="52"/>
      <c r="LYF41" s="52"/>
      <c r="LYG41" s="52"/>
      <c r="LYH41" s="52"/>
      <c r="LYI41" s="52"/>
      <c r="LYJ41" s="52"/>
      <c r="LYK41" s="52"/>
      <c r="LYL41" s="52"/>
      <c r="LYM41" s="52"/>
      <c r="LYN41" s="52"/>
      <c r="LYO41" s="52"/>
      <c r="LYP41" s="52"/>
      <c r="LYQ41" s="52"/>
      <c r="LYR41" s="52"/>
      <c r="LYS41" s="52"/>
      <c r="LYT41" s="52"/>
      <c r="LYU41" s="52"/>
      <c r="LYV41" s="52"/>
      <c r="LYW41" s="52"/>
      <c r="LYX41" s="52"/>
      <c r="LYY41" s="52"/>
      <c r="LYZ41" s="52"/>
      <c r="LZA41" s="52"/>
      <c r="LZB41" s="52"/>
      <c r="LZC41" s="52"/>
      <c r="LZD41" s="52"/>
      <c r="LZE41" s="52"/>
      <c r="LZF41" s="52"/>
      <c r="LZG41" s="52"/>
      <c r="LZH41" s="52"/>
      <c r="LZI41" s="52"/>
      <c r="LZJ41" s="52"/>
      <c r="LZK41" s="52"/>
      <c r="LZL41" s="52"/>
      <c r="LZM41" s="52"/>
      <c r="LZN41" s="52"/>
      <c r="LZO41" s="52"/>
      <c r="LZP41" s="52"/>
      <c r="LZQ41" s="52"/>
      <c r="LZR41" s="52"/>
      <c r="LZS41" s="52"/>
      <c r="LZT41" s="52"/>
      <c r="LZU41" s="52"/>
      <c r="LZV41" s="52"/>
      <c r="LZW41" s="52"/>
      <c r="LZX41" s="52"/>
      <c r="LZY41" s="52"/>
      <c r="LZZ41" s="52"/>
      <c r="MAA41" s="52"/>
      <c r="MAB41" s="52"/>
      <c r="MAC41" s="52"/>
      <c r="MAD41" s="52"/>
      <c r="MAE41" s="52"/>
      <c r="MAF41" s="52"/>
      <c r="MAG41" s="52"/>
      <c r="MAH41" s="52"/>
      <c r="MAI41" s="52"/>
      <c r="MAJ41" s="52"/>
      <c r="MAK41" s="52"/>
      <c r="MAL41" s="52"/>
      <c r="MAM41" s="52"/>
      <c r="MAN41" s="52"/>
      <c r="MAO41" s="52"/>
      <c r="MAP41" s="52"/>
      <c r="MAQ41" s="52"/>
      <c r="MAR41" s="52"/>
      <c r="MAS41" s="52"/>
      <c r="MAT41" s="52"/>
      <c r="MAU41" s="52"/>
      <c r="MAV41" s="52"/>
      <c r="MAW41" s="52"/>
      <c r="MAX41" s="52"/>
      <c r="MAY41" s="52"/>
      <c r="MAZ41" s="52"/>
      <c r="MBA41" s="52"/>
      <c r="MBB41" s="52"/>
      <c r="MBC41" s="52"/>
      <c r="MBD41" s="52"/>
      <c r="MBE41" s="52"/>
      <c r="MBF41" s="52"/>
      <c r="MBG41" s="52"/>
      <c r="MBH41" s="52"/>
      <c r="MBI41" s="52"/>
      <c r="MBJ41" s="52"/>
      <c r="MBK41" s="52"/>
      <c r="MBL41" s="52"/>
      <c r="MBM41" s="52"/>
      <c r="MBN41" s="52"/>
      <c r="MBO41" s="52"/>
      <c r="MBP41" s="52"/>
      <c r="MBQ41" s="52"/>
      <c r="MBR41" s="52"/>
      <c r="MBS41" s="52"/>
      <c r="MBT41" s="52"/>
      <c r="MBU41" s="52"/>
      <c r="MBV41" s="52"/>
      <c r="MBW41" s="52"/>
      <c r="MBX41" s="52"/>
      <c r="MBY41" s="52"/>
      <c r="MBZ41" s="52"/>
      <c r="MCA41" s="52"/>
      <c r="MCB41" s="52"/>
      <c r="MCC41" s="52"/>
      <c r="MCD41" s="52"/>
      <c r="MCE41" s="52"/>
      <c r="MCF41" s="52"/>
      <c r="MCG41" s="52"/>
      <c r="MCH41" s="52"/>
      <c r="MCI41" s="52"/>
      <c r="MCJ41" s="52"/>
      <c r="MCK41" s="52"/>
      <c r="MCL41" s="52"/>
      <c r="MCM41" s="52"/>
      <c r="MCN41" s="52"/>
      <c r="MCO41" s="52"/>
      <c r="MCP41" s="52"/>
      <c r="MCQ41" s="52"/>
      <c r="MCR41" s="52"/>
      <c r="MCS41" s="52"/>
      <c r="MCT41" s="52"/>
      <c r="MCU41" s="52"/>
      <c r="MCV41" s="52"/>
      <c r="MCW41" s="52"/>
      <c r="MCX41" s="52"/>
      <c r="MCY41" s="52"/>
      <c r="MCZ41" s="52"/>
      <c r="MDA41" s="52"/>
      <c r="MDB41" s="52"/>
      <c r="MDC41" s="52"/>
      <c r="MDD41" s="52"/>
      <c r="MDE41" s="52"/>
      <c r="MDF41" s="52"/>
      <c r="MDG41" s="52"/>
      <c r="MDH41" s="52"/>
      <c r="MDI41" s="52"/>
      <c r="MDJ41" s="52"/>
      <c r="MDK41" s="52"/>
      <c r="MDL41" s="52"/>
      <c r="MDM41" s="52"/>
      <c r="MDN41" s="52"/>
      <c r="MDO41" s="52"/>
      <c r="MDP41" s="52"/>
      <c r="MDQ41" s="52"/>
      <c r="MDR41" s="52"/>
      <c r="MDS41" s="52"/>
      <c r="MDT41" s="52"/>
      <c r="MDU41" s="52"/>
      <c r="MDV41" s="52"/>
      <c r="MDW41" s="52"/>
      <c r="MDX41" s="52"/>
      <c r="MDY41" s="52"/>
      <c r="MDZ41" s="52"/>
      <c r="MEA41" s="52"/>
      <c r="MEB41" s="52"/>
      <c r="MEC41" s="52"/>
      <c r="MED41" s="52"/>
      <c r="MEE41" s="52"/>
      <c r="MEF41" s="52"/>
      <c r="MEG41" s="52"/>
      <c r="MEH41" s="52"/>
      <c r="MEI41" s="52"/>
      <c r="MEJ41" s="52"/>
      <c r="MEK41" s="52"/>
      <c r="MEL41" s="52"/>
      <c r="MEM41" s="52"/>
      <c r="MEN41" s="52"/>
      <c r="MEO41" s="52"/>
      <c r="MEP41" s="52"/>
      <c r="MEQ41" s="52"/>
      <c r="MER41" s="52"/>
      <c r="MES41" s="52"/>
      <c r="MET41" s="52"/>
      <c r="MEU41" s="52"/>
      <c r="MEV41" s="52"/>
      <c r="MEW41" s="52"/>
      <c r="MEX41" s="52"/>
      <c r="MEY41" s="52"/>
      <c r="MEZ41" s="52"/>
      <c r="MFA41" s="52"/>
      <c r="MFB41" s="52"/>
      <c r="MFC41" s="52"/>
      <c r="MFD41" s="52"/>
      <c r="MFE41" s="52"/>
      <c r="MFF41" s="52"/>
      <c r="MFG41" s="52"/>
      <c r="MFH41" s="52"/>
      <c r="MFI41" s="52"/>
      <c r="MFJ41" s="52"/>
      <c r="MFK41" s="52"/>
      <c r="MFL41" s="52"/>
      <c r="MFM41" s="52"/>
      <c r="MFN41" s="52"/>
      <c r="MFO41" s="52"/>
      <c r="MFP41" s="52"/>
      <c r="MFQ41" s="52"/>
      <c r="MFR41" s="52"/>
      <c r="MFS41" s="52"/>
      <c r="MFT41" s="52"/>
      <c r="MFU41" s="52"/>
      <c r="MFV41" s="52"/>
      <c r="MFW41" s="52"/>
      <c r="MFX41" s="52"/>
      <c r="MFY41" s="52"/>
      <c r="MFZ41" s="52"/>
      <c r="MGA41" s="52"/>
      <c r="MGB41" s="52"/>
      <c r="MGC41" s="52"/>
      <c r="MGD41" s="52"/>
      <c r="MGE41" s="52"/>
      <c r="MGF41" s="52"/>
      <c r="MGG41" s="52"/>
      <c r="MGH41" s="52"/>
      <c r="MGI41" s="52"/>
      <c r="MGJ41" s="52"/>
      <c r="MGK41" s="52"/>
      <c r="MGL41" s="52"/>
      <c r="MGM41" s="52"/>
      <c r="MGN41" s="52"/>
      <c r="MGO41" s="52"/>
      <c r="MGP41" s="52"/>
      <c r="MGQ41" s="52"/>
      <c r="MGR41" s="52"/>
      <c r="MGS41" s="52"/>
      <c r="MGT41" s="52"/>
      <c r="MGU41" s="52"/>
      <c r="MGV41" s="52"/>
      <c r="MGW41" s="52"/>
      <c r="MGX41" s="52"/>
      <c r="MGY41" s="52"/>
      <c r="MGZ41" s="52"/>
      <c r="MHA41" s="52"/>
      <c r="MHB41" s="52"/>
      <c r="MHC41" s="52"/>
      <c r="MHD41" s="52"/>
      <c r="MHE41" s="52"/>
      <c r="MHF41" s="52"/>
      <c r="MHG41" s="52"/>
      <c r="MHH41" s="52"/>
      <c r="MHI41" s="52"/>
      <c r="MHJ41" s="52"/>
      <c r="MHK41" s="52"/>
      <c r="MHL41" s="52"/>
      <c r="MHM41" s="52"/>
      <c r="MHN41" s="52"/>
      <c r="MHO41" s="52"/>
      <c r="MHP41" s="52"/>
      <c r="MHQ41" s="52"/>
      <c r="MHR41" s="52"/>
      <c r="MHS41" s="52"/>
      <c r="MHT41" s="52"/>
      <c r="MHU41" s="52"/>
      <c r="MHV41" s="52"/>
      <c r="MHW41" s="52"/>
      <c r="MHX41" s="52"/>
      <c r="MHY41" s="52"/>
      <c r="MHZ41" s="52"/>
      <c r="MIA41" s="52"/>
      <c r="MIB41" s="52"/>
      <c r="MIC41" s="52"/>
      <c r="MID41" s="52"/>
      <c r="MIE41" s="52"/>
      <c r="MIF41" s="52"/>
      <c r="MIG41" s="52"/>
      <c r="MIH41" s="52"/>
      <c r="MII41" s="52"/>
      <c r="MIJ41" s="52"/>
      <c r="MIK41" s="52"/>
      <c r="MIL41" s="52"/>
      <c r="MIM41" s="52"/>
      <c r="MIN41" s="52"/>
      <c r="MIO41" s="52"/>
      <c r="MIP41" s="52"/>
      <c r="MIQ41" s="52"/>
      <c r="MIR41" s="52"/>
      <c r="MIS41" s="52"/>
      <c r="MIT41" s="52"/>
      <c r="MIU41" s="52"/>
      <c r="MIV41" s="52"/>
      <c r="MIW41" s="52"/>
      <c r="MIX41" s="52"/>
      <c r="MIY41" s="52"/>
      <c r="MIZ41" s="52"/>
      <c r="MJA41" s="52"/>
      <c r="MJB41" s="52"/>
      <c r="MJC41" s="52"/>
      <c r="MJD41" s="52"/>
      <c r="MJE41" s="52"/>
      <c r="MJF41" s="52"/>
      <c r="MJG41" s="52"/>
      <c r="MJH41" s="52"/>
      <c r="MJI41" s="52"/>
      <c r="MJJ41" s="52"/>
      <c r="MJK41" s="52"/>
      <c r="MJL41" s="52"/>
      <c r="MJM41" s="52"/>
      <c r="MJN41" s="52"/>
      <c r="MJO41" s="52"/>
      <c r="MJP41" s="52"/>
      <c r="MJQ41" s="52"/>
      <c r="MJR41" s="52"/>
      <c r="MJS41" s="52"/>
      <c r="MJT41" s="52"/>
      <c r="MJU41" s="52"/>
      <c r="MJV41" s="52"/>
      <c r="MJW41" s="52"/>
      <c r="MJX41" s="52"/>
      <c r="MJY41" s="52"/>
      <c r="MJZ41" s="52"/>
      <c r="MKA41" s="52"/>
      <c r="MKB41" s="52"/>
      <c r="MKC41" s="52"/>
      <c r="MKD41" s="52"/>
      <c r="MKE41" s="52"/>
      <c r="MKF41" s="52"/>
      <c r="MKG41" s="52"/>
      <c r="MKH41" s="52"/>
      <c r="MKI41" s="52"/>
      <c r="MKJ41" s="52"/>
      <c r="MKK41" s="52"/>
      <c r="MKL41" s="52"/>
      <c r="MKM41" s="52"/>
      <c r="MKN41" s="52"/>
      <c r="MKO41" s="52"/>
      <c r="MKP41" s="52"/>
      <c r="MKQ41" s="52"/>
      <c r="MKR41" s="52"/>
      <c r="MKS41" s="52"/>
      <c r="MKT41" s="52"/>
      <c r="MKU41" s="52"/>
      <c r="MKV41" s="52"/>
      <c r="MKW41" s="52"/>
      <c r="MKX41" s="52"/>
      <c r="MKY41" s="52"/>
      <c r="MKZ41" s="52"/>
      <c r="MLA41" s="52"/>
      <c r="MLB41" s="52"/>
      <c r="MLC41" s="52"/>
      <c r="MLD41" s="52"/>
      <c r="MLE41" s="52"/>
      <c r="MLF41" s="52"/>
      <c r="MLG41" s="52"/>
      <c r="MLH41" s="52"/>
      <c r="MLI41" s="52"/>
      <c r="MLJ41" s="52"/>
      <c r="MLK41" s="52"/>
      <c r="MLL41" s="52"/>
      <c r="MLM41" s="52"/>
      <c r="MLN41" s="52"/>
      <c r="MLO41" s="52"/>
      <c r="MLP41" s="52"/>
      <c r="MLQ41" s="52"/>
      <c r="MLR41" s="52"/>
      <c r="MLS41" s="52"/>
      <c r="MLT41" s="52"/>
      <c r="MLU41" s="52"/>
      <c r="MLV41" s="52"/>
      <c r="MLW41" s="52"/>
      <c r="MLX41" s="52"/>
      <c r="MLY41" s="52"/>
      <c r="MLZ41" s="52"/>
      <c r="MMA41" s="52"/>
      <c r="MMB41" s="52"/>
      <c r="MMC41" s="52"/>
      <c r="MMD41" s="52"/>
      <c r="MME41" s="52"/>
      <c r="MMF41" s="52"/>
      <c r="MMG41" s="52"/>
      <c r="MMH41" s="52"/>
      <c r="MMI41" s="52"/>
      <c r="MMJ41" s="52"/>
      <c r="MMK41" s="52"/>
      <c r="MML41" s="52"/>
      <c r="MMM41" s="52"/>
      <c r="MMN41" s="52"/>
      <c r="MMO41" s="52"/>
      <c r="MMP41" s="52"/>
      <c r="MMQ41" s="52"/>
      <c r="MMR41" s="52"/>
      <c r="MMS41" s="52"/>
      <c r="MMT41" s="52"/>
      <c r="MMU41" s="52"/>
      <c r="MMV41" s="52"/>
      <c r="MMW41" s="52"/>
      <c r="MMX41" s="52"/>
      <c r="MMY41" s="52"/>
      <c r="MMZ41" s="52"/>
      <c r="MNA41" s="52"/>
      <c r="MNB41" s="52"/>
      <c r="MNC41" s="52"/>
      <c r="MND41" s="52"/>
      <c r="MNE41" s="52"/>
      <c r="MNF41" s="52"/>
      <c r="MNG41" s="52"/>
      <c r="MNH41" s="52"/>
      <c r="MNI41" s="52"/>
      <c r="MNJ41" s="52"/>
      <c r="MNK41" s="52"/>
      <c r="MNL41" s="52"/>
      <c r="MNM41" s="52"/>
      <c r="MNN41" s="52"/>
      <c r="MNO41" s="52"/>
      <c r="MNP41" s="52"/>
      <c r="MNQ41" s="52"/>
      <c r="MNR41" s="52"/>
      <c r="MNS41" s="52"/>
      <c r="MNT41" s="52"/>
      <c r="MNU41" s="52"/>
      <c r="MNV41" s="52"/>
      <c r="MNW41" s="52"/>
      <c r="MNX41" s="52"/>
      <c r="MNY41" s="52"/>
      <c r="MNZ41" s="52"/>
      <c r="MOA41" s="52"/>
      <c r="MOB41" s="52"/>
      <c r="MOC41" s="52"/>
      <c r="MOD41" s="52"/>
      <c r="MOE41" s="52"/>
      <c r="MOF41" s="52"/>
      <c r="MOG41" s="52"/>
      <c r="MOH41" s="52"/>
      <c r="MOI41" s="52"/>
      <c r="MOJ41" s="52"/>
      <c r="MOK41" s="52"/>
      <c r="MOL41" s="52"/>
      <c r="MOM41" s="52"/>
      <c r="MON41" s="52"/>
      <c r="MOO41" s="52"/>
      <c r="MOP41" s="52"/>
      <c r="MOQ41" s="52"/>
      <c r="MOR41" s="52"/>
      <c r="MOS41" s="52"/>
      <c r="MOT41" s="52"/>
      <c r="MOU41" s="52"/>
      <c r="MOV41" s="52"/>
      <c r="MOW41" s="52"/>
      <c r="MOX41" s="52"/>
      <c r="MOY41" s="52"/>
      <c r="MOZ41" s="52"/>
      <c r="MPA41" s="52"/>
      <c r="MPB41" s="52"/>
      <c r="MPC41" s="52"/>
      <c r="MPD41" s="52"/>
      <c r="MPE41" s="52"/>
      <c r="MPF41" s="52"/>
      <c r="MPG41" s="52"/>
      <c r="MPH41" s="52"/>
      <c r="MPI41" s="52"/>
      <c r="MPJ41" s="52"/>
      <c r="MPK41" s="52"/>
      <c r="MPL41" s="52"/>
      <c r="MPM41" s="52"/>
      <c r="MPN41" s="52"/>
      <c r="MPO41" s="52"/>
      <c r="MPP41" s="52"/>
      <c r="MPQ41" s="52"/>
      <c r="MPR41" s="52"/>
      <c r="MPS41" s="52"/>
      <c r="MPT41" s="52"/>
      <c r="MPU41" s="52"/>
      <c r="MPV41" s="52"/>
      <c r="MPW41" s="52"/>
      <c r="MPX41" s="52"/>
      <c r="MPY41" s="52"/>
      <c r="MPZ41" s="52"/>
      <c r="MQA41" s="52"/>
      <c r="MQB41" s="52"/>
      <c r="MQC41" s="52"/>
      <c r="MQD41" s="52"/>
      <c r="MQE41" s="52"/>
      <c r="MQF41" s="52"/>
      <c r="MQG41" s="52"/>
      <c r="MQH41" s="52"/>
      <c r="MQI41" s="52"/>
      <c r="MQJ41" s="52"/>
      <c r="MQK41" s="52"/>
      <c r="MQL41" s="52"/>
      <c r="MQM41" s="52"/>
      <c r="MQN41" s="52"/>
      <c r="MQO41" s="52"/>
      <c r="MQP41" s="52"/>
      <c r="MQQ41" s="52"/>
      <c r="MQR41" s="52"/>
      <c r="MQS41" s="52"/>
      <c r="MQT41" s="52"/>
      <c r="MQU41" s="52"/>
      <c r="MQV41" s="52"/>
      <c r="MQW41" s="52"/>
      <c r="MQX41" s="52"/>
      <c r="MQY41" s="52"/>
      <c r="MQZ41" s="52"/>
      <c r="MRA41" s="52"/>
      <c r="MRB41" s="52"/>
      <c r="MRC41" s="52"/>
      <c r="MRD41" s="52"/>
      <c r="MRE41" s="52"/>
      <c r="MRF41" s="52"/>
      <c r="MRG41" s="52"/>
      <c r="MRH41" s="52"/>
      <c r="MRI41" s="52"/>
      <c r="MRJ41" s="52"/>
      <c r="MRK41" s="52"/>
      <c r="MRL41" s="52"/>
      <c r="MRM41" s="52"/>
      <c r="MRN41" s="52"/>
      <c r="MRO41" s="52"/>
      <c r="MRP41" s="52"/>
      <c r="MRQ41" s="52"/>
      <c r="MRR41" s="52"/>
      <c r="MRS41" s="52"/>
      <c r="MRT41" s="52"/>
      <c r="MRU41" s="52"/>
      <c r="MRV41" s="52"/>
      <c r="MRW41" s="52"/>
      <c r="MRX41" s="52"/>
      <c r="MRY41" s="52"/>
      <c r="MRZ41" s="52"/>
      <c r="MSA41" s="52"/>
      <c r="MSB41" s="52"/>
      <c r="MSC41" s="52"/>
      <c r="MSD41" s="52"/>
      <c r="MSE41" s="52"/>
      <c r="MSF41" s="52"/>
      <c r="MSG41" s="52"/>
      <c r="MSH41" s="52"/>
      <c r="MSI41" s="52"/>
      <c r="MSJ41" s="52"/>
      <c r="MSK41" s="52"/>
      <c r="MSL41" s="52"/>
      <c r="MSM41" s="52"/>
      <c r="MSN41" s="52"/>
      <c r="MSO41" s="52"/>
      <c r="MSP41" s="52"/>
      <c r="MSQ41" s="52"/>
      <c r="MSR41" s="52"/>
      <c r="MSS41" s="52"/>
      <c r="MST41" s="52"/>
      <c r="MSU41" s="52"/>
      <c r="MSV41" s="52"/>
      <c r="MSW41" s="52"/>
      <c r="MSX41" s="52"/>
      <c r="MSY41" s="52"/>
      <c r="MSZ41" s="52"/>
      <c r="MTA41" s="52"/>
      <c r="MTB41" s="52"/>
      <c r="MTC41" s="52"/>
      <c r="MTD41" s="52"/>
      <c r="MTE41" s="52"/>
      <c r="MTF41" s="52"/>
      <c r="MTG41" s="52"/>
      <c r="MTH41" s="52"/>
      <c r="MTI41" s="52"/>
      <c r="MTJ41" s="52"/>
      <c r="MTK41" s="52"/>
      <c r="MTL41" s="52"/>
      <c r="MTM41" s="52"/>
      <c r="MTN41" s="52"/>
      <c r="MTO41" s="52"/>
      <c r="MTP41" s="52"/>
      <c r="MTQ41" s="52"/>
      <c r="MTR41" s="52"/>
      <c r="MTS41" s="52"/>
      <c r="MTT41" s="52"/>
      <c r="MTU41" s="52"/>
      <c r="MTV41" s="52"/>
      <c r="MTW41" s="52"/>
      <c r="MTX41" s="52"/>
      <c r="MTY41" s="52"/>
      <c r="MTZ41" s="52"/>
      <c r="MUA41" s="52"/>
      <c r="MUB41" s="52"/>
      <c r="MUC41" s="52"/>
      <c r="MUD41" s="52"/>
      <c r="MUE41" s="52"/>
      <c r="MUF41" s="52"/>
      <c r="MUG41" s="52"/>
      <c r="MUH41" s="52"/>
      <c r="MUI41" s="52"/>
      <c r="MUJ41" s="52"/>
      <c r="MUK41" s="52"/>
      <c r="MUL41" s="52"/>
      <c r="MUM41" s="52"/>
      <c r="MUN41" s="52"/>
      <c r="MUO41" s="52"/>
      <c r="MUP41" s="52"/>
      <c r="MUQ41" s="52"/>
      <c r="MUR41" s="52"/>
      <c r="MUS41" s="52"/>
      <c r="MUT41" s="52"/>
      <c r="MUU41" s="52"/>
      <c r="MUV41" s="52"/>
      <c r="MUW41" s="52"/>
      <c r="MUX41" s="52"/>
      <c r="MUY41" s="52"/>
      <c r="MUZ41" s="52"/>
      <c r="MVA41" s="52"/>
      <c r="MVB41" s="52"/>
      <c r="MVC41" s="52"/>
      <c r="MVD41" s="52"/>
      <c r="MVE41" s="52"/>
      <c r="MVF41" s="52"/>
      <c r="MVG41" s="52"/>
      <c r="MVH41" s="52"/>
      <c r="MVI41" s="52"/>
      <c r="MVJ41" s="52"/>
      <c r="MVK41" s="52"/>
      <c r="MVL41" s="52"/>
      <c r="MVM41" s="52"/>
      <c r="MVN41" s="52"/>
      <c r="MVO41" s="52"/>
      <c r="MVP41" s="52"/>
      <c r="MVQ41" s="52"/>
      <c r="MVR41" s="52"/>
      <c r="MVS41" s="52"/>
      <c r="MVT41" s="52"/>
      <c r="MVU41" s="52"/>
      <c r="MVV41" s="52"/>
      <c r="MVW41" s="52"/>
      <c r="MVX41" s="52"/>
      <c r="MVY41" s="52"/>
      <c r="MVZ41" s="52"/>
      <c r="MWA41" s="52"/>
      <c r="MWB41" s="52"/>
      <c r="MWC41" s="52"/>
      <c r="MWD41" s="52"/>
      <c r="MWE41" s="52"/>
      <c r="MWF41" s="52"/>
      <c r="MWG41" s="52"/>
      <c r="MWH41" s="52"/>
      <c r="MWI41" s="52"/>
      <c r="MWJ41" s="52"/>
      <c r="MWK41" s="52"/>
      <c r="MWL41" s="52"/>
      <c r="MWM41" s="52"/>
      <c r="MWN41" s="52"/>
      <c r="MWO41" s="52"/>
      <c r="MWP41" s="52"/>
      <c r="MWQ41" s="52"/>
      <c r="MWR41" s="52"/>
      <c r="MWS41" s="52"/>
      <c r="MWT41" s="52"/>
      <c r="MWU41" s="52"/>
      <c r="MWV41" s="52"/>
      <c r="MWW41" s="52"/>
      <c r="MWX41" s="52"/>
      <c r="MWY41" s="52"/>
      <c r="MWZ41" s="52"/>
      <c r="MXA41" s="52"/>
      <c r="MXB41" s="52"/>
      <c r="MXC41" s="52"/>
      <c r="MXD41" s="52"/>
      <c r="MXE41" s="52"/>
      <c r="MXF41" s="52"/>
      <c r="MXG41" s="52"/>
      <c r="MXH41" s="52"/>
      <c r="MXI41" s="52"/>
      <c r="MXJ41" s="52"/>
      <c r="MXK41" s="52"/>
      <c r="MXL41" s="52"/>
      <c r="MXM41" s="52"/>
      <c r="MXN41" s="52"/>
      <c r="MXO41" s="52"/>
      <c r="MXP41" s="52"/>
      <c r="MXQ41" s="52"/>
      <c r="MXR41" s="52"/>
      <c r="MXS41" s="52"/>
      <c r="MXT41" s="52"/>
      <c r="MXU41" s="52"/>
      <c r="MXV41" s="52"/>
      <c r="MXW41" s="52"/>
      <c r="MXX41" s="52"/>
      <c r="MXY41" s="52"/>
      <c r="MXZ41" s="52"/>
      <c r="MYA41" s="52"/>
      <c r="MYB41" s="52"/>
      <c r="MYC41" s="52"/>
      <c r="MYD41" s="52"/>
      <c r="MYE41" s="52"/>
      <c r="MYF41" s="52"/>
      <c r="MYG41" s="52"/>
      <c r="MYH41" s="52"/>
      <c r="MYI41" s="52"/>
      <c r="MYJ41" s="52"/>
      <c r="MYK41" s="52"/>
      <c r="MYL41" s="52"/>
      <c r="MYM41" s="52"/>
      <c r="MYN41" s="52"/>
      <c r="MYO41" s="52"/>
      <c r="MYP41" s="52"/>
      <c r="MYQ41" s="52"/>
      <c r="MYR41" s="52"/>
      <c r="MYS41" s="52"/>
      <c r="MYT41" s="52"/>
      <c r="MYU41" s="52"/>
      <c r="MYV41" s="52"/>
      <c r="MYW41" s="52"/>
      <c r="MYX41" s="52"/>
      <c r="MYY41" s="52"/>
      <c r="MYZ41" s="52"/>
      <c r="MZA41" s="52"/>
      <c r="MZB41" s="52"/>
      <c r="MZC41" s="52"/>
      <c r="MZD41" s="52"/>
      <c r="MZE41" s="52"/>
      <c r="MZF41" s="52"/>
      <c r="MZG41" s="52"/>
      <c r="MZH41" s="52"/>
      <c r="MZI41" s="52"/>
      <c r="MZJ41" s="52"/>
      <c r="MZK41" s="52"/>
      <c r="MZL41" s="52"/>
      <c r="MZM41" s="52"/>
      <c r="MZN41" s="52"/>
      <c r="MZO41" s="52"/>
      <c r="MZP41" s="52"/>
      <c r="MZQ41" s="52"/>
      <c r="MZR41" s="52"/>
      <c r="MZS41" s="52"/>
      <c r="MZT41" s="52"/>
      <c r="MZU41" s="52"/>
      <c r="MZV41" s="52"/>
      <c r="MZW41" s="52"/>
      <c r="MZX41" s="52"/>
      <c r="MZY41" s="52"/>
      <c r="MZZ41" s="52"/>
      <c r="NAA41" s="52"/>
      <c r="NAB41" s="52"/>
      <c r="NAC41" s="52"/>
      <c r="NAD41" s="52"/>
      <c r="NAE41" s="52"/>
      <c r="NAF41" s="52"/>
      <c r="NAG41" s="52"/>
      <c r="NAH41" s="52"/>
      <c r="NAI41" s="52"/>
      <c r="NAJ41" s="52"/>
      <c r="NAK41" s="52"/>
      <c r="NAL41" s="52"/>
      <c r="NAM41" s="52"/>
      <c r="NAN41" s="52"/>
      <c r="NAO41" s="52"/>
      <c r="NAP41" s="52"/>
      <c r="NAQ41" s="52"/>
      <c r="NAR41" s="52"/>
      <c r="NAS41" s="52"/>
      <c r="NAT41" s="52"/>
      <c r="NAU41" s="52"/>
      <c r="NAV41" s="52"/>
      <c r="NAW41" s="52"/>
      <c r="NAX41" s="52"/>
      <c r="NAY41" s="52"/>
      <c r="NAZ41" s="52"/>
      <c r="NBA41" s="52"/>
      <c r="NBB41" s="52"/>
      <c r="NBC41" s="52"/>
      <c r="NBD41" s="52"/>
      <c r="NBE41" s="52"/>
      <c r="NBF41" s="52"/>
      <c r="NBG41" s="52"/>
      <c r="NBH41" s="52"/>
      <c r="NBI41" s="52"/>
      <c r="NBJ41" s="52"/>
      <c r="NBK41" s="52"/>
      <c r="NBL41" s="52"/>
      <c r="NBM41" s="52"/>
      <c r="NBN41" s="52"/>
      <c r="NBO41" s="52"/>
      <c r="NBP41" s="52"/>
      <c r="NBQ41" s="52"/>
      <c r="NBR41" s="52"/>
      <c r="NBS41" s="52"/>
      <c r="NBT41" s="52"/>
      <c r="NBU41" s="52"/>
      <c r="NBV41" s="52"/>
      <c r="NBW41" s="52"/>
      <c r="NBX41" s="52"/>
      <c r="NBY41" s="52"/>
      <c r="NBZ41" s="52"/>
      <c r="NCA41" s="52"/>
      <c r="NCB41" s="52"/>
      <c r="NCC41" s="52"/>
      <c r="NCD41" s="52"/>
      <c r="NCE41" s="52"/>
      <c r="NCF41" s="52"/>
      <c r="NCG41" s="52"/>
      <c r="NCH41" s="52"/>
      <c r="NCI41" s="52"/>
      <c r="NCJ41" s="52"/>
      <c r="NCK41" s="52"/>
      <c r="NCL41" s="52"/>
      <c r="NCM41" s="52"/>
      <c r="NCN41" s="52"/>
      <c r="NCO41" s="52"/>
      <c r="NCP41" s="52"/>
      <c r="NCQ41" s="52"/>
      <c r="NCR41" s="52"/>
      <c r="NCS41" s="52"/>
      <c r="NCT41" s="52"/>
      <c r="NCU41" s="52"/>
      <c r="NCV41" s="52"/>
      <c r="NCW41" s="52"/>
      <c r="NCX41" s="52"/>
      <c r="NCY41" s="52"/>
      <c r="NCZ41" s="52"/>
      <c r="NDA41" s="52"/>
      <c r="NDB41" s="52"/>
      <c r="NDC41" s="52"/>
      <c r="NDD41" s="52"/>
      <c r="NDE41" s="52"/>
      <c r="NDF41" s="52"/>
      <c r="NDG41" s="52"/>
      <c r="NDH41" s="52"/>
      <c r="NDI41" s="52"/>
      <c r="NDJ41" s="52"/>
      <c r="NDK41" s="52"/>
      <c r="NDL41" s="52"/>
      <c r="NDM41" s="52"/>
      <c r="NDN41" s="52"/>
      <c r="NDO41" s="52"/>
      <c r="NDP41" s="52"/>
      <c r="NDQ41" s="52"/>
      <c r="NDR41" s="52"/>
      <c r="NDS41" s="52"/>
      <c r="NDT41" s="52"/>
      <c r="NDU41" s="52"/>
      <c r="NDV41" s="52"/>
      <c r="NDW41" s="52"/>
      <c r="NDX41" s="52"/>
      <c r="NDY41" s="52"/>
      <c r="NDZ41" s="52"/>
      <c r="NEA41" s="52"/>
      <c r="NEB41" s="52"/>
      <c r="NEC41" s="52"/>
      <c r="NED41" s="52"/>
      <c r="NEE41" s="52"/>
      <c r="NEF41" s="52"/>
      <c r="NEG41" s="52"/>
      <c r="NEH41" s="52"/>
      <c r="NEI41" s="52"/>
      <c r="NEJ41" s="52"/>
      <c r="NEK41" s="52"/>
      <c r="NEL41" s="52"/>
      <c r="NEM41" s="52"/>
      <c r="NEN41" s="52"/>
      <c r="NEO41" s="52"/>
      <c r="NEP41" s="52"/>
      <c r="NEQ41" s="52"/>
      <c r="NER41" s="52"/>
      <c r="NES41" s="52"/>
      <c r="NET41" s="52"/>
      <c r="NEU41" s="52"/>
      <c r="NEV41" s="52"/>
      <c r="NEW41" s="52"/>
      <c r="NEX41" s="52"/>
      <c r="NEY41" s="52"/>
      <c r="NEZ41" s="52"/>
      <c r="NFA41" s="52"/>
      <c r="NFB41" s="52"/>
      <c r="NFC41" s="52"/>
      <c r="NFD41" s="52"/>
      <c r="NFE41" s="52"/>
      <c r="NFF41" s="52"/>
      <c r="NFG41" s="52"/>
      <c r="NFH41" s="52"/>
      <c r="NFI41" s="52"/>
      <c r="NFJ41" s="52"/>
      <c r="NFK41" s="52"/>
      <c r="NFL41" s="52"/>
      <c r="NFM41" s="52"/>
      <c r="NFN41" s="52"/>
      <c r="NFO41" s="52"/>
      <c r="NFP41" s="52"/>
      <c r="NFQ41" s="52"/>
      <c r="NFR41" s="52"/>
      <c r="NFS41" s="52"/>
      <c r="NFT41" s="52"/>
      <c r="NFU41" s="52"/>
      <c r="NFV41" s="52"/>
      <c r="NFW41" s="52"/>
      <c r="NFX41" s="52"/>
      <c r="NFY41" s="52"/>
      <c r="NFZ41" s="52"/>
      <c r="NGA41" s="52"/>
      <c r="NGB41" s="52"/>
      <c r="NGC41" s="52"/>
      <c r="NGD41" s="52"/>
      <c r="NGE41" s="52"/>
      <c r="NGF41" s="52"/>
      <c r="NGG41" s="52"/>
      <c r="NGH41" s="52"/>
      <c r="NGI41" s="52"/>
      <c r="NGJ41" s="52"/>
      <c r="NGK41" s="52"/>
      <c r="NGL41" s="52"/>
      <c r="NGM41" s="52"/>
      <c r="NGN41" s="52"/>
      <c r="NGO41" s="52"/>
      <c r="NGP41" s="52"/>
      <c r="NGQ41" s="52"/>
      <c r="NGR41" s="52"/>
      <c r="NGS41" s="52"/>
      <c r="NGT41" s="52"/>
      <c r="NGU41" s="52"/>
      <c r="NGV41" s="52"/>
      <c r="NGW41" s="52"/>
      <c r="NGX41" s="52"/>
      <c r="NGY41" s="52"/>
      <c r="NGZ41" s="52"/>
      <c r="NHA41" s="52"/>
      <c r="NHB41" s="52"/>
      <c r="NHC41" s="52"/>
      <c r="NHD41" s="52"/>
      <c r="NHE41" s="52"/>
      <c r="NHF41" s="52"/>
      <c r="NHG41" s="52"/>
      <c r="NHH41" s="52"/>
      <c r="NHI41" s="52"/>
      <c r="NHJ41" s="52"/>
      <c r="NHK41" s="52"/>
      <c r="NHL41" s="52"/>
      <c r="NHM41" s="52"/>
      <c r="NHN41" s="52"/>
      <c r="NHO41" s="52"/>
      <c r="NHP41" s="52"/>
      <c r="NHQ41" s="52"/>
      <c r="NHR41" s="52"/>
      <c r="NHS41" s="52"/>
      <c r="NHT41" s="52"/>
      <c r="NHU41" s="52"/>
      <c r="NHV41" s="52"/>
      <c r="NHW41" s="52"/>
      <c r="NHX41" s="52"/>
      <c r="NHY41" s="52"/>
      <c r="NHZ41" s="52"/>
      <c r="NIA41" s="52"/>
      <c r="NIB41" s="52"/>
      <c r="NIC41" s="52"/>
      <c r="NID41" s="52"/>
      <c r="NIE41" s="52"/>
      <c r="NIF41" s="52"/>
      <c r="NIG41" s="52"/>
      <c r="NIH41" s="52"/>
      <c r="NII41" s="52"/>
      <c r="NIJ41" s="52"/>
      <c r="NIK41" s="52"/>
      <c r="NIL41" s="52"/>
      <c r="NIM41" s="52"/>
      <c r="NIN41" s="52"/>
      <c r="NIO41" s="52"/>
      <c r="NIP41" s="52"/>
      <c r="NIQ41" s="52"/>
      <c r="NIR41" s="52"/>
      <c r="NIS41" s="52"/>
      <c r="NIT41" s="52"/>
      <c r="NIU41" s="52"/>
      <c r="NIV41" s="52"/>
      <c r="NIW41" s="52"/>
      <c r="NIX41" s="52"/>
      <c r="NIY41" s="52"/>
      <c r="NIZ41" s="52"/>
      <c r="NJA41" s="52"/>
      <c r="NJB41" s="52"/>
      <c r="NJC41" s="52"/>
      <c r="NJD41" s="52"/>
      <c r="NJE41" s="52"/>
      <c r="NJF41" s="52"/>
      <c r="NJG41" s="52"/>
      <c r="NJH41" s="52"/>
      <c r="NJI41" s="52"/>
      <c r="NJJ41" s="52"/>
      <c r="NJK41" s="52"/>
      <c r="NJL41" s="52"/>
      <c r="NJM41" s="52"/>
      <c r="NJN41" s="52"/>
      <c r="NJO41" s="52"/>
      <c r="NJP41" s="52"/>
      <c r="NJQ41" s="52"/>
      <c r="NJR41" s="52"/>
      <c r="NJS41" s="52"/>
      <c r="NJT41" s="52"/>
      <c r="NJU41" s="52"/>
      <c r="NJV41" s="52"/>
      <c r="NJW41" s="52"/>
      <c r="NJX41" s="52"/>
      <c r="NJY41" s="52"/>
      <c r="NJZ41" s="52"/>
      <c r="NKA41" s="52"/>
      <c r="NKB41" s="52"/>
      <c r="NKC41" s="52"/>
      <c r="NKD41" s="52"/>
      <c r="NKE41" s="52"/>
      <c r="NKF41" s="52"/>
      <c r="NKG41" s="52"/>
      <c r="NKH41" s="52"/>
      <c r="NKI41" s="52"/>
      <c r="NKJ41" s="52"/>
      <c r="NKK41" s="52"/>
      <c r="NKL41" s="52"/>
      <c r="NKM41" s="52"/>
      <c r="NKN41" s="52"/>
      <c r="NKO41" s="52"/>
      <c r="NKP41" s="52"/>
      <c r="NKQ41" s="52"/>
      <c r="NKR41" s="52"/>
      <c r="NKS41" s="52"/>
      <c r="NKT41" s="52"/>
      <c r="NKU41" s="52"/>
      <c r="NKV41" s="52"/>
      <c r="NKW41" s="52"/>
      <c r="NKX41" s="52"/>
      <c r="NKY41" s="52"/>
      <c r="NKZ41" s="52"/>
      <c r="NLA41" s="52"/>
      <c r="NLB41" s="52"/>
      <c r="NLC41" s="52"/>
      <c r="NLD41" s="52"/>
      <c r="NLE41" s="52"/>
      <c r="NLF41" s="52"/>
      <c r="NLG41" s="52"/>
      <c r="NLH41" s="52"/>
      <c r="NLI41" s="52"/>
      <c r="NLJ41" s="52"/>
      <c r="NLK41" s="52"/>
      <c r="NLL41" s="52"/>
      <c r="NLM41" s="52"/>
      <c r="NLN41" s="52"/>
      <c r="NLO41" s="52"/>
      <c r="NLP41" s="52"/>
      <c r="NLQ41" s="52"/>
      <c r="NLR41" s="52"/>
      <c r="NLS41" s="52"/>
      <c r="NLT41" s="52"/>
      <c r="NLU41" s="52"/>
      <c r="NLV41" s="52"/>
      <c r="NLW41" s="52"/>
      <c r="NLX41" s="52"/>
      <c r="NLY41" s="52"/>
      <c r="NLZ41" s="52"/>
      <c r="NMA41" s="52"/>
      <c r="NMB41" s="52"/>
      <c r="NMC41" s="52"/>
      <c r="NMD41" s="52"/>
      <c r="NME41" s="52"/>
      <c r="NMF41" s="52"/>
      <c r="NMG41" s="52"/>
      <c r="NMH41" s="52"/>
      <c r="NMI41" s="52"/>
      <c r="NMJ41" s="52"/>
      <c r="NMK41" s="52"/>
      <c r="NML41" s="52"/>
      <c r="NMM41" s="52"/>
      <c r="NMN41" s="52"/>
      <c r="NMO41" s="52"/>
      <c r="NMP41" s="52"/>
      <c r="NMQ41" s="52"/>
      <c r="NMR41" s="52"/>
      <c r="NMS41" s="52"/>
      <c r="NMT41" s="52"/>
      <c r="NMU41" s="52"/>
      <c r="NMV41" s="52"/>
      <c r="NMW41" s="52"/>
      <c r="NMX41" s="52"/>
      <c r="NMY41" s="52"/>
      <c r="NMZ41" s="52"/>
      <c r="NNA41" s="52"/>
      <c r="NNB41" s="52"/>
      <c r="NNC41" s="52"/>
      <c r="NND41" s="52"/>
      <c r="NNE41" s="52"/>
      <c r="NNF41" s="52"/>
      <c r="NNG41" s="52"/>
      <c r="NNH41" s="52"/>
      <c r="NNI41" s="52"/>
      <c r="NNJ41" s="52"/>
      <c r="NNK41" s="52"/>
      <c r="NNL41" s="52"/>
      <c r="NNM41" s="52"/>
      <c r="NNN41" s="52"/>
      <c r="NNO41" s="52"/>
      <c r="NNP41" s="52"/>
      <c r="NNQ41" s="52"/>
      <c r="NNR41" s="52"/>
      <c r="NNS41" s="52"/>
      <c r="NNT41" s="52"/>
      <c r="NNU41" s="52"/>
      <c r="NNV41" s="52"/>
      <c r="NNW41" s="52"/>
      <c r="NNX41" s="52"/>
      <c r="NNY41" s="52"/>
      <c r="NNZ41" s="52"/>
      <c r="NOA41" s="52"/>
      <c r="NOB41" s="52"/>
      <c r="NOC41" s="52"/>
      <c r="NOD41" s="52"/>
      <c r="NOE41" s="52"/>
      <c r="NOF41" s="52"/>
      <c r="NOG41" s="52"/>
      <c r="NOH41" s="52"/>
      <c r="NOI41" s="52"/>
      <c r="NOJ41" s="52"/>
      <c r="NOK41" s="52"/>
      <c r="NOL41" s="52"/>
      <c r="NOM41" s="52"/>
      <c r="NON41" s="52"/>
      <c r="NOO41" s="52"/>
      <c r="NOP41" s="52"/>
      <c r="NOQ41" s="52"/>
      <c r="NOR41" s="52"/>
      <c r="NOS41" s="52"/>
      <c r="NOT41" s="52"/>
      <c r="NOU41" s="52"/>
      <c r="NOV41" s="52"/>
      <c r="NOW41" s="52"/>
      <c r="NOX41" s="52"/>
      <c r="NOY41" s="52"/>
      <c r="NOZ41" s="52"/>
      <c r="NPA41" s="52"/>
      <c r="NPB41" s="52"/>
      <c r="NPC41" s="52"/>
      <c r="NPD41" s="52"/>
      <c r="NPE41" s="52"/>
      <c r="NPF41" s="52"/>
      <c r="NPG41" s="52"/>
      <c r="NPH41" s="52"/>
      <c r="NPI41" s="52"/>
      <c r="NPJ41" s="52"/>
      <c r="NPK41" s="52"/>
      <c r="NPL41" s="52"/>
      <c r="NPM41" s="52"/>
      <c r="NPN41" s="52"/>
      <c r="NPO41" s="52"/>
      <c r="NPP41" s="52"/>
      <c r="NPQ41" s="52"/>
      <c r="NPR41" s="52"/>
      <c r="NPS41" s="52"/>
      <c r="NPT41" s="52"/>
      <c r="NPU41" s="52"/>
      <c r="NPV41" s="52"/>
      <c r="NPW41" s="52"/>
      <c r="NPX41" s="52"/>
      <c r="NPY41" s="52"/>
      <c r="NPZ41" s="52"/>
      <c r="NQA41" s="52"/>
      <c r="NQB41" s="52"/>
      <c r="NQC41" s="52"/>
      <c r="NQD41" s="52"/>
      <c r="NQE41" s="52"/>
      <c r="NQF41" s="52"/>
      <c r="NQG41" s="52"/>
      <c r="NQH41" s="52"/>
      <c r="NQI41" s="52"/>
      <c r="NQJ41" s="52"/>
      <c r="NQK41" s="52"/>
      <c r="NQL41" s="52"/>
      <c r="NQM41" s="52"/>
      <c r="NQN41" s="52"/>
      <c r="NQO41" s="52"/>
      <c r="NQP41" s="52"/>
      <c r="NQQ41" s="52"/>
      <c r="NQR41" s="52"/>
      <c r="NQS41" s="52"/>
      <c r="NQT41" s="52"/>
      <c r="NQU41" s="52"/>
      <c r="NQV41" s="52"/>
      <c r="NQW41" s="52"/>
      <c r="NQX41" s="52"/>
      <c r="NQY41" s="52"/>
      <c r="NQZ41" s="52"/>
      <c r="NRA41" s="52"/>
      <c r="NRB41" s="52"/>
      <c r="NRC41" s="52"/>
      <c r="NRD41" s="52"/>
      <c r="NRE41" s="52"/>
      <c r="NRF41" s="52"/>
      <c r="NRG41" s="52"/>
      <c r="NRH41" s="52"/>
      <c r="NRI41" s="52"/>
      <c r="NRJ41" s="52"/>
      <c r="NRK41" s="52"/>
      <c r="NRL41" s="52"/>
      <c r="NRM41" s="52"/>
      <c r="NRN41" s="52"/>
      <c r="NRO41" s="52"/>
      <c r="NRP41" s="52"/>
      <c r="NRQ41" s="52"/>
      <c r="NRR41" s="52"/>
      <c r="NRS41" s="52"/>
      <c r="NRT41" s="52"/>
      <c r="NRU41" s="52"/>
      <c r="NRV41" s="52"/>
      <c r="NRW41" s="52"/>
      <c r="NRX41" s="52"/>
      <c r="NRY41" s="52"/>
      <c r="NRZ41" s="52"/>
      <c r="NSA41" s="52"/>
      <c r="NSB41" s="52"/>
      <c r="NSC41" s="52"/>
      <c r="NSD41" s="52"/>
      <c r="NSE41" s="52"/>
      <c r="NSF41" s="52"/>
      <c r="NSG41" s="52"/>
      <c r="NSH41" s="52"/>
      <c r="NSI41" s="52"/>
      <c r="NSJ41" s="52"/>
      <c r="NSK41" s="52"/>
      <c r="NSL41" s="52"/>
      <c r="NSM41" s="52"/>
      <c r="NSN41" s="52"/>
      <c r="NSO41" s="52"/>
      <c r="NSP41" s="52"/>
      <c r="NSQ41" s="52"/>
      <c r="NSR41" s="52"/>
      <c r="NSS41" s="52"/>
      <c r="NST41" s="52"/>
      <c r="NSU41" s="52"/>
      <c r="NSV41" s="52"/>
      <c r="NSW41" s="52"/>
      <c r="NSX41" s="52"/>
      <c r="NSY41" s="52"/>
      <c r="NSZ41" s="52"/>
      <c r="NTA41" s="52"/>
      <c r="NTB41" s="52"/>
      <c r="NTC41" s="52"/>
      <c r="NTD41" s="52"/>
      <c r="NTE41" s="52"/>
      <c r="NTF41" s="52"/>
      <c r="NTG41" s="52"/>
      <c r="NTH41" s="52"/>
      <c r="NTI41" s="52"/>
      <c r="NTJ41" s="52"/>
      <c r="NTK41" s="52"/>
      <c r="NTL41" s="52"/>
      <c r="NTM41" s="52"/>
      <c r="NTN41" s="52"/>
      <c r="NTO41" s="52"/>
      <c r="NTP41" s="52"/>
      <c r="NTQ41" s="52"/>
      <c r="NTR41" s="52"/>
      <c r="NTS41" s="52"/>
      <c r="NTT41" s="52"/>
      <c r="NTU41" s="52"/>
      <c r="NTV41" s="52"/>
      <c r="NTW41" s="52"/>
      <c r="NTX41" s="52"/>
      <c r="NTY41" s="52"/>
      <c r="NTZ41" s="52"/>
      <c r="NUA41" s="52"/>
      <c r="NUB41" s="52"/>
      <c r="NUC41" s="52"/>
      <c r="NUD41" s="52"/>
      <c r="NUE41" s="52"/>
      <c r="NUF41" s="52"/>
      <c r="NUG41" s="52"/>
      <c r="NUH41" s="52"/>
      <c r="NUI41" s="52"/>
      <c r="NUJ41" s="52"/>
      <c r="NUK41" s="52"/>
      <c r="NUL41" s="52"/>
      <c r="NUM41" s="52"/>
      <c r="NUN41" s="52"/>
      <c r="NUO41" s="52"/>
      <c r="NUP41" s="52"/>
      <c r="NUQ41" s="52"/>
      <c r="NUR41" s="52"/>
      <c r="NUS41" s="52"/>
      <c r="NUT41" s="52"/>
      <c r="NUU41" s="52"/>
      <c r="NUV41" s="52"/>
      <c r="NUW41" s="52"/>
      <c r="NUX41" s="52"/>
      <c r="NUY41" s="52"/>
      <c r="NUZ41" s="52"/>
      <c r="NVA41" s="52"/>
      <c r="NVB41" s="52"/>
      <c r="NVC41" s="52"/>
      <c r="NVD41" s="52"/>
      <c r="NVE41" s="52"/>
      <c r="NVF41" s="52"/>
      <c r="NVG41" s="52"/>
      <c r="NVH41" s="52"/>
      <c r="NVI41" s="52"/>
      <c r="NVJ41" s="52"/>
      <c r="NVK41" s="52"/>
      <c r="NVL41" s="52"/>
      <c r="NVM41" s="52"/>
      <c r="NVN41" s="52"/>
      <c r="NVO41" s="52"/>
      <c r="NVP41" s="52"/>
      <c r="NVQ41" s="52"/>
      <c r="NVR41" s="52"/>
      <c r="NVS41" s="52"/>
      <c r="NVT41" s="52"/>
      <c r="NVU41" s="52"/>
      <c r="NVV41" s="52"/>
      <c r="NVW41" s="52"/>
      <c r="NVX41" s="52"/>
      <c r="NVY41" s="52"/>
      <c r="NVZ41" s="52"/>
      <c r="NWA41" s="52"/>
      <c r="NWB41" s="52"/>
      <c r="NWC41" s="52"/>
      <c r="NWD41" s="52"/>
      <c r="NWE41" s="52"/>
      <c r="NWF41" s="52"/>
      <c r="NWG41" s="52"/>
      <c r="NWH41" s="52"/>
      <c r="NWI41" s="52"/>
      <c r="NWJ41" s="52"/>
      <c r="NWK41" s="52"/>
      <c r="NWL41" s="52"/>
      <c r="NWM41" s="52"/>
      <c r="NWN41" s="52"/>
      <c r="NWO41" s="52"/>
      <c r="NWP41" s="52"/>
      <c r="NWQ41" s="52"/>
      <c r="NWR41" s="52"/>
      <c r="NWS41" s="52"/>
      <c r="NWT41" s="52"/>
      <c r="NWU41" s="52"/>
      <c r="NWV41" s="52"/>
      <c r="NWW41" s="52"/>
      <c r="NWX41" s="52"/>
      <c r="NWY41" s="52"/>
      <c r="NWZ41" s="52"/>
      <c r="NXA41" s="52"/>
      <c r="NXB41" s="52"/>
      <c r="NXC41" s="52"/>
      <c r="NXD41" s="52"/>
      <c r="NXE41" s="52"/>
      <c r="NXF41" s="52"/>
      <c r="NXG41" s="52"/>
      <c r="NXH41" s="52"/>
      <c r="NXI41" s="52"/>
      <c r="NXJ41" s="52"/>
      <c r="NXK41" s="52"/>
      <c r="NXL41" s="52"/>
      <c r="NXM41" s="52"/>
      <c r="NXN41" s="52"/>
      <c r="NXO41" s="52"/>
      <c r="NXP41" s="52"/>
      <c r="NXQ41" s="52"/>
      <c r="NXR41" s="52"/>
      <c r="NXS41" s="52"/>
      <c r="NXT41" s="52"/>
      <c r="NXU41" s="52"/>
      <c r="NXV41" s="52"/>
      <c r="NXW41" s="52"/>
      <c r="NXX41" s="52"/>
      <c r="NXY41" s="52"/>
      <c r="NXZ41" s="52"/>
      <c r="NYA41" s="52"/>
      <c r="NYB41" s="52"/>
      <c r="NYC41" s="52"/>
      <c r="NYD41" s="52"/>
      <c r="NYE41" s="52"/>
      <c r="NYF41" s="52"/>
      <c r="NYG41" s="52"/>
      <c r="NYH41" s="52"/>
      <c r="NYI41" s="52"/>
      <c r="NYJ41" s="52"/>
      <c r="NYK41" s="52"/>
      <c r="NYL41" s="52"/>
      <c r="NYM41" s="52"/>
      <c r="NYN41" s="52"/>
      <c r="NYO41" s="52"/>
      <c r="NYP41" s="52"/>
      <c r="NYQ41" s="52"/>
      <c r="NYR41" s="52"/>
      <c r="NYS41" s="52"/>
      <c r="NYT41" s="52"/>
      <c r="NYU41" s="52"/>
      <c r="NYV41" s="52"/>
      <c r="NYW41" s="52"/>
      <c r="NYX41" s="52"/>
      <c r="NYY41" s="52"/>
      <c r="NYZ41" s="52"/>
      <c r="NZA41" s="52"/>
      <c r="NZB41" s="52"/>
      <c r="NZC41" s="52"/>
      <c r="NZD41" s="52"/>
      <c r="NZE41" s="52"/>
      <c r="NZF41" s="52"/>
      <c r="NZG41" s="52"/>
      <c r="NZH41" s="52"/>
      <c r="NZI41" s="52"/>
      <c r="NZJ41" s="52"/>
      <c r="NZK41" s="52"/>
      <c r="NZL41" s="52"/>
      <c r="NZM41" s="52"/>
      <c r="NZN41" s="52"/>
      <c r="NZO41" s="52"/>
      <c r="NZP41" s="52"/>
      <c r="NZQ41" s="52"/>
      <c r="NZR41" s="52"/>
      <c r="NZS41" s="52"/>
      <c r="NZT41" s="52"/>
      <c r="NZU41" s="52"/>
      <c r="NZV41" s="52"/>
      <c r="NZW41" s="52"/>
      <c r="NZX41" s="52"/>
      <c r="NZY41" s="52"/>
      <c r="NZZ41" s="52"/>
      <c r="OAA41" s="52"/>
      <c r="OAB41" s="52"/>
      <c r="OAC41" s="52"/>
      <c r="OAD41" s="52"/>
      <c r="OAE41" s="52"/>
      <c r="OAF41" s="52"/>
      <c r="OAG41" s="52"/>
      <c r="OAH41" s="52"/>
      <c r="OAI41" s="52"/>
      <c r="OAJ41" s="52"/>
      <c r="OAK41" s="52"/>
      <c r="OAL41" s="52"/>
      <c r="OAM41" s="52"/>
      <c r="OAN41" s="52"/>
      <c r="OAO41" s="52"/>
      <c r="OAP41" s="52"/>
      <c r="OAQ41" s="52"/>
      <c r="OAR41" s="52"/>
      <c r="OAS41" s="52"/>
      <c r="OAT41" s="52"/>
      <c r="OAU41" s="52"/>
      <c r="OAV41" s="52"/>
      <c r="OAW41" s="52"/>
      <c r="OAX41" s="52"/>
      <c r="OAY41" s="52"/>
      <c r="OAZ41" s="52"/>
      <c r="OBA41" s="52"/>
      <c r="OBB41" s="52"/>
      <c r="OBC41" s="52"/>
      <c r="OBD41" s="52"/>
      <c r="OBE41" s="52"/>
      <c r="OBF41" s="52"/>
      <c r="OBG41" s="52"/>
      <c r="OBH41" s="52"/>
      <c r="OBI41" s="52"/>
      <c r="OBJ41" s="52"/>
      <c r="OBK41" s="52"/>
      <c r="OBL41" s="52"/>
      <c r="OBM41" s="52"/>
      <c r="OBN41" s="52"/>
      <c r="OBO41" s="52"/>
      <c r="OBP41" s="52"/>
      <c r="OBQ41" s="52"/>
      <c r="OBR41" s="52"/>
      <c r="OBS41" s="52"/>
      <c r="OBT41" s="52"/>
      <c r="OBU41" s="52"/>
      <c r="OBV41" s="52"/>
      <c r="OBW41" s="52"/>
      <c r="OBX41" s="52"/>
      <c r="OBY41" s="52"/>
      <c r="OBZ41" s="52"/>
      <c r="OCA41" s="52"/>
      <c r="OCB41" s="52"/>
      <c r="OCC41" s="52"/>
      <c r="OCD41" s="52"/>
      <c r="OCE41" s="52"/>
      <c r="OCF41" s="52"/>
      <c r="OCG41" s="52"/>
      <c r="OCH41" s="52"/>
      <c r="OCI41" s="52"/>
      <c r="OCJ41" s="52"/>
      <c r="OCK41" s="52"/>
      <c r="OCL41" s="52"/>
      <c r="OCM41" s="52"/>
      <c r="OCN41" s="52"/>
      <c r="OCO41" s="52"/>
      <c r="OCP41" s="52"/>
      <c r="OCQ41" s="52"/>
      <c r="OCR41" s="52"/>
      <c r="OCS41" s="52"/>
      <c r="OCT41" s="52"/>
      <c r="OCU41" s="52"/>
      <c r="OCV41" s="52"/>
      <c r="OCW41" s="52"/>
      <c r="OCX41" s="52"/>
      <c r="OCY41" s="52"/>
      <c r="OCZ41" s="52"/>
      <c r="ODA41" s="52"/>
      <c r="ODB41" s="52"/>
      <c r="ODC41" s="52"/>
      <c r="ODD41" s="52"/>
      <c r="ODE41" s="52"/>
      <c r="ODF41" s="52"/>
      <c r="ODG41" s="52"/>
      <c r="ODH41" s="52"/>
      <c r="ODI41" s="52"/>
      <c r="ODJ41" s="52"/>
      <c r="ODK41" s="52"/>
      <c r="ODL41" s="52"/>
      <c r="ODM41" s="52"/>
      <c r="ODN41" s="52"/>
      <c r="ODO41" s="52"/>
      <c r="ODP41" s="52"/>
      <c r="ODQ41" s="52"/>
      <c r="ODR41" s="52"/>
      <c r="ODS41" s="52"/>
      <c r="ODT41" s="52"/>
      <c r="ODU41" s="52"/>
      <c r="ODV41" s="52"/>
      <c r="ODW41" s="52"/>
      <c r="ODX41" s="52"/>
      <c r="ODY41" s="52"/>
      <c r="ODZ41" s="52"/>
      <c r="OEA41" s="52"/>
      <c r="OEB41" s="52"/>
      <c r="OEC41" s="52"/>
      <c r="OED41" s="52"/>
      <c r="OEE41" s="52"/>
      <c r="OEF41" s="52"/>
      <c r="OEG41" s="52"/>
      <c r="OEH41" s="52"/>
      <c r="OEI41" s="52"/>
      <c r="OEJ41" s="52"/>
      <c r="OEK41" s="52"/>
      <c r="OEL41" s="52"/>
      <c r="OEM41" s="52"/>
      <c r="OEN41" s="52"/>
      <c r="OEO41" s="52"/>
      <c r="OEP41" s="52"/>
      <c r="OEQ41" s="52"/>
      <c r="OER41" s="52"/>
      <c r="OES41" s="52"/>
      <c r="OET41" s="52"/>
      <c r="OEU41" s="52"/>
      <c r="OEV41" s="52"/>
      <c r="OEW41" s="52"/>
      <c r="OEX41" s="52"/>
      <c r="OEY41" s="52"/>
      <c r="OEZ41" s="52"/>
      <c r="OFA41" s="52"/>
      <c r="OFB41" s="52"/>
      <c r="OFC41" s="52"/>
      <c r="OFD41" s="52"/>
      <c r="OFE41" s="52"/>
      <c r="OFF41" s="52"/>
      <c r="OFG41" s="52"/>
      <c r="OFH41" s="52"/>
      <c r="OFI41" s="52"/>
      <c r="OFJ41" s="52"/>
      <c r="OFK41" s="52"/>
      <c r="OFL41" s="52"/>
      <c r="OFM41" s="52"/>
      <c r="OFN41" s="52"/>
      <c r="OFO41" s="52"/>
      <c r="OFP41" s="52"/>
      <c r="OFQ41" s="52"/>
      <c r="OFR41" s="52"/>
      <c r="OFS41" s="52"/>
      <c r="OFT41" s="52"/>
      <c r="OFU41" s="52"/>
      <c r="OFV41" s="52"/>
      <c r="OFW41" s="52"/>
      <c r="OFX41" s="52"/>
      <c r="OFY41" s="52"/>
      <c r="OFZ41" s="52"/>
      <c r="OGA41" s="52"/>
      <c r="OGB41" s="52"/>
      <c r="OGC41" s="52"/>
      <c r="OGD41" s="52"/>
      <c r="OGE41" s="52"/>
      <c r="OGF41" s="52"/>
      <c r="OGG41" s="52"/>
      <c r="OGH41" s="52"/>
      <c r="OGI41" s="52"/>
      <c r="OGJ41" s="52"/>
      <c r="OGK41" s="52"/>
      <c r="OGL41" s="52"/>
      <c r="OGM41" s="52"/>
      <c r="OGN41" s="52"/>
      <c r="OGO41" s="52"/>
      <c r="OGP41" s="52"/>
      <c r="OGQ41" s="52"/>
      <c r="OGR41" s="52"/>
      <c r="OGS41" s="52"/>
      <c r="OGT41" s="52"/>
      <c r="OGU41" s="52"/>
      <c r="OGV41" s="52"/>
      <c r="OGW41" s="52"/>
      <c r="OGX41" s="52"/>
      <c r="OGY41" s="52"/>
      <c r="OGZ41" s="52"/>
      <c r="OHA41" s="52"/>
      <c r="OHB41" s="52"/>
      <c r="OHC41" s="52"/>
      <c r="OHD41" s="52"/>
      <c r="OHE41" s="52"/>
      <c r="OHF41" s="52"/>
      <c r="OHG41" s="52"/>
      <c r="OHH41" s="52"/>
      <c r="OHI41" s="52"/>
      <c r="OHJ41" s="52"/>
      <c r="OHK41" s="52"/>
      <c r="OHL41" s="52"/>
      <c r="OHM41" s="52"/>
      <c r="OHN41" s="52"/>
      <c r="OHO41" s="52"/>
      <c r="OHP41" s="52"/>
      <c r="OHQ41" s="52"/>
      <c r="OHR41" s="52"/>
      <c r="OHS41" s="52"/>
      <c r="OHT41" s="52"/>
      <c r="OHU41" s="52"/>
      <c r="OHV41" s="52"/>
      <c r="OHW41" s="52"/>
      <c r="OHX41" s="52"/>
      <c r="OHY41" s="52"/>
      <c r="OHZ41" s="52"/>
      <c r="OIA41" s="52"/>
      <c r="OIB41" s="52"/>
      <c r="OIC41" s="52"/>
      <c r="OID41" s="52"/>
      <c r="OIE41" s="52"/>
      <c r="OIF41" s="52"/>
      <c r="OIG41" s="52"/>
      <c r="OIH41" s="52"/>
      <c r="OII41" s="52"/>
      <c r="OIJ41" s="52"/>
      <c r="OIK41" s="52"/>
      <c r="OIL41" s="52"/>
      <c r="OIM41" s="52"/>
      <c r="OIN41" s="52"/>
      <c r="OIO41" s="52"/>
      <c r="OIP41" s="52"/>
      <c r="OIQ41" s="52"/>
      <c r="OIR41" s="52"/>
      <c r="OIS41" s="52"/>
      <c r="OIT41" s="52"/>
      <c r="OIU41" s="52"/>
      <c r="OIV41" s="52"/>
      <c r="OIW41" s="52"/>
      <c r="OIX41" s="52"/>
      <c r="OIY41" s="52"/>
      <c r="OIZ41" s="52"/>
      <c r="OJA41" s="52"/>
      <c r="OJB41" s="52"/>
      <c r="OJC41" s="52"/>
      <c r="OJD41" s="52"/>
      <c r="OJE41" s="52"/>
      <c r="OJF41" s="52"/>
      <c r="OJG41" s="52"/>
      <c r="OJH41" s="52"/>
      <c r="OJI41" s="52"/>
      <c r="OJJ41" s="52"/>
      <c r="OJK41" s="52"/>
      <c r="OJL41" s="52"/>
      <c r="OJM41" s="52"/>
      <c r="OJN41" s="52"/>
      <c r="OJO41" s="52"/>
      <c r="OJP41" s="52"/>
      <c r="OJQ41" s="52"/>
      <c r="OJR41" s="52"/>
      <c r="OJS41" s="52"/>
      <c r="OJT41" s="52"/>
      <c r="OJU41" s="52"/>
      <c r="OJV41" s="52"/>
      <c r="OJW41" s="52"/>
      <c r="OJX41" s="52"/>
      <c r="OJY41" s="52"/>
      <c r="OJZ41" s="52"/>
      <c r="OKA41" s="52"/>
      <c r="OKB41" s="52"/>
      <c r="OKC41" s="52"/>
      <c r="OKD41" s="52"/>
      <c r="OKE41" s="52"/>
      <c r="OKF41" s="52"/>
      <c r="OKG41" s="52"/>
      <c r="OKH41" s="52"/>
      <c r="OKI41" s="52"/>
      <c r="OKJ41" s="52"/>
      <c r="OKK41" s="52"/>
      <c r="OKL41" s="52"/>
      <c r="OKM41" s="52"/>
      <c r="OKN41" s="52"/>
      <c r="OKO41" s="52"/>
      <c r="OKP41" s="52"/>
      <c r="OKQ41" s="52"/>
      <c r="OKR41" s="52"/>
      <c r="OKS41" s="52"/>
      <c r="OKT41" s="52"/>
      <c r="OKU41" s="52"/>
      <c r="OKV41" s="52"/>
      <c r="OKW41" s="52"/>
      <c r="OKX41" s="52"/>
      <c r="OKY41" s="52"/>
      <c r="OKZ41" s="52"/>
      <c r="OLA41" s="52"/>
      <c r="OLB41" s="52"/>
      <c r="OLC41" s="52"/>
      <c r="OLD41" s="52"/>
      <c r="OLE41" s="52"/>
      <c r="OLF41" s="52"/>
      <c r="OLG41" s="52"/>
      <c r="OLH41" s="52"/>
      <c r="OLI41" s="52"/>
      <c r="OLJ41" s="52"/>
      <c r="OLK41" s="52"/>
      <c r="OLL41" s="52"/>
      <c r="OLM41" s="52"/>
      <c r="OLN41" s="52"/>
      <c r="OLO41" s="52"/>
      <c r="OLP41" s="52"/>
      <c r="OLQ41" s="52"/>
      <c r="OLR41" s="52"/>
      <c r="OLS41" s="52"/>
      <c r="OLT41" s="52"/>
      <c r="OLU41" s="52"/>
      <c r="OLV41" s="52"/>
      <c r="OLW41" s="52"/>
      <c r="OLX41" s="52"/>
      <c r="OLY41" s="52"/>
      <c r="OLZ41" s="52"/>
      <c r="OMA41" s="52"/>
      <c r="OMB41" s="52"/>
      <c r="OMC41" s="52"/>
      <c r="OMD41" s="52"/>
      <c r="OME41" s="52"/>
      <c r="OMF41" s="52"/>
      <c r="OMG41" s="52"/>
      <c r="OMH41" s="52"/>
      <c r="OMI41" s="52"/>
      <c r="OMJ41" s="52"/>
      <c r="OMK41" s="52"/>
      <c r="OML41" s="52"/>
      <c r="OMM41" s="52"/>
      <c r="OMN41" s="52"/>
      <c r="OMO41" s="52"/>
      <c r="OMP41" s="52"/>
      <c r="OMQ41" s="52"/>
      <c r="OMR41" s="52"/>
      <c r="OMS41" s="52"/>
      <c r="OMT41" s="52"/>
      <c r="OMU41" s="52"/>
      <c r="OMV41" s="52"/>
      <c r="OMW41" s="52"/>
      <c r="OMX41" s="52"/>
      <c r="OMY41" s="52"/>
      <c r="OMZ41" s="52"/>
      <c r="ONA41" s="52"/>
      <c r="ONB41" s="52"/>
      <c r="ONC41" s="52"/>
      <c r="OND41" s="52"/>
      <c r="ONE41" s="52"/>
      <c r="ONF41" s="52"/>
      <c r="ONG41" s="52"/>
      <c r="ONH41" s="52"/>
      <c r="ONI41" s="52"/>
      <c r="ONJ41" s="52"/>
      <c r="ONK41" s="52"/>
      <c r="ONL41" s="52"/>
      <c r="ONM41" s="52"/>
      <c r="ONN41" s="52"/>
      <c r="ONO41" s="52"/>
      <c r="ONP41" s="52"/>
      <c r="ONQ41" s="52"/>
      <c r="ONR41" s="52"/>
      <c r="ONS41" s="52"/>
      <c r="ONT41" s="52"/>
      <c r="ONU41" s="52"/>
      <c r="ONV41" s="52"/>
      <c r="ONW41" s="52"/>
      <c r="ONX41" s="52"/>
      <c r="ONY41" s="52"/>
      <c r="ONZ41" s="52"/>
      <c r="OOA41" s="52"/>
      <c r="OOB41" s="52"/>
      <c r="OOC41" s="52"/>
      <c r="OOD41" s="52"/>
      <c r="OOE41" s="52"/>
      <c r="OOF41" s="52"/>
      <c r="OOG41" s="52"/>
      <c r="OOH41" s="52"/>
      <c r="OOI41" s="52"/>
      <c r="OOJ41" s="52"/>
      <c r="OOK41" s="52"/>
      <c r="OOL41" s="52"/>
      <c r="OOM41" s="52"/>
      <c r="OON41" s="52"/>
      <c r="OOO41" s="52"/>
      <c r="OOP41" s="52"/>
      <c r="OOQ41" s="52"/>
      <c r="OOR41" s="52"/>
      <c r="OOS41" s="52"/>
      <c r="OOT41" s="52"/>
      <c r="OOU41" s="52"/>
      <c r="OOV41" s="52"/>
      <c r="OOW41" s="52"/>
      <c r="OOX41" s="52"/>
      <c r="OOY41" s="52"/>
      <c r="OOZ41" s="52"/>
      <c r="OPA41" s="52"/>
      <c r="OPB41" s="52"/>
      <c r="OPC41" s="52"/>
      <c r="OPD41" s="52"/>
      <c r="OPE41" s="52"/>
      <c r="OPF41" s="52"/>
      <c r="OPG41" s="52"/>
      <c r="OPH41" s="52"/>
      <c r="OPI41" s="52"/>
      <c r="OPJ41" s="52"/>
      <c r="OPK41" s="52"/>
      <c r="OPL41" s="52"/>
      <c r="OPM41" s="52"/>
      <c r="OPN41" s="52"/>
      <c r="OPO41" s="52"/>
      <c r="OPP41" s="52"/>
      <c r="OPQ41" s="52"/>
      <c r="OPR41" s="52"/>
      <c r="OPS41" s="52"/>
      <c r="OPT41" s="52"/>
      <c r="OPU41" s="52"/>
      <c r="OPV41" s="52"/>
      <c r="OPW41" s="52"/>
      <c r="OPX41" s="52"/>
      <c r="OPY41" s="52"/>
      <c r="OPZ41" s="52"/>
      <c r="OQA41" s="52"/>
      <c r="OQB41" s="52"/>
      <c r="OQC41" s="52"/>
      <c r="OQD41" s="52"/>
      <c r="OQE41" s="52"/>
      <c r="OQF41" s="52"/>
      <c r="OQG41" s="52"/>
      <c r="OQH41" s="52"/>
      <c r="OQI41" s="52"/>
      <c r="OQJ41" s="52"/>
      <c r="OQK41" s="52"/>
      <c r="OQL41" s="52"/>
      <c r="OQM41" s="52"/>
      <c r="OQN41" s="52"/>
      <c r="OQO41" s="52"/>
      <c r="OQP41" s="52"/>
      <c r="OQQ41" s="52"/>
      <c r="OQR41" s="52"/>
      <c r="OQS41" s="52"/>
      <c r="OQT41" s="52"/>
      <c r="OQU41" s="52"/>
      <c r="OQV41" s="52"/>
      <c r="OQW41" s="52"/>
      <c r="OQX41" s="52"/>
      <c r="OQY41" s="52"/>
      <c r="OQZ41" s="52"/>
      <c r="ORA41" s="52"/>
      <c r="ORB41" s="52"/>
      <c r="ORC41" s="52"/>
      <c r="ORD41" s="52"/>
      <c r="ORE41" s="52"/>
      <c r="ORF41" s="52"/>
      <c r="ORG41" s="52"/>
      <c r="ORH41" s="52"/>
      <c r="ORI41" s="52"/>
      <c r="ORJ41" s="52"/>
      <c r="ORK41" s="52"/>
      <c r="ORL41" s="52"/>
      <c r="ORM41" s="52"/>
      <c r="ORN41" s="52"/>
      <c r="ORO41" s="52"/>
      <c r="ORP41" s="52"/>
      <c r="ORQ41" s="52"/>
      <c r="ORR41" s="52"/>
      <c r="ORS41" s="52"/>
      <c r="ORT41" s="52"/>
      <c r="ORU41" s="52"/>
      <c r="ORV41" s="52"/>
      <c r="ORW41" s="52"/>
      <c r="ORX41" s="52"/>
      <c r="ORY41" s="52"/>
      <c r="ORZ41" s="52"/>
      <c r="OSA41" s="52"/>
      <c r="OSB41" s="52"/>
      <c r="OSC41" s="52"/>
      <c r="OSD41" s="52"/>
      <c r="OSE41" s="52"/>
      <c r="OSF41" s="52"/>
      <c r="OSG41" s="52"/>
      <c r="OSH41" s="52"/>
      <c r="OSI41" s="52"/>
      <c r="OSJ41" s="52"/>
      <c r="OSK41" s="52"/>
      <c r="OSL41" s="52"/>
      <c r="OSM41" s="52"/>
      <c r="OSN41" s="52"/>
      <c r="OSO41" s="52"/>
      <c r="OSP41" s="52"/>
      <c r="OSQ41" s="52"/>
      <c r="OSR41" s="52"/>
      <c r="OSS41" s="52"/>
      <c r="OST41" s="52"/>
      <c r="OSU41" s="52"/>
      <c r="OSV41" s="52"/>
      <c r="OSW41" s="52"/>
      <c r="OSX41" s="52"/>
      <c r="OSY41" s="52"/>
      <c r="OSZ41" s="52"/>
      <c r="OTA41" s="52"/>
      <c r="OTB41" s="52"/>
      <c r="OTC41" s="52"/>
      <c r="OTD41" s="52"/>
      <c r="OTE41" s="52"/>
      <c r="OTF41" s="52"/>
      <c r="OTG41" s="52"/>
      <c r="OTH41" s="52"/>
      <c r="OTI41" s="52"/>
      <c r="OTJ41" s="52"/>
      <c r="OTK41" s="52"/>
      <c r="OTL41" s="52"/>
      <c r="OTM41" s="52"/>
      <c r="OTN41" s="52"/>
      <c r="OTO41" s="52"/>
      <c r="OTP41" s="52"/>
      <c r="OTQ41" s="52"/>
      <c r="OTR41" s="52"/>
      <c r="OTS41" s="52"/>
      <c r="OTT41" s="52"/>
      <c r="OTU41" s="52"/>
      <c r="OTV41" s="52"/>
      <c r="OTW41" s="52"/>
      <c r="OTX41" s="52"/>
      <c r="OTY41" s="52"/>
      <c r="OTZ41" s="52"/>
      <c r="OUA41" s="52"/>
      <c r="OUB41" s="52"/>
      <c r="OUC41" s="52"/>
      <c r="OUD41" s="52"/>
      <c r="OUE41" s="52"/>
      <c r="OUF41" s="52"/>
      <c r="OUG41" s="52"/>
      <c r="OUH41" s="52"/>
      <c r="OUI41" s="52"/>
      <c r="OUJ41" s="52"/>
      <c r="OUK41" s="52"/>
      <c r="OUL41" s="52"/>
      <c r="OUM41" s="52"/>
      <c r="OUN41" s="52"/>
      <c r="OUO41" s="52"/>
      <c r="OUP41" s="52"/>
      <c r="OUQ41" s="52"/>
      <c r="OUR41" s="52"/>
      <c r="OUS41" s="52"/>
      <c r="OUT41" s="52"/>
      <c r="OUU41" s="52"/>
      <c r="OUV41" s="52"/>
      <c r="OUW41" s="52"/>
      <c r="OUX41" s="52"/>
      <c r="OUY41" s="52"/>
      <c r="OUZ41" s="52"/>
      <c r="OVA41" s="52"/>
      <c r="OVB41" s="52"/>
      <c r="OVC41" s="52"/>
      <c r="OVD41" s="52"/>
      <c r="OVE41" s="52"/>
      <c r="OVF41" s="52"/>
      <c r="OVG41" s="52"/>
      <c r="OVH41" s="52"/>
      <c r="OVI41" s="52"/>
      <c r="OVJ41" s="52"/>
      <c r="OVK41" s="52"/>
      <c r="OVL41" s="52"/>
      <c r="OVM41" s="52"/>
      <c r="OVN41" s="52"/>
      <c r="OVO41" s="52"/>
      <c r="OVP41" s="52"/>
      <c r="OVQ41" s="52"/>
      <c r="OVR41" s="52"/>
      <c r="OVS41" s="52"/>
      <c r="OVT41" s="52"/>
      <c r="OVU41" s="52"/>
      <c r="OVV41" s="52"/>
      <c r="OVW41" s="52"/>
      <c r="OVX41" s="52"/>
      <c r="OVY41" s="52"/>
      <c r="OVZ41" s="52"/>
      <c r="OWA41" s="52"/>
      <c r="OWB41" s="52"/>
      <c r="OWC41" s="52"/>
      <c r="OWD41" s="52"/>
      <c r="OWE41" s="52"/>
      <c r="OWF41" s="52"/>
      <c r="OWG41" s="52"/>
      <c r="OWH41" s="52"/>
      <c r="OWI41" s="52"/>
      <c r="OWJ41" s="52"/>
      <c r="OWK41" s="52"/>
      <c r="OWL41" s="52"/>
      <c r="OWM41" s="52"/>
      <c r="OWN41" s="52"/>
      <c r="OWO41" s="52"/>
      <c r="OWP41" s="52"/>
      <c r="OWQ41" s="52"/>
      <c r="OWR41" s="52"/>
      <c r="OWS41" s="52"/>
      <c r="OWT41" s="52"/>
      <c r="OWU41" s="52"/>
      <c r="OWV41" s="52"/>
      <c r="OWW41" s="52"/>
      <c r="OWX41" s="52"/>
      <c r="OWY41" s="52"/>
      <c r="OWZ41" s="52"/>
      <c r="OXA41" s="52"/>
      <c r="OXB41" s="52"/>
      <c r="OXC41" s="52"/>
      <c r="OXD41" s="52"/>
      <c r="OXE41" s="52"/>
      <c r="OXF41" s="52"/>
      <c r="OXG41" s="52"/>
      <c r="OXH41" s="52"/>
      <c r="OXI41" s="52"/>
      <c r="OXJ41" s="52"/>
      <c r="OXK41" s="52"/>
      <c r="OXL41" s="52"/>
      <c r="OXM41" s="52"/>
      <c r="OXN41" s="52"/>
      <c r="OXO41" s="52"/>
      <c r="OXP41" s="52"/>
      <c r="OXQ41" s="52"/>
      <c r="OXR41" s="52"/>
      <c r="OXS41" s="52"/>
      <c r="OXT41" s="52"/>
      <c r="OXU41" s="52"/>
      <c r="OXV41" s="52"/>
      <c r="OXW41" s="52"/>
      <c r="OXX41" s="52"/>
      <c r="OXY41" s="52"/>
      <c r="OXZ41" s="52"/>
      <c r="OYA41" s="52"/>
      <c r="OYB41" s="52"/>
      <c r="OYC41" s="52"/>
      <c r="OYD41" s="52"/>
      <c r="OYE41" s="52"/>
      <c r="OYF41" s="52"/>
      <c r="OYG41" s="52"/>
      <c r="OYH41" s="52"/>
      <c r="OYI41" s="52"/>
      <c r="OYJ41" s="52"/>
      <c r="OYK41" s="52"/>
      <c r="OYL41" s="52"/>
      <c r="OYM41" s="52"/>
      <c r="OYN41" s="52"/>
      <c r="OYO41" s="52"/>
      <c r="OYP41" s="52"/>
      <c r="OYQ41" s="52"/>
      <c r="OYR41" s="52"/>
      <c r="OYS41" s="52"/>
      <c r="OYT41" s="52"/>
      <c r="OYU41" s="52"/>
      <c r="OYV41" s="52"/>
      <c r="OYW41" s="52"/>
      <c r="OYX41" s="52"/>
      <c r="OYY41" s="52"/>
      <c r="OYZ41" s="52"/>
      <c r="OZA41" s="52"/>
      <c r="OZB41" s="52"/>
      <c r="OZC41" s="52"/>
      <c r="OZD41" s="52"/>
      <c r="OZE41" s="52"/>
      <c r="OZF41" s="52"/>
      <c r="OZG41" s="52"/>
      <c r="OZH41" s="52"/>
      <c r="OZI41" s="52"/>
      <c r="OZJ41" s="52"/>
      <c r="OZK41" s="52"/>
      <c r="OZL41" s="52"/>
      <c r="OZM41" s="52"/>
      <c r="OZN41" s="52"/>
      <c r="OZO41" s="52"/>
      <c r="OZP41" s="52"/>
      <c r="OZQ41" s="52"/>
      <c r="OZR41" s="52"/>
      <c r="OZS41" s="52"/>
      <c r="OZT41" s="52"/>
      <c r="OZU41" s="52"/>
      <c r="OZV41" s="52"/>
      <c r="OZW41" s="52"/>
      <c r="OZX41" s="52"/>
      <c r="OZY41" s="52"/>
      <c r="OZZ41" s="52"/>
      <c r="PAA41" s="52"/>
      <c r="PAB41" s="52"/>
      <c r="PAC41" s="52"/>
      <c r="PAD41" s="52"/>
      <c r="PAE41" s="52"/>
      <c r="PAF41" s="52"/>
      <c r="PAG41" s="52"/>
      <c r="PAH41" s="52"/>
      <c r="PAI41" s="52"/>
      <c r="PAJ41" s="52"/>
      <c r="PAK41" s="52"/>
      <c r="PAL41" s="52"/>
      <c r="PAM41" s="52"/>
      <c r="PAN41" s="52"/>
      <c r="PAO41" s="52"/>
      <c r="PAP41" s="52"/>
      <c r="PAQ41" s="52"/>
      <c r="PAR41" s="52"/>
      <c r="PAS41" s="52"/>
      <c r="PAT41" s="52"/>
      <c r="PAU41" s="52"/>
      <c r="PAV41" s="52"/>
      <c r="PAW41" s="52"/>
      <c r="PAX41" s="52"/>
      <c r="PAY41" s="52"/>
      <c r="PAZ41" s="52"/>
      <c r="PBA41" s="52"/>
      <c r="PBB41" s="52"/>
      <c r="PBC41" s="52"/>
      <c r="PBD41" s="52"/>
      <c r="PBE41" s="52"/>
      <c r="PBF41" s="52"/>
      <c r="PBG41" s="52"/>
      <c r="PBH41" s="52"/>
      <c r="PBI41" s="52"/>
      <c r="PBJ41" s="52"/>
      <c r="PBK41" s="52"/>
      <c r="PBL41" s="52"/>
      <c r="PBM41" s="52"/>
      <c r="PBN41" s="52"/>
      <c r="PBO41" s="52"/>
      <c r="PBP41" s="52"/>
      <c r="PBQ41" s="52"/>
      <c r="PBR41" s="52"/>
      <c r="PBS41" s="52"/>
      <c r="PBT41" s="52"/>
      <c r="PBU41" s="52"/>
      <c r="PBV41" s="52"/>
      <c r="PBW41" s="52"/>
      <c r="PBX41" s="52"/>
      <c r="PBY41" s="52"/>
      <c r="PBZ41" s="52"/>
      <c r="PCA41" s="52"/>
      <c r="PCB41" s="52"/>
      <c r="PCC41" s="52"/>
      <c r="PCD41" s="52"/>
      <c r="PCE41" s="52"/>
      <c r="PCF41" s="52"/>
      <c r="PCG41" s="52"/>
      <c r="PCH41" s="52"/>
      <c r="PCI41" s="52"/>
      <c r="PCJ41" s="52"/>
      <c r="PCK41" s="52"/>
      <c r="PCL41" s="52"/>
      <c r="PCM41" s="52"/>
      <c r="PCN41" s="52"/>
      <c r="PCO41" s="52"/>
      <c r="PCP41" s="52"/>
      <c r="PCQ41" s="52"/>
      <c r="PCR41" s="52"/>
      <c r="PCS41" s="52"/>
      <c r="PCT41" s="52"/>
      <c r="PCU41" s="52"/>
      <c r="PCV41" s="52"/>
      <c r="PCW41" s="52"/>
      <c r="PCX41" s="52"/>
      <c r="PCY41" s="52"/>
      <c r="PCZ41" s="52"/>
      <c r="PDA41" s="52"/>
      <c r="PDB41" s="52"/>
      <c r="PDC41" s="52"/>
      <c r="PDD41" s="52"/>
      <c r="PDE41" s="52"/>
      <c r="PDF41" s="52"/>
      <c r="PDG41" s="52"/>
      <c r="PDH41" s="52"/>
      <c r="PDI41" s="52"/>
      <c r="PDJ41" s="52"/>
      <c r="PDK41" s="52"/>
      <c r="PDL41" s="52"/>
      <c r="PDM41" s="52"/>
      <c r="PDN41" s="52"/>
      <c r="PDO41" s="52"/>
      <c r="PDP41" s="52"/>
      <c r="PDQ41" s="52"/>
      <c r="PDR41" s="52"/>
      <c r="PDS41" s="52"/>
      <c r="PDT41" s="52"/>
      <c r="PDU41" s="52"/>
      <c r="PDV41" s="52"/>
      <c r="PDW41" s="52"/>
      <c r="PDX41" s="52"/>
      <c r="PDY41" s="52"/>
      <c r="PDZ41" s="52"/>
      <c r="PEA41" s="52"/>
      <c r="PEB41" s="52"/>
      <c r="PEC41" s="52"/>
      <c r="PED41" s="52"/>
      <c r="PEE41" s="52"/>
      <c r="PEF41" s="52"/>
      <c r="PEG41" s="52"/>
      <c r="PEH41" s="52"/>
      <c r="PEI41" s="52"/>
      <c r="PEJ41" s="52"/>
      <c r="PEK41" s="52"/>
      <c r="PEL41" s="52"/>
      <c r="PEM41" s="52"/>
      <c r="PEN41" s="52"/>
      <c r="PEO41" s="52"/>
      <c r="PEP41" s="52"/>
      <c r="PEQ41" s="52"/>
      <c r="PER41" s="52"/>
      <c r="PES41" s="52"/>
      <c r="PET41" s="52"/>
      <c r="PEU41" s="52"/>
      <c r="PEV41" s="52"/>
      <c r="PEW41" s="52"/>
      <c r="PEX41" s="52"/>
      <c r="PEY41" s="52"/>
      <c r="PEZ41" s="52"/>
      <c r="PFA41" s="52"/>
      <c r="PFB41" s="52"/>
      <c r="PFC41" s="52"/>
      <c r="PFD41" s="52"/>
      <c r="PFE41" s="52"/>
      <c r="PFF41" s="52"/>
      <c r="PFG41" s="52"/>
      <c r="PFH41" s="52"/>
      <c r="PFI41" s="52"/>
      <c r="PFJ41" s="52"/>
      <c r="PFK41" s="52"/>
      <c r="PFL41" s="52"/>
      <c r="PFM41" s="52"/>
      <c r="PFN41" s="52"/>
      <c r="PFO41" s="52"/>
      <c r="PFP41" s="52"/>
      <c r="PFQ41" s="52"/>
      <c r="PFR41" s="52"/>
      <c r="PFS41" s="52"/>
      <c r="PFT41" s="52"/>
      <c r="PFU41" s="52"/>
      <c r="PFV41" s="52"/>
      <c r="PFW41" s="52"/>
      <c r="PFX41" s="52"/>
      <c r="PFY41" s="52"/>
      <c r="PFZ41" s="52"/>
      <c r="PGA41" s="52"/>
      <c r="PGB41" s="52"/>
      <c r="PGC41" s="52"/>
      <c r="PGD41" s="52"/>
      <c r="PGE41" s="52"/>
      <c r="PGF41" s="52"/>
      <c r="PGG41" s="52"/>
      <c r="PGH41" s="52"/>
      <c r="PGI41" s="52"/>
      <c r="PGJ41" s="52"/>
      <c r="PGK41" s="52"/>
      <c r="PGL41" s="52"/>
      <c r="PGM41" s="52"/>
      <c r="PGN41" s="52"/>
      <c r="PGO41" s="52"/>
      <c r="PGP41" s="52"/>
      <c r="PGQ41" s="52"/>
      <c r="PGR41" s="52"/>
      <c r="PGS41" s="52"/>
      <c r="PGT41" s="52"/>
      <c r="PGU41" s="52"/>
      <c r="PGV41" s="52"/>
      <c r="PGW41" s="52"/>
      <c r="PGX41" s="52"/>
      <c r="PGY41" s="52"/>
      <c r="PGZ41" s="52"/>
      <c r="PHA41" s="52"/>
      <c r="PHB41" s="52"/>
      <c r="PHC41" s="52"/>
      <c r="PHD41" s="52"/>
      <c r="PHE41" s="52"/>
      <c r="PHF41" s="52"/>
      <c r="PHG41" s="52"/>
      <c r="PHH41" s="52"/>
      <c r="PHI41" s="52"/>
      <c r="PHJ41" s="52"/>
      <c r="PHK41" s="52"/>
      <c r="PHL41" s="52"/>
      <c r="PHM41" s="52"/>
      <c r="PHN41" s="52"/>
      <c r="PHO41" s="52"/>
      <c r="PHP41" s="52"/>
      <c r="PHQ41" s="52"/>
      <c r="PHR41" s="52"/>
      <c r="PHS41" s="52"/>
      <c r="PHT41" s="52"/>
      <c r="PHU41" s="52"/>
      <c r="PHV41" s="52"/>
      <c r="PHW41" s="52"/>
      <c r="PHX41" s="52"/>
      <c r="PHY41" s="52"/>
      <c r="PHZ41" s="52"/>
      <c r="PIA41" s="52"/>
      <c r="PIB41" s="52"/>
      <c r="PIC41" s="52"/>
      <c r="PID41" s="52"/>
      <c r="PIE41" s="52"/>
      <c r="PIF41" s="52"/>
      <c r="PIG41" s="52"/>
      <c r="PIH41" s="52"/>
      <c r="PII41" s="52"/>
      <c r="PIJ41" s="52"/>
      <c r="PIK41" s="52"/>
      <c r="PIL41" s="52"/>
      <c r="PIM41" s="52"/>
      <c r="PIN41" s="52"/>
      <c r="PIO41" s="52"/>
      <c r="PIP41" s="52"/>
      <c r="PIQ41" s="52"/>
      <c r="PIR41" s="52"/>
      <c r="PIS41" s="52"/>
      <c r="PIT41" s="52"/>
      <c r="PIU41" s="52"/>
      <c r="PIV41" s="52"/>
      <c r="PIW41" s="52"/>
      <c r="PIX41" s="52"/>
      <c r="PIY41" s="52"/>
      <c r="PIZ41" s="52"/>
      <c r="PJA41" s="52"/>
      <c r="PJB41" s="52"/>
      <c r="PJC41" s="52"/>
      <c r="PJD41" s="52"/>
      <c r="PJE41" s="52"/>
      <c r="PJF41" s="52"/>
      <c r="PJG41" s="52"/>
      <c r="PJH41" s="52"/>
      <c r="PJI41" s="52"/>
      <c r="PJJ41" s="52"/>
      <c r="PJK41" s="52"/>
      <c r="PJL41" s="52"/>
      <c r="PJM41" s="52"/>
      <c r="PJN41" s="52"/>
      <c r="PJO41" s="52"/>
      <c r="PJP41" s="52"/>
      <c r="PJQ41" s="52"/>
      <c r="PJR41" s="52"/>
      <c r="PJS41" s="52"/>
      <c r="PJT41" s="52"/>
      <c r="PJU41" s="52"/>
      <c r="PJV41" s="52"/>
      <c r="PJW41" s="52"/>
      <c r="PJX41" s="52"/>
      <c r="PJY41" s="52"/>
      <c r="PJZ41" s="52"/>
      <c r="PKA41" s="52"/>
      <c r="PKB41" s="52"/>
      <c r="PKC41" s="52"/>
      <c r="PKD41" s="52"/>
      <c r="PKE41" s="52"/>
      <c r="PKF41" s="52"/>
      <c r="PKG41" s="52"/>
      <c r="PKH41" s="52"/>
      <c r="PKI41" s="52"/>
      <c r="PKJ41" s="52"/>
      <c r="PKK41" s="52"/>
      <c r="PKL41" s="52"/>
      <c r="PKM41" s="52"/>
      <c r="PKN41" s="52"/>
      <c r="PKO41" s="52"/>
      <c r="PKP41" s="52"/>
      <c r="PKQ41" s="52"/>
      <c r="PKR41" s="52"/>
      <c r="PKS41" s="52"/>
      <c r="PKT41" s="52"/>
      <c r="PKU41" s="52"/>
      <c r="PKV41" s="52"/>
      <c r="PKW41" s="52"/>
      <c r="PKX41" s="52"/>
      <c r="PKY41" s="52"/>
      <c r="PKZ41" s="52"/>
      <c r="PLA41" s="52"/>
      <c r="PLB41" s="52"/>
      <c r="PLC41" s="52"/>
      <c r="PLD41" s="52"/>
      <c r="PLE41" s="52"/>
      <c r="PLF41" s="52"/>
      <c r="PLG41" s="52"/>
      <c r="PLH41" s="52"/>
      <c r="PLI41" s="52"/>
      <c r="PLJ41" s="52"/>
      <c r="PLK41" s="52"/>
      <c r="PLL41" s="52"/>
      <c r="PLM41" s="52"/>
      <c r="PLN41" s="52"/>
      <c r="PLO41" s="52"/>
      <c r="PLP41" s="52"/>
      <c r="PLQ41" s="52"/>
      <c r="PLR41" s="52"/>
      <c r="PLS41" s="52"/>
      <c r="PLT41" s="52"/>
      <c r="PLU41" s="52"/>
      <c r="PLV41" s="52"/>
      <c r="PLW41" s="52"/>
      <c r="PLX41" s="52"/>
      <c r="PLY41" s="52"/>
      <c r="PLZ41" s="52"/>
      <c r="PMA41" s="52"/>
      <c r="PMB41" s="52"/>
      <c r="PMC41" s="52"/>
      <c r="PMD41" s="52"/>
      <c r="PME41" s="52"/>
      <c r="PMF41" s="52"/>
      <c r="PMG41" s="52"/>
      <c r="PMH41" s="52"/>
      <c r="PMI41" s="52"/>
      <c r="PMJ41" s="52"/>
      <c r="PMK41" s="52"/>
      <c r="PML41" s="52"/>
      <c r="PMM41" s="52"/>
      <c r="PMN41" s="52"/>
      <c r="PMO41" s="52"/>
      <c r="PMP41" s="52"/>
      <c r="PMQ41" s="52"/>
      <c r="PMR41" s="52"/>
      <c r="PMS41" s="52"/>
      <c r="PMT41" s="52"/>
      <c r="PMU41" s="52"/>
      <c r="PMV41" s="52"/>
      <c r="PMW41" s="52"/>
      <c r="PMX41" s="52"/>
      <c r="PMY41" s="52"/>
      <c r="PMZ41" s="52"/>
      <c r="PNA41" s="52"/>
      <c r="PNB41" s="52"/>
      <c r="PNC41" s="52"/>
      <c r="PND41" s="52"/>
      <c r="PNE41" s="52"/>
      <c r="PNF41" s="52"/>
      <c r="PNG41" s="52"/>
      <c r="PNH41" s="52"/>
      <c r="PNI41" s="52"/>
      <c r="PNJ41" s="52"/>
      <c r="PNK41" s="52"/>
      <c r="PNL41" s="52"/>
      <c r="PNM41" s="52"/>
      <c r="PNN41" s="52"/>
      <c r="PNO41" s="52"/>
      <c r="PNP41" s="52"/>
      <c r="PNQ41" s="52"/>
      <c r="PNR41" s="52"/>
      <c r="PNS41" s="52"/>
      <c r="PNT41" s="52"/>
      <c r="PNU41" s="52"/>
      <c r="PNV41" s="52"/>
      <c r="PNW41" s="52"/>
      <c r="PNX41" s="52"/>
      <c r="PNY41" s="52"/>
      <c r="PNZ41" s="52"/>
      <c r="POA41" s="52"/>
      <c r="POB41" s="52"/>
      <c r="POC41" s="52"/>
      <c r="POD41" s="52"/>
      <c r="POE41" s="52"/>
      <c r="POF41" s="52"/>
      <c r="POG41" s="52"/>
      <c r="POH41" s="52"/>
      <c r="POI41" s="52"/>
      <c r="POJ41" s="52"/>
      <c r="POK41" s="52"/>
      <c r="POL41" s="52"/>
      <c r="POM41" s="52"/>
      <c r="PON41" s="52"/>
      <c r="POO41" s="52"/>
      <c r="POP41" s="52"/>
      <c r="POQ41" s="52"/>
      <c r="POR41" s="52"/>
      <c r="POS41" s="52"/>
      <c r="POT41" s="52"/>
      <c r="POU41" s="52"/>
      <c r="POV41" s="52"/>
      <c r="POW41" s="52"/>
      <c r="POX41" s="52"/>
      <c r="POY41" s="52"/>
      <c r="POZ41" s="52"/>
      <c r="PPA41" s="52"/>
      <c r="PPB41" s="52"/>
      <c r="PPC41" s="52"/>
      <c r="PPD41" s="52"/>
      <c r="PPE41" s="52"/>
      <c r="PPF41" s="52"/>
      <c r="PPG41" s="52"/>
      <c r="PPH41" s="52"/>
      <c r="PPI41" s="52"/>
      <c r="PPJ41" s="52"/>
      <c r="PPK41" s="52"/>
      <c r="PPL41" s="52"/>
      <c r="PPM41" s="52"/>
      <c r="PPN41" s="52"/>
      <c r="PPO41" s="52"/>
      <c r="PPP41" s="52"/>
      <c r="PPQ41" s="52"/>
      <c r="PPR41" s="52"/>
      <c r="PPS41" s="52"/>
      <c r="PPT41" s="52"/>
      <c r="PPU41" s="52"/>
      <c r="PPV41" s="52"/>
      <c r="PPW41" s="52"/>
      <c r="PPX41" s="52"/>
      <c r="PPY41" s="52"/>
      <c r="PPZ41" s="52"/>
      <c r="PQA41" s="52"/>
      <c r="PQB41" s="52"/>
      <c r="PQC41" s="52"/>
      <c r="PQD41" s="52"/>
      <c r="PQE41" s="52"/>
      <c r="PQF41" s="52"/>
      <c r="PQG41" s="52"/>
      <c r="PQH41" s="52"/>
      <c r="PQI41" s="52"/>
      <c r="PQJ41" s="52"/>
      <c r="PQK41" s="52"/>
      <c r="PQL41" s="52"/>
      <c r="PQM41" s="52"/>
      <c r="PQN41" s="52"/>
      <c r="PQO41" s="52"/>
      <c r="PQP41" s="52"/>
      <c r="PQQ41" s="52"/>
      <c r="PQR41" s="52"/>
      <c r="PQS41" s="52"/>
      <c r="PQT41" s="52"/>
      <c r="PQU41" s="52"/>
      <c r="PQV41" s="52"/>
      <c r="PQW41" s="52"/>
      <c r="PQX41" s="52"/>
      <c r="PQY41" s="52"/>
      <c r="PQZ41" s="52"/>
      <c r="PRA41" s="52"/>
      <c r="PRB41" s="52"/>
      <c r="PRC41" s="52"/>
      <c r="PRD41" s="52"/>
      <c r="PRE41" s="52"/>
      <c r="PRF41" s="52"/>
      <c r="PRG41" s="52"/>
      <c r="PRH41" s="52"/>
      <c r="PRI41" s="52"/>
      <c r="PRJ41" s="52"/>
      <c r="PRK41" s="52"/>
      <c r="PRL41" s="52"/>
      <c r="PRM41" s="52"/>
      <c r="PRN41" s="52"/>
      <c r="PRO41" s="52"/>
      <c r="PRP41" s="52"/>
      <c r="PRQ41" s="52"/>
      <c r="PRR41" s="52"/>
      <c r="PRS41" s="52"/>
      <c r="PRT41" s="52"/>
      <c r="PRU41" s="52"/>
      <c r="PRV41" s="52"/>
      <c r="PRW41" s="52"/>
      <c r="PRX41" s="52"/>
      <c r="PRY41" s="52"/>
      <c r="PRZ41" s="52"/>
      <c r="PSA41" s="52"/>
      <c r="PSB41" s="52"/>
      <c r="PSC41" s="52"/>
      <c r="PSD41" s="52"/>
      <c r="PSE41" s="52"/>
      <c r="PSF41" s="52"/>
      <c r="PSG41" s="52"/>
      <c r="PSH41" s="52"/>
      <c r="PSI41" s="52"/>
      <c r="PSJ41" s="52"/>
      <c r="PSK41" s="52"/>
      <c r="PSL41" s="52"/>
      <c r="PSM41" s="52"/>
      <c r="PSN41" s="52"/>
      <c r="PSO41" s="52"/>
      <c r="PSP41" s="52"/>
      <c r="PSQ41" s="52"/>
      <c r="PSR41" s="52"/>
      <c r="PSS41" s="52"/>
      <c r="PST41" s="52"/>
      <c r="PSU41" s="52"/>
      <c r="PSV41" s="52"/>
      <c r="PSW41" s="52"/>
      <c r="PSX41" s="52"/>
      <c r="PSY41" s="52"/>
      <c r="PSZ41" s="52"/>
      <c r="PTA41" s="52"/>
      <c r="PTB41" s="52"/>
      <c r="PTC41" s="52"/>
      <c r="PTD41" s="52"/>
      <c r="PTE41" s="52"/>
      <c r="PTF41" s="52"/>
      <c r="PTG41" s="52"/>
      <c r="PTH41" s="52"/>
      <c r="PTI41" s="52"/>
      <c r="PTJ41" s="52"/>
      <c r="PTK41" s="52"/>
      <c r="PTL41" s="52"/>
      <c r="PTM41" s="52"/>
      <c r="PTN41" s="52"/>
      <c r="PTO41" s="52"/>
      <c r="PTP41" s="52"/>
      <c r="PTQ41" s="52"/>
      <c r="PTR41" s="52"/>
      <c r="PTS41" s="52"/>
      <c r="PTT41" s="52"/>
      <c r="PTU41" s="52"/>
      <c r="PTV41" s="52"/>
      <c r="PTW41" s="52"/>
      <c r="PTX41" s="52"/>
      <c r="PTY41" s="52"/>
      <c r="PTZ41" s="52"/>
      <c r="PUA41" s="52"/>
      <c r="PUB41" s="52"/>
      <c r="PUC41" s="52"/>
      <c r="PUD41" s="52"/>
      <c r="PUE41" s="52"/>
      <c r="PUF41" s="52"/>
      <c r="PUG41" s="52"/>
      <c r="PUH41" s="52"/>
      <c r="PUI41" s="52"/>
      <c r="PUJ41" s="52"/>
      <c r="PUK41" s="52"/>
      <c r="PUL41" s="52"/>
      <c r="PUM41" s="52"/>
      <c r="PUN41" s="52"/>
      <c r="PUO41" s="52"/>
      <c r="PUP41" s="52"/>
      <c r="PUQ41" s="52"/>
      <c r="PUR41" s="52"/>
      <c r="PUS41" s="52"/>
      <c r="PUT41" s="52"/>
      <c r="PUU41" s="52"/>
      <c r="PUV41" s="52"/>
      <c r="PUW41" s="52"/>
      <c r="PUX41" s="52"/>
      <c r="PUY41" s="52"/>
      <c r="PUZ41" s="52"/>
      <c r="PVA41" s="52"/>
      <c r="PVB41" s="52"/>
      <c r="PVC41" s="52"/>
      <c r="PVD41" s="52"/>
      <c r="PVE41" s="52"/>
      <c r="PVF41" s="52"/>
      <c r="PVG41" s="52"/>
      <c r="PVH41" s="52"/>
      <c r="PVI41" s="52"/>
      <c r="PVJ41" s="52"/>
      <c r="PVK41" s="52"/>
      <c r="PVL41" s="52"/>
      <c r="PVM41" s="52"/>
      <c r="PVN41" s="52"/>
      <c r="PVO41" s="52"/>
      <c r="PVP41" s="52"/>
      <c r="PVQ41" s="52"/>
      <c r="PVR41" s="52"/>
      <c r="PVS41" s="52"/>
      <c r="PVT41" s="52"/>
      <c r="PVU41" s="52"/>
      <c r="PVV41" s="52"/>
      <c r="PVW41" s="52"/>
      <c r="PVX41" s="52"/>
      <c r="PVY41" s="52"/>
      <c r="PVZ41" s="52"/>
      <c r="PWA41" s="52"/>
      <c r="PWB41" s="52"/>
      <c r="PWC41" s="52"/>
      <c r="PWD41" s="52"/>
      <c r="PWE41" s="52"/>
      <c r="PWF41" s="52"/>
      <c r="PWG41" s="52"/>
      <c r="PWH41" s="52"/>
      <c r="PWI41" s="52"/>
      <c r="PWJ41" s="52"/>
      <c r="PWK41" s="52"/>
      <c r="PWL41" s="52"/>
      <c r="PWM41" s="52"/>
      <c r="PWN41" s="52"/>
      <c r="PWO41" s="52"/>
      <c r="PWP41" s="52"/>
      <c r="PWQ41" s="52"/>
      <c r="PWR41" s="52"/>
      <c r="PWS41" s="52"/>
      <c r="PWT41" s="52"/>
      <c r="PWU41" s="52"/>
      <c r="PWV41" s="52"/>
      <c r="PWW41" s="52"/>
      <c r="PWX41" s="52"/>
      <c r="PWY41" s="52"/>
      <c r="PWZ41" s="52"/>
      <c r="PXA41" s="52"/>
      <c r="PXB41" s="52"/>
      <c r="PXC41" s="52"/>
      <c r="PXD41" s="52"/>
      <c r="PXE41" s="52"/>
      <c r="PXF41" s="52"/>
      <c r="PXG41" s="52"/>
      <c r="PXH41" s="52"/>
      <c r="PXI41" s="52"/>
      <c r="PXJ41" s="52"/>
      <c r="PXK41" s="52"/>
      <c r="PXL41" s="52"/>
      <c r="PXM41" s="52"/>
      <c r="PXN41" s="52"/>
      <c r="PXO41" s="52"/>
      <c r="PXP41" s="52"/>
      <c r="PXQ41" s="52"/>
      <c r="PXR41" s="52"/>
      <c r="PXS41" s="52"/>
      <c r="PXT41" s="52"/>
      <c r="PXU41" s="52"/>
      <c r="PXV41" s="52"/>
      <c r="PXW41" s="52"/>
      <c r="PXX41" s="52"/>
      <c r="PXY41" s="52"/>
      <c r="PXZ41" s="52"/>
      <c r="PYA41" s="52"/>
      <c r="PYB41" s="52"/>
      <c r="PYC41" s="52"/>
      <c r="PYD41" s="52"/>
      <c r="PYE41" s="52"/>
      <c r="PYF41" s="52"/>
      <c r="PYG41" s="52"/>
      <c r="PYH41" s="52"/>
      <c r="PYI41" s="52"/>
      <c r="PYJ41" s="52"/>
      <c r="PYK41" s="52"/>
      <c r="PYL41" s="52"/>
      <c r="PYM41" s="52"/>
      <c r="PYN41" s="52"/>
      <c r="PYO41" s="52"/>
      <c r="PYP41" s="52"/>
      <c r="PYQ41" s="52"/>
      <c r="PYR41" s="52"/>
      <c r="PYS41" s="52"/>
      <c r="PYT41" s="52"/>
      <c r="PYU41" s="52"/>
      <c r="PYV41" s="52"/>
      <c r="PYW41" s="52"/>
      <c r="PYX41" s="52"/>
      <c r="PYY41" s="52"/>
      <c r="PYZ41" s="52"/>
      <c r="PZA41" s="52"/>
      <c r="PZB41" s="52"/>
      <c r="PZC41" s="52"/>
      <c r="PZD41" s="52"/>
      <c r="PZE41" s="52"/>
      <c r="PZF41" s="52"/>
      <c r="PZG41" s="52"/>
      <c r="PZH41" s="52"/>
      <c r="PZI41" s="52"/>
      <c r="PZJ41" s="52"/>
      <c r="PZK41" s="52"/>
      <c r="PZL41" s="52"/>
      <c r="PZM41" s="52"/>
      <c r="PZN41" s="52"/>
      <c r="PZO41" s="52"/>
      <c r="PZP41" s="52"/>
      <c r="PZQ41" s="52"/>
      <c r="PZR41" s="52"/>
      <c r="PZS41" s="52"/>
      <c r="PZT41" s="52"/>
      <c r="PZU41" s="52"/>
      <c r="PZV41" s="52"/>
      <c r="PZW41" s="52"/>
      <c r="PZX41" s="52"/>
      <c r="PZY41" s="52"/>
      <c r="PZZ41" s="52"/>
      <c r="QAA41" s="52"/>
      <c r="QAB41" s="52"/>
      <c r="QAC41" s="52"/>
      <c r="QAD41" s="52"/>
      <c r="QAE41" s="52"/>
      <c r="QAF41" s="52"/>
      <c r="QAG41" s="52"/>
      <c r="QAH41" s="52"/>
      <c r="QAI41" s="52"/>
      <c r="QAJ41" s="52"/>
      <c r="QAK41" s="52"/>
      <c r="QAL41" s="52"/>
      <c r="QAM41" s="52"/>
      <c r="QAN41" s="52"/>
      <c r="QAO41" s="52"/>
      <c r="QAP41" s="52"/>
      <c r="QAQ41" s="52"/>
      <c r="QAR41" s="52"/>
      <c r="QAS41" s="52"/>
      <c r="QAT41" s="52"/>
      <c r="QAU41" s="52"/>
      <c r="QAV41" s="52"/>
      <c r="QAW41" s="52"/>
      <c r="QAX41" s="52"/>
      <c r="QAY41" s="52"/>
      <c r="QAZ41" s="52"/>
      <c r="QBA41" s="52"/>
      <c r="QBB41" s="52"/>
      <c r="QBC41" s="52"/>
      <c r="QBD41" s="52"/>
      <c r="QBE41" s="52"/>
      <c r="QBF41" s="52"/>
      <c r="QBG41" s="52"/>
      <c r="QBH41" s="52"/>
      <c r="QBI41" s="52"/>
      <c r="QBJ41" s="52"/>
      <c r="QBK41" s="52"/>
      <c r="QBL41" s="52"/>
      <c r="QBM41" s="52"/>
      <c r="QBN41" s="52"/>
      <c r="QBO41" s="52"/>
      <c r="QBP41" s="52"/>
      <c r="QBQ41" s="52"/>
      <c r="QBR41" s="52"/>
      <c r="QBS41" s="52"/>
      <c r="QBT41" s="52"/>
      <c r="QBU41" s="52"/>
      <c r="QBV41" s="52"/>
      <c r="QBW41" s="52"/>
      <c r="QBX41" s="52"/>
      <c r="QBY41" s="52"/>
      <c r="QBZ41" s="52"/>
      <c r="QCA41" s="52"/>
      <c r="QCB41" s="52"/>
      <c r="QCC41" s="52"/>
      <c r="QCD41" s="52"/>
      <c r="QCE41" s="52"/>
      <c r="QCF41" s="52"/>
      <c r="QCG41" s="52"/>
      <c r="QCH41" s="52"/>
      <c r="QCI41" s="52"/>
      <c r="QCJ41" s="52"/>
      <c r="QCK41" s="52"/>
      <c r="QCL41" s="52"/>
      <c r="QCM41" s="52"/>
      <c r="QCN41" s="52"/>
      <c r="QCO41" s="52"/>
      <c r="QCP41" s="52"/>
      <c r="QCQ41" s="52"/>
      <c r="QCR41" s="52"/>
      <c r="QCS41" s="52"/>
      <c r="QCT41" s="52"/>
      <c r="QCU41" s="52"/>
      <c r="QCV41" s="52"/>
      <c r="QCW41" s="52"/>
      <c r="QCX41" s="52"/>
      <c r="QCY41" s="52"/>
      <c r="QCZ41" s="52"/>
      <c r="QDA41" s="52"/>
      <c r="QDB41" s="52"/>
      <c r="QDC41" s="52"/>
      <c r="QDD41" s="52"/>
      <c r="QDE41" s="52"/>
      <c r="QDF41" s="52"/>
      <c r="QDG41" s="52"/>
      <c r="QDH41" s="52"/>
      <c r="QDI41" s="52"/>
      <c r="QDJ41" s="52"/>
      <c r="QDK41" s="52"/>
      <c r="QDL41" s="52"/>
      <c r="QDM41" s="52"/>
      <c r="QDN41" s="52"/>
      <c r="QDO41" s="52"/>
      <c r="QDP41" s="52"/>
      <c r="QDQ41" s="52"/>
      <c r="QDR41" s="52"/>
      <c r="QDS41" s="52"/>
      <c r="QDT41" s="52"/>
      <c r="QDU41" s="52"/>
      <c r="QDV41" s="52"/>
      <c r="QDW41" s="52"/>
      <c r="QDX41" s="52"/>
      <c r="QDY41" s="52"/>
      <c r="QDZ41" s="52"/>
      <c r="QEA41" s="52"/>
      <c r="QEB41" s="52"/>
      <c r="QEC41" s="52"/>
      <c r="QED41" s="52"/>
      <c r="QEE41" s="52"/>
      <c r="QEF41" s="52"/>
      <c r="QEG41" s="52"/>
      <c r="QEH41" s="52"/>
      <c r="QEI41" s="52"/>
      <c r="QEJ41" s="52"/>
      <c r="QEK41" s="52"/>
      <c r="QEL41" s="52"/>
      <c r="QEM41" s="52"/>
      <c r="QEN41" s="52"/>
      <c r="QEO41" s="52"/>
      <c r="QEP41" s="52"/>
      <c r="QEQ41" s="52"/>
      <c r="QER41" s="52"/>
      <c r="QES41" s="52"/>
      <c r="QET41" s="52"/>
      <c r="QEU41" s="52"/>
      <c r="QEV41" s="52"/>
      <c r="QEW41" s="52"/>
      <c r="QEX41" s="52"/>
      <c r="QEY41" s="52"/>
      <c r="QEZ41" s="52"/>
      <c r="QFA41" s="52"/>
      <c r="QFB41" s="52"/>
      <c r="QFC41" s="52"/>
      <c r="QFD41" s="52"/>
      <c r="QFE41" s="52"/>
      <c r="QFF41" s="52"/>
      <c r="QFG41" s="52"/>
      <c r="QFH41" s="52"/>
      <c r="QFI41" s="52"/>
      <c r="QFJ41" s="52"/>
      <c r="QFK41" s="52"/>
      <c r="QFL41" s="52"/>
      <c r="QFM41" s="52"/>
      <c r="QFN41" s="52"/>
      <c r="QFO41" s="52"/>
      <c r="QFP41" s="52"/>
      <c r="QFQ41" s="52"/>
      <c r="QFR41" s="52"/>
      <c r="QFS41" s="52"/>
      <c r="QFT41" s="52"/>
      <c r="QFU41" s="52"/>
      <c r="QFV41" s="52"/>
      <c r="QFW41" s="52"/>
      <c r="QFX41" s="52"/>
      <c r="QFY41" s="52"/>
      <c r="QFZ41" s="52"/>
      <c r="QGA41" s="52"/>
      <c r="QGB41" s="52"/>
      <c r="QGC41" s="52"/>
      <c r="QGD41" s="52"/>
      <c r="QGE41" s="52"/>
      <c r="QGF41" s="52"/>
      <c r="QGG41" s="52"/>
      <c r="QGH41" s="52"/>
      <c r="QGI41" s="52"/>
      <c r="QGJ41" s="52"/>
      <c r="QGK41" s="52"/>
      <c r="QGL41" s="52"/>
      <c r="QGM41" s="52"/>
      <c r="QGN41" s="52"/>
      <c r="QGO41" s="52"/>
      <c r="QGP41" s="52"/>
      <c r="QGQ41" s="52"/>
      <c r="QGR41" s="52"/>
      <c r="QGS41" s="52"/>
      <c r="QGT41" s="52"/>
      <c r="QGU41" s="52"/>
      <c r="QGV41" s="52"/>
      <c r="QGW41" s="52"/>
      <c r="QGX41" s="52"/>
      <c r="QGY41" s="52"/>
      <c r="QGZ41" s="52"/>
      <c r="QHA41" s="52"/>
      <c r="QHB41" s="52"/>
      <c r="QHC41" s="52"/>
      <c r="QHD41" s="52"/>
      <c r="QHE41" s="52"/>
      <c r="QHF41" s="52"/>
      <c r="QHG41" s="52"/>
      <c r="QHH41" s="52"/>
      <c r="QHI41" s="52"/>
      <c r="QHJ41" s="52"/>
      <c r="QHK41" s="52"/>
      <c r="QHL41" s="52"/>
      <c r="QHM41" s="52"/>
      <c r="QHN41" s="52"/>
      <c r="QHO41" s="52"/>
      <c r="QHP41" s="52"/>
      <c r="QHQ41" s="52"/>
      <c r="QHR41" s="52"/>
      <c r="QHS41" s="52"/>
      <c r="QHT41" s="52"/>
      <c r="QHU41" s="52"/>
      <c r="QHV41" s="52"/>
      <c r="QHW41" s="52"/>
      <c r="QHX41" s="52"/>
      <c r="QHY41" s="52"/>
      <c r="QHZ41" s="52"/>
      <c r="QIA41" s="52"/>
      <c r="QIB41" s="52"/>
      <c r="QIC41" s="52"/>
      <c r="QID41" s="52"/>
      <c r="QIE41" s="52"/>
      <c r="QIF41" s="52"/>
      <c r="QIG41" s="52"/>
      <c r="QIH41" s="52"/>
      <c r="QII41" s="52"/>
      <c r="QIJ41" s="52"/>
      <c r="QIK41" s="52"/>
      <c r="QIL41" s="52"/>
      <c r="QIM41" s="52"/>
      <c r="QIN41" s="52"/>
      <c r="QIO41" s="52"/>
      <c r="QIP41" s="52"/>
      <c r="QIQ41" s="52"/>
      <c r="QIR41" s="52"/>
      <c r="QIS41" s="52"/>
      <c r="QIT41" s="52"/>
      <c r="QIU41" s="52"/>
      <c r="QIV41" s="52"/>
      <c r="QIW41" s="52"/>
      <c r="QIX41" s="52"/>
      <c r="QIY41" s="52"/>
      <c r="QIZ41" s="52"/>
      <c r="QJA41" s="52"/>
      <c r="QJB41" s="52"/>
      <c r="QJC41" s="52"/>
      <c r="QJD41" s="52"/>
      <c r="QJE41" s="52"/>
      <c r="QJF41" s="52"/>
      <c r="QJG41" s="52"/>
      <c r="QJH41" s="52"/>
      <c r="QJI41" s="52"/>
      <c r="QJJ41" s="52"/>
      <c r="QJK41" s="52"/>
      <c r="QJL41" s="52"/>
      <c r="QJM41" s="52"/>
      <c r="QJN41" s="52"/>
      <c r="QJO41" s="52"/>
      <c r="QJP41" s="52"/>
      <c r="QJQ41" s="52"/>
      <c r="QJR41" s="52"/>
      <c r="QJS41" s="52"/>
      <c r="QJT41" s="52"/>
      <c r="QJU41" s="52"/>
      <c r="QJV41" s="52"/>
      <c r="QJW41" s="52"/>
      <c r="QJX41" s="52"/>
      <c r="QJY41" s="52"/>
      <c r="QJZ41" s="52"/>
      <c r="QKA41" s="52"/>
      <c r="QKB41" s="52"/>
      <c r="QKC41" s="52"/>
      <c r="QKD41" s="52"/>
      <c r="QKE41" s="52"/>
      <c r="QKF41" s="52"/>
      <c r="QKG41" s="52"/>
      <c r="QKH41" s="52"/>
      <c r="QKI41" s="52"/>
      <c r="QKJ41" s="52"/>
      <c r="QKK41" s="52"/>
      <c r="QKL41" s="52"/>
      <c r="QKM41" s="52"/>
      <c r="QKN41" s="52"/>
      <c r="QKO41" s="52"/>
      <c r="QKP41" s="52"/>
      <c r="QKQ41" s="52"/>
      <c r="QKR41" s="52"/>
      <c r="QKS41" s="52"/>
      <c r="QKT41" s="52"/>
      <c r="QKU41" s="52"/>
      <c r="QKV41" s="52"/>
      <c r="QKW41" s="52"/>
      <c r="QKX41" s="52"/>
      <c r="QKY41" s="52"/>
      <c r="QKZ41" s="52"/>
      <c r="QLA41" s="52"/>
      <c r="QLB41" s="52"/>
      <c r="QLC41" s="52"/>
      <c r="QLD41" s="52"/>
      <c r="QLE41" s="52"/>
      <c r="QLF41" s="52"/>
      <c r="QLG41" s="52"/>
      <c r="QLH41" s="52"/>
      <c r="QLI41" s="52"/>
      <c r="QLJ41" s="52"/>
      <c r="QLK41" s="52"/>
      <c r="QLL41" s="52"/>
      <c r="QLM41" s="52"/>
      <c r="QLN41" s="52"/>
      <c r="QLO41" s="52"/>
      <c r="QLP41" s="52"/>
      <c r="QLQ41" s="52"/>
      <c r="QLR41" s="52"/>
      <c r="QLS41" s="52"/>
      <c r="QLT41" s="52"/>
      <c r="QLU41" s="52"/>
      <c r="QLV41" s="52"/>
      <c r="QLW41" s="52"/>
      <c r="QLX41" s="52"/>
      <c r="QLY41" s="52"/>
      <c r="QLZ41" s="52"/>
      <c r="QMA41" s="52"/>
      <c r="QMB41" s="52"/>
      <c r="QMC41" s="52"/>
      <c r="QMD41" s="52"/>
      <c r="QME41" s="52"/>
      <c r="QMF41" s="52"/>
      <c r="QMG41" s="52"/>
      <c r="QMH41" s="52"/>
      <c r="QMI41" s="52"/>
      <c r="QMJ41" s="52"/>
      <c r="QMK41" s="52"/>
      <c r="QML41" s="52"/>
      <c r="QMM41" s="52"/>
      <c r="QMN41" s="52"/>
      <c r="QMO41" s="52"/>
      <c r="QMP41" s="52"/>
      <c r="QMQ41" s="52"/>
      <c r="QMR41" s="52"/>
      <c r="QMS41" s="52"/>
      <c r="QMT41" s="52"/>
      <c r="QMU41" s="52"/>
      <c r="QMV41" s="52"/>
      <c r="QMW41" s="52"/>
      <c r="QMX41" s="52"/>
      <c r="QMY41" s="52"/>
      <c r="QMZ41" s="52"/>
      <c r="QNA41" s="52"/>
      <c r="QNB41" s="52"/>
      <c r="QNC41" s="52"/>
      <c r="QND41" s="52"/>
      <c r="QNE41" s="52"/>
      <c r="QNF41" s="52"/>
      <c r="QNG41" s="52"/>
      <c r="QNH41" s="52"/>
      <c r="QNI41" s="52"/>
      <c r="QNJ41" s="52"/>
      <c r="QNK41" s="52"/>
      <c r="QNL41" s="52"/>
      <c r="QNM41" s="52"/>
      <c r="QNN41" s="52"/>
      <c r="QNO41" s="52"/>
      <c r="QNP41" s="52"/>
      <c r="QNQ41" s="52"/>
      <c r="QNR41" s="52"/>
      <c r="QNS41" s="52"/>
      <c r="QNT41" s="52"/>
      <c r="QNU41" s="52"/>
      <c r="QNV41" s="52"/>
      <c r="QNW41" s="52"/>
      <c r="QNX41" s="52"/>
      <c r="QNY41" s="52"/>
      <c r="QNZ41" s="52"/>
      <c r="QOA41" s="52"/>
      <c r="QOB41" s="52"/>
      <c r="QOC41" s="52"/>
      <c r="QOD41" s="52"/>
      <c r="QOE41" s="52"/>
      <c r="QOF41" s="52"/>
      <c r="QOG41" s="52"/>
      <c r="QOH41" s="52"/>
      <c r="QOI41" s="52"/>
      <c r="QOJ41" s="52"/>
      <c r="QOK41" s="52"/>
      <c r="QOL41" s="52"/>
      <c r="QOM41" s="52"/>
      <c r="QON41" s="52"/>
      <c r="QOO41" s="52"/>
      <c r="QOP41" s="52"/>
      <c r="QOQ41" s="52"/>
      <c r="QOR41" s="52"/>
      <c r="QOS41" s="52"/>
      <c r="QOT41" s="52"/>
      <c r="QOU41" s="52"/>
      <c r="QOV41" s="52"/>
      <c r="QOW41" s="52"/>
      <c r="QOX41" s="52"/>
      <c r="QOY41" s="52"/>
      <c r="QOZ41" s="52"/>
      <c r="QPA41" s="52"/>
      <c r="QPB41" s="52"/>
      <c r="QPC41" s="52"/>
      <c r="QPD41" s="52"/>
      <c r="QPE41" s="52"/>
      <c r="QPF41" s="52"/>
      <c r="QPG41" s="52"/>
      <c r="QPH41" s="52"/>
      <c r="QPI41" s="52"/>
      <c r="QPJ41" s="52"/>
      <c r="QPK41" s="52"/>
      <c r="QPL41" s="52"/>
      <c r="QPM41" s="52"/>
      <c r="QPN41" s="52"/>
      <c r="QPO41" s="52"/>
      <c r="QPP41" s="52"/>
      <c r="QPQ41" s="52"/>
      <c r="QPR41" s="52"/>
      <c r="QPS41" s="52"/>
      <c r="QPT41" s="52"/>
      <c r="QPU41" s="52"/>
      <c r="QPV41" s="52"/>
      <c r="QPW41" s="52"/>
      <c r="QPX41" s="52"/>
      <c r="QPY41" s="52"/>
      <c r="QPZ41" s="52"/>
      <c r="QQA41" s="52"/>
      <c r="QQB41" s="52"/>
      <c r="QQC41" s="52"/>
      <c r="QQD41" s="52"/>
      <c r="QQE41" s="52"/>
      <c r="QQF41" s="52"/>
      <c r="QQG41" s="52"/>
      <c r="QQH41" s="52"/>
      <c r="QQI41" s="52"/>
      <c r="QQJ41" s="52"/>
      <c r="QQK41" s="52"/>
      <c r="QQL41" s="52"/>
      <c r="QQM41" s="52"/>
      <c r="QQN41" s="52"/>
      <c r="QQO41" s="52"/>
      <c r="QQP41" s="52"/>
      <c r="QQQ41" s="52"/>
      <c r="QQR41" s="52"/>
      <c r="QQS41" s="52"/>
      <c r="QQT41" s="52"/>
      <c r="QQU41" s="52"/>
      <c r="QQV41" s="52"/>
      <c r="QQW41" s="52"/>
      <c r="QQX41" s="52"/>
      <c r="QQY41" s="52"/>
      <c r="QQZ41" s="52"/>
      <c r="QRA41" s="52"/>
      <c r="QRB41" s="52"/>
      <c r="QRC41" s="52"/>
      <c r="QRD41" s="52"/>
      <c r="QRE41" s="52"/>
      <c r="QRF41" s="52"/>
      <c r="QRG41" s="52"/>
      <c r="QRH41" s="52"/>
      <c r="QRI41" s="52"/>
      <c r="QRJ41" s="52"/>
      <c r="QRK41" s="52"/>
      <c r="QRL41" s="52"/>
      <c r="QRM41" s="52"/>
      <c r="QRN41" s="52"/>
      <c r="QRO41" s="52"/>
      <c r="QRP41" s="52"/>
      <c r="QRQ41" s="52"/>
      <c r="QRR41" s="52"/>
      <c r="QRS41" s="52"/>
      <c r="QRT41" s="52"/>
      <c r="QRU41" s="52"/>
      <c r="QRV41" s="52"/>
      <c r="QRW41" s="52"/>
      <c r="QRX41" s="52"/>
      <c r="QRY41" s="52"/>
      <c r="QRZ41" s="52"/>
      <c r="QSA41" s="52"/>
      <c r="QSB41" s="52"/>
      <c r="QSC41" s="52"/>
      <c r="QSD41" s="52"/>
      <c r="QSE41" s="52"/>
      <c r="QSF41" s="52"/>
      <c r="QSG41" s="52"/>
      <c r="QSH41" s="52"/>
      <c r="QSI41" s="52"/>
      <c r="QSJ41" s="52"/>
      <c r="QSK41" s="52"/>
      <c r="QSL41" s="52"/>
      <c r="QSM41" s="52"/>
      <c r="QSN41" s="52"/>
      <c r="QSO41" s="52"/>
      <c r="QSP41" s="52"/>
      <c r="QSQ41" s="52"/>
      <c r="QSR41" s="52"/>
      <c r="QSS41" s="52"/>
      <c r="QST41" s="52"/>
      <c r="QSU41" s="52"/>
      <c r="QSV41" s="52"/>
      <c r="QSW41" s="52"/>
      <c r="QSX41" s="52"/>
      <c r="QSY41" s="52"/>
      <c r="QSZ41" s="52"/>
      <c r="QTA41" s="52"/>
      <c r="QTB41" s="52"/>
      <c r="QTC41" s="52"/>
      <c r="QTD41" s="52"/>
      <c r="QTE41" s="52"/>
      <c r="QTF41" s="52"/>
      <c r="QTG41" s="52"/>
      <c r="QTH41" s="52"/>
      <c r="QTI41" s="52"/>
      <c r="QTJ41" s="52"/>
      <c r="QTK41" s="52"/>
      <c r="QTL41" s="52"/>
      <c r="QTM41" s="52"/>
      <c r="QTN41" s="52"/>
      <c r="QTO41" s="52"/>
      <c r="QTP41" s="52"/>
      <c r="QTQ41" s="52"/>
      <c r="QTR41" s="52"/>
      <c r="QTS41" s="52"/>
      <c r="QTT41" s="52"/>
      <c r="QTU41" s="52"/>
      <c r="QTV41" s="52"/>
      <c r="QTW41" s="52"/>
      <c r="QTX41" s="52"/>
      <c r="QTY41" s="52"/>
      <c r="QTZ41" s="52"/>
      <c r="QUA41" s="52"/>
      <c r="QUB41" s="52"/>
      <c r="QUC41" s="52"/>
      <c r="QUD41" s="52"/>
      <c r="QUE41" s="52"/>
      <c r="QUF41" s="52"/>
      <c r="QUG41" s="52"/>
      <c r="QUH41" s="52"/>
      <c r="QUI41" s="52"/>
      <c r="QUJ41" s="52"/>
      <c r="QUK41" s="52"/>
      <c r="QUL41" s="52"/>
      <c r="QUM41" s="52"/>
      <c r="QUN41" s="52"/>
      <c r="QUO41" s="52"/>
      <c r="QUP41" s="52"/>
      <c r="QUQ41" s="52"/>
      <c r="QUR41" s="52"/>
      <c r="QUS41" s="52"/>
      <c r="QUT41" s="52"/>
      <c r="QUU41" s="52"/>
      <c r="QUV41" s="52"/>
      <c r="QUW41" s="52"/>
      <c r="QUX41" s="52"/>
      <c r="QUY41" s="52"/>
      <c r="QUZ41" s="52"/>
      <c r="QVA41" s="52"/>
      <c r="QVB41" s="52"/>
      <c r="QVC41" s="52"/>
      <c r="QVD41" s="52"/>
      <c r="QVE41" s="52"/>
      <c r="QVF41" s="52"/>
      <c r="QVG41" s="52"/>
      <c r="QVH41" s="52"/>
      <c r="QVI41" s="52"/>
      <c r="QVJ41" s="52"/>
      <c r="QVK41" s="52"/>
      <c r="QVL41" s="52"/>
      <c r="QVM41" s="52"/>
      <c r="QVN41" s="52"/>
      <c r="QVO41" s="52"/>
      <c r="QVP41" s="52"/>
      <c r="QVQ41" s="52"/>
      <c r="QVR41" s="52"/>
      <c r="QVS41" s="52"/>
      <c r="QVT41" s="52"/>
      <c r="QVU41" s="52"/>
      <c r="QVV41" s="52"/>
      <c r="QVW41" s="52"/>
      <c r="QVX41" s="52"/>
      <c r="QVY41" s="52"/>
      <c r="QVZ41" s="52"/>
      <c r="QWA41" s="52"/>
      <c r="QWB41" s="52"/>
      <c r="QWC41" s="52"/>
      <c r="QWD41" s="52"/>
      <c r="QWE41" s="52"/>
      <c r="QWF41" s="52"/>
      <c r="QWG41" s="52"/>
      <c r="QWH41" s="52"/>
      <c r="QWI41" s="52"/>
      <c r="QWJ41" s="52"/>
      <c r="QWK41" s="52"/>
      <c r="QWL41" s="52"/>
      <c r="QWM41" s="52"/>
      <c r="QWN41" s="52"/>
      <c r="QWO41" s="52"/>
      <c r="QWP41" s="52"/>
      <c r="QWQ41" s="52"/>
      <c r="QWR41" s="52"/>
      <c r="QWS41" s="52"/>
      <c r="QWT41" s="52"/>
      <c r="QWU41" s="52"/>
      <c r="QWV41" s="52"/>
      <c r="QWW41" s="52"/>
      <c r="QWX41" s="52"/>
      <c r="QWY41" s="52"/>
      <c r="QWZ41" s="52"/>
      <c r="QXA41" s="52"/>
      <c r="QXB41" s="52"/>
      <c r="QXC41" s="52"/>
      <c r="QXD41" s="52"/>
      <c r="QXE41" s="52"/>
      <c r="QXF41" s="52"/>
      <c r="QXG41" s="52"/>
      <c r="QXH41" s="52"/>
      <c r="QXI41" s="52"/>
      <c r="QXJ41" s="52"/>
      <c r="QXK41" s="52"/>
      <c r="QXL41" s="52"/>
      <c r="QXM41" s="52"/>
      <c r="QXN41" s="52"/>
      <c r="QXO41" s="52"/>
      <c r="QXP41" s="52"/>
      <c r="QXQ41" s="52"/>
      <c r="QXR41" s="52"/>
      <c r="QXS41" s="52"/>
      <c r="QXT41" s="52"/>
      <c r="QXU41" s="52"/>
      <c r="QXV41" s="52"/>
      <c r="QXW41" s="52"/>
      <c r="QXX41" s="52"/>
      <c r="QXY41" s="52"/>
      <c r="QXZ41" s="52"/>
      <c r="QYA41" s="52"/>
      <c r="QYB41" s="52"/>
      <c r="QYC41" s="52"/>
      <c r="QYD41" s="52"/>
      <c r="QYE41" s="52"/>
      <c r="QYF41" s="52"/>
      <c r="QYG41" s="52"/>
      <c r="QYH41" s="52"/>
      <c r="QYI41" s="52"/>
      <c r="QYJ41" s="52"/>
      <c r="QYK41" s="52"/>
      <c r="QYL41" s="52"/>
      <c r="QYM41" s="52"/>
      <c r="QYN41" s="52"/>
      <c r="QYO41" s="52"/>
      <c r="QYP41" s="52"/>
      <c r="QYQ41" s="52"/>
      <c r="QYR41" s="52"/>
      <c r="QYS41" s="52"/>
      <c r="QYT41" s="52"/>
      <c r="QYU41" s="52"/>
      <c r="QYV41" s="52"/>
      <c r="QYW41" s="52"/>
      <c r="QYX41" s="52"/>
      <c r="QYY41" s="52"/>
      <c r="QYZ41" s="52"/>
      <c r="QZA41" s="52"/>
      <c r="QZB41" s="52"/>
      <c r="QZC41" s="52"/>
      <c r="QZD41" s="52"/>
      <c r="QZE41" s="52"/>
      <c r="QZF41" s="52"/>
      <c r="QZG41" s="52"/>
      <c r="QZH41" s="52"/>
      <c r="QZI41" s="52"/>
      <c r="QZJ41" s="52"/>
      <c r="QZK41" s="52"/>
      <c r="QZL41" s="52"/>
      <c r="QZM41" s="52"/>
      <c r="QZN41" s="52"/>
      <c r="QZO41" s="52"/>
      <c r="QZP41" s="52"/>
      <c r="QZQ41" s="52"/>
      <c r="QZR41" s="52"/>
      <c r="QZS41" s="52"/>
      <c r="QZT41" s="52"/>
      <c r="QZU41" s="52"/>
      <c r="QZV41" s="52"/>
      <c r="QZW41" s="52"/>
      <c r="QZX41" s="52"/>
      <c r="QZY41" s="52"/>
      <c r="QZZ41" s="52"/>
      <c r="RAA41" s="52"/>
      <c r="RAB41" s="52"/>
      <c r="RAC41" s="52"/>
      <c r="RAD41" s="52"/>
      <c r="RAE41" s="52"/>
      <c r="RAF41" s="52"/>
      <c r="RAG41" s="52"/>
      <c r="RAH41" s="52"/>
      <c r="RAI41" s="52"/>
      <c r="RAJ41" s="52"/>
      <c r="RAK41" s="52"/>
      <c r="RAL41" s="52"/>
      <c r="RAM41" s="52"/>
      <c r="RAN41" s="52"/>
      <c r="RAO41" s="52"/>
      <c r="RAP41" s="52"/>
      <c r="RAQ41" s="52"/>
      <c r="RAR41" s="52"/>
      <c r="RAS41" s="52"/>
      <c r="RAT41" s="52"/>
      <c r="RAU41" s="52"/>
      <c r="RAV41" s="52"/>
      <c r="RAW41" s="52"/>
      <c r="RAX41" s="52"/>
      <c r="RAY41" s="52"/>
      <c r="RAZ41" s="52"/>
      <c r="RBA41" s="52"/>
      <c r="RBB41" s="52"/>
      <c r="RBC41" s="52"/>
      <c r="RBD41" s="52"/>
      <c r="RBE41" s="52"/>
      <c r="RBF41" s="52"/>
      <c r="RBG41" s="52"/>
      <c r="RBH41" s="52"/>
      <c r="RBI41" s="52"/>
      <c r="RBJ41" s="52"/>
      <c r="RBK41" s="52"/>
      <c r="RBL41" s="52"/>
      <c r="RBM41" s="52"/>
      <c r="RBN41" s="52"/>
      <c r="RBO41" s="52"/>
      <c r="RBP41" s="52"/>
      <c r="RBQ41" s="52"/>
      <c r="RBR41" s="52"/>
      <c r="RBS41" s="52"/>
      <c r="RBT41" s="52"/>
      <c r="RBU41" s="52"/>
      <c r="RBV41" s="52"/>
      <c r="RBW41" s="52"/>
      <c r="RBX41" s="52"/>
      <c r="RBY41" s="52"/>
      <c r="RBZ41" s="52"/>
      <c r="RCA41" s="52"/>
      <c r="RCB41" s="52"/>
      <c r="RCC41" s="52"/>
      <c r="RCD41" s="52"/>
      <c r="RCE41" s="52"/>
      <c r="RCF41" s="52"/>
      <c r="RCG41" s="52"/>
      <c r="RCH41" s="52"/>
      <c r="RCI41" s="52"/>
      <c r="RCJ41" s="52"/>
      <c r="RCK41" s="52"/>
      <c r="RCL41" s="52"/>
      <c r="RCM41" s="52"/>
      <c r="RCN41" s="52"/>
      <c r="RCO41" s="52"/>
      <c r="RCP41" s="52"/>
      <c r="RCQ41" s="52"/>
      <c r="RCR41" s="52"/>
      <c r="RCS41" s="52"/>
      <c r="RCT41" s="52"/>
      <c r="RCU41" s="52"/>
      <c r="RCV41" s="52"/>
      <c r="RCW41" s="52"/>
      <c r="RCX41" s="52"/>
      <c r="RCY41" s="52"/>
      <c r="RCZ41" s="52"/>
      <c r="RDA41" s="52"/>
      <c r="RDB41" s="52"/>
      <c r="RDC41" s="52"/>
      <c r="RDD41" s="52"/>
      <c r="RDE41" s="52"/>
      <c r="RDF41" s="52"/>
      <c r="RDG41" s="52"/>
      <c r="RDH41" s="52"/>
      <c r="RDI41" s="52"/>
      <c r="RDJ41" s="52"/>
      <c r="RDK41" s="52"/>
      <c r="RDL41" s="52"/>
      <c r="RDM41" s="52"/>
      <c r="RDN41" s="52"/>
      <c r="RDO41" s="52"/>
      <c r="RDP41" s="52"/>
      <c r="RDQ41" s="52"/>
      <c r="RDR41" s="52"/>
      <c r="RDS41" s="52"/>
      <c r="RDT41" s="52"/>
      <c r="RDU41" s="52"/>
      <c r="RDV41" s="52"/>
      <c r="RDW41" s="52"/>
      <c r="RDX41" s="52"/>
      <c r="RDY41" s="52"/>
      <c r="RDZ41" s="52"/>
      <c r="REA41" s="52"/>
      <c r="REB41" s="52"/>
      <c r="REC41" s="52"/>
      <c r="RED41" s="52"/>
      <c r="REE41" s="52"/>
      <c r="REF41" s="52"/>
      <c r="REG41" s="52"/>
      <c r="REH41" s="52"/>
      <c r="REI41" s="52"/>
      <c r="REJ41" s="52"/>
      <c r="REK41" s="52"/>
      <c r="REL41" s="52"/>
      <c r="REM41" s="52"/>
      <c r="REN41" s="52"/>
      <c r="REO41" s="52"/>
      <c r="REP41" s="52"/>
      <c r="REQ41" s="52"/>
      <c r="RER41" s="52"/>
      <c r="RES41" s="52"/>
      <c r="RET41" s="52"/>
      <c r="REU41" s="52"/>
      <c r="REV41" s="52"/>
      <c r="REW41" s="52"/>
      <c r="REX41" s="52"/>
      <c r="REY41" s="52"/>
      <c r="REZ41" s="52"/>
      <c r="RFA41" s="52"/>
      <c r="RFB41" s="52"/>
      <c r="RFC41" s="52"/>
      <c r="RFD41" s="52"/>
      <c r="RFE41" s="52"/>
      <c r="RFF41" s="52"/>
      <c r="RFG41" s="52"/>
      <c r="RFH41" s="52"/>
      <c r="RFI41" s="52"/>
      <c r="RFJ41" s="52"/>
      <c r="RFK41" s="52"/>
      <c r="RFL41" s="52"/>
      <c r="RFM41" s="52"/>
      <c r="RFN41" s="52"/>
      <c r="RFO41" s="52"/>
      <c r="RFP41" s="52"/>
      <c r="RFQ41" s="52"/>
      <c r="RFR41" s="52"/>
      <c r="RFS41" s="52"/>
      <c r="RFT41" s="52"/>
      <c r="RFU41" s="52"/>
      <c r="RFV41" s="52"/>
      <c r="RFW41" s="52"/>
      <c r="RFX41" s="52"/>
      <c r="RFY41" s="52"/>
      <c r="RFZ41" s="52"/>
      <c r="RGA41" s="52"/>
      <c r="RGB41" s="52"/>
      <c r="RGC41" s="52"/>
      <c r="RGD41" s="52"/>
      <c r="RGE41" s="52"/>
      <c r="RGF41" s="52"/>
      <c r="RGG41" s="52"/>
      <c r="RGH41" s="52"/>
      <c r="RGI41" s="52"/>
      <c r="RGJ41" s="52"/>
      <c r="RGK41" s="52"/>
      <c r="RGL41" s="52"/>
      <c r="RGM41" s="52"/>
      <c r="RGN41" s="52"/>
      <c r="RGO41" s="52"/>
      <c r="RGP41" s="52"/>
      <c r="RGQ41" s="52"/>
      <c r="RGR41" s="52"/>
      <c r="RGS41" s="52"/>
      <c r="RGT41" s="52"/>
      <c r="RGU41" s="52"/>
      <c r="RGV41" s="52"/>
      <c r="RGW41" s="52"/>
      <c r="RGX41" s="52"/>
      <c r="RGY41" s="52"/>
      <c r="RGZ41" s="52"/>
      <c r="RHA41" s="52"/>
      <c r="RHB41" s="52"/>
      <c r="RHC41" s="52"/>
      <c r="RHD41" s="52"/>
      <c r="RHE41" s="52"/>
      <c r="RHF41" s="52"/>
      <c r="RHG41" s="52"/>
      <c r="RHH41" s="52"/>
      <c r="RHI41" s="52"/>
      <c r="RHJ41" s="52"/>
      <c r="RHK41" s="52"/>
      <c r="RHL41" s="52"/>
      <c r="RHM41" s="52"/>
      <c r="RHN41" s="52"/>
      <c r="RHO41" s="52"/>
      <c r="RHP41" s="52"/>
      <c r="RHQ41" s="52"/>
      <c r="RHR41" s="52"/>
      <c r="RHS41" s="52"/>
      <c r="RHT41" s="52"/>
      <c r="RHU41" s="52"/>
      <c r="RHV41" s="52"/>
      <c r="RHW41" s="52"/>
      <c r="RHX41" s="52"/>
      <c r="RHY41" s="52"/>
      <c r="RHZ41" s="52"/>
      <c r="RIA41" s="52"/>
      <c r="RIB41" s="52"/>
      <c r="RIC41" s="52"/>
      <c r="RID41" s="52"/>
      <c r="RIE41" s="52"/>
      <c r="RIF41" s="52"/>
      <c r="RIG41" s="52"/>
      <c r="RIH41" s="52"/>
      <c r="RII41" s="52"/>
      <c r="RIJ41" s="52"/>
      <c r="RIK41" s="52"/>
      <c r="RIL41" s="52"/>
      <c r="RIM41" s="52"/>
      <c r="RIN41" s="52"/>
      <c r="RIO41" s="52"/>
      <c r="RIP41" s="52"/>
      <c r="RIQ41" s="52"/>
      <c r="RIR41" s="52"/>
      <c r="RIS41" s="52"/>
      <c r="RIT41" s="52"/>
      <c r="RIU41" s="52"/>
      <c r="RIV41" s="52"/>
      <c r="RIW41" s="52"/>
      <c r="RIX41" s="52"/>
      <c r="RIY41" s="52"/>
      <c r="RIZ41" s="52"/>
      <c r="RJA41" s="52"/>
      <c r="RJB41" s="52"/>
      <c r="RJC41" s="52"/>
      <c r="RJD41" s="52"/>
      <c r="RJE41" s="52"/>
      <c r="RJF41" s="52"/>
      <c r="RJG41" s="52"/>
      <c r="RJH41" s="52"/>
      <c r="RJI41" s="52"/>
      <c r="RJJ41" s="52"/>
      <c r="RJK41" s="52"/>
      <c r="RJL41" s="52"/>
      <c r="RJM41" s="52"/>
      <c r="RJN41" s="52"/>
      <c r="RJO41" s="52"/>
      <c r="RJP41" s="52"/>
      <c r="RJQ41" s="52"/>
      <c r="RJR41" s="52"/>
      <c r="RJS41" s="52"/>
      <c r="RJT41" s="52"/>
      <c r="RJU41" s="52"/>
      <c r="RJV41" s="52"/>
      <c r="RJW41" s="52"/>
      <c r="RJX41" s="52"/>
      <c r="RJY41" s="52"/>
      <c r="RJZ41" s="52"/>
      <c r="RKA41" s="52"/>
      <c r="RKB41" s="52"/>
      <c r="RKC41" s="52"/>
      <c r="RKD41" s="52"/>
      <c r="RKE41" s="52"/>
      <c r="RKF41" s="52"/>
      <c r="RKG41" s="52"/>
      <c r="RKH41" s="52"/>
      <c r="RKI41" s="52"/>
      <c r="RKJ41" s="52"/>
      <c r="RKK41" s="52"/>
      <c r="RKL41" s="52"/>
      <c r="RKM41" s="52"/>
      <c r="RKN41" s="52"/>
      <c r="RKO41" s="52"/>
      <c r="RKP41" s="52"/>
      <c r="RKQ41" s="52"/>
      <c r="RKR41" s="52"/>
      <c r="RKS41" s="52"/>
      <c r="RKT41" s="52"/>
      <c r="RKU41" s="52"/>
      <c r="RKV41" s="52"/>
      <c r="RKW41" s="52"/>
      <c r="RKX41" s="52"/>
      <c r="RKY41" s="52"/>
      <c r="RKZ41" s="52"/>
      <c r="RLA41" s="52"/>
      <c r="RLB41" s="52"/>
      <c r="RLC41" s="52"/>
      <c r="RLD41" s="52"/>
      <c r="RLE41" s="52"/>
      <c r="RLF41" s="52"/>
      <c r="RLG41" s="52"/>
      <c r="RLH41" s="52"/>
      <c r="RLI41" s="52"/>
      <c r="RLJ41" s="52"/>
      <c r="RLK41" s="52"/>
      <c r="RLL41" s="52"/>
      <c r="RLM41" s="52"/>
      <c r="RLN41" s="52"/>
      <c r="RLO41" s="52"/>
      <c r="RLP41" s="52"/>
      <c r="RLQ41" s="52"/>
      <c r="RLR41" s="52"/>
      <c r="RLS41" s="52"/>
      <c r="RLT41" s="52"/>
      <c r="RLU41" s="52"/>
      <c r="RLV41" s="52"/>
      <c r="RLW41" s="52"/>
      <c r="RLX41" s="52"/>
      <c r="RLY41" s="52"/>
      <c r="RLZ41" s="52"/>
      <c r="RMA41" s="52"/>
      <c r="RMB41" s="52"/>
      <c r="RMC41" s="52"/>
      <c r="RMD41" s="52"/>
      <c r="RME41" s="52"/>
      <c r="RMF41" s="52"/>
      <c r="RMG41" s="52"/>
      <c r="RMH41" s="52"/>
      <c r="RMI41" s="52"/>
      <c r="RMJ41" s="52"/>
      <c r="RMK41" s="52"/>
      <c r="RML41" s="52"/>
      <c r="RMM41" s="52"/>
      <c r="RMN41" s="52"/>
      <c r="RMO41" s="52"/>
      <c r="RMP41" s="52"/>
      <c r="RMQ41" s="52"/>
      <c r="RMR41" s="52"/>
      <c r="RMS41" s="52"/>
      <c r="RMT41" s="52"/>
      <c r="RMU41" s="52"/>
      <c r="RMV41" s="52"/>
      <c r="RMW41" s="52"/>
      <c r="RMX41" s="52"/>
      <c r="RMY41" s="52"/>
      <c r="RMZ41" s="52"/>
      <c r="RNA41" s="52"/>
      <c r="RNB41" s="52"/>
      <c r="RNC41" s="52"/>
      <c r="RND41" s="52"/>
      <c r="RNE41" s="52"/>
      <c r="RNF41" s="52"/>
      <c r="RNG41" s="52"/>
      <c r="RNH41" s="52"/>
      <c r="RNI41" s="52"/>
      <c r="RNJ41" s="52"/>
      <c r="RNK41" s="52"/>
      <c r="RNL41" s="52"/>
      <c r="RNM41" s="52"/>
      <c r="RNN41" s="52"/>
      <c r="RNO41" s="52"/>
      <c r="RNP41" s="52"/>
      <c r="RNQ41" s="52"/>
      <c r="RNR41" s="52"/>
      <c r="RNS41" s="52"/>
      <c r="RNT41" s="52"/>
      <c r="RNU41" s="52"/>
      <c r="RNV41" s="52"/>
      <c r="RNW41" s="52"/>
      <c r="RNX41" s="52"/>
      <c r="RNY41" s="52"/>
      <c r="RNZ41" s="52"/>
      <c r="ROA41" s="52"/>
      <c r="ROB41" s="52"/>
      <c r="ROC41" s="52"/>
      <c r="ROD41" s="52"/>
      <c r="ROE41" s="52"/>
      <c r="ROF41" s="52"/>
      <c r="ROG41" s="52"/>
      <c r="ROH41" s="52"/>
      <c r="ROI41" s="52"/>
      <c r="ROJ41" s="52"/>
      <c r="ROK41" s="52"/>
      <c r="ROL41" s="52"/>
      <c r="ROM41" s="52"/>
      <c r="RON41" s="52"/>
      <c r="ROO41" s="52"/>
      <c r="ROP41" s="52"/>
      <c r="ROQ41" s="52"/>
      <c r="ROR41" s="52"/>
      <c r="ROS41" s="52"/>
      <c r="ROT41" s="52"/>
      <c r="ROU41" s="52"/>
      <c r="ROV41" s="52"/>
      <c r="ROW41" s="52"/>
      <c r="ROX41" s="52"/>
      <c r="ROY41" s="52"/>
      <c r="ROZ41" s="52"/>
      <c r="RPA41" s="52"/>
      <c r="RPB41" s="52"/>
      <c r="RPC41" s="52"/>
      <c r="RPD41" s="52"/>
      <c r="RPE41" s="52"/>
      <c r="RPF41" s="52"/>
      <c r="RPG41" s="52"/>
      <c r="RPH41" s="52"/>
      <c r="RPI41" s="52"/>
      <c r="RPJ41" s="52"/>
      <c r="RPK41" s="52"/>
      <c r="RPL41" s="52"/>
      <c r="RPM41" s="52"/>
      <c r="RPN41" s="52"/>
      <c r="RPO41" s="52"/>
      <c r="RPP41" s="52"/>
      <c r="RPQ41" s="52"/>
      <c r="RPR41" s="52"/>
      <c r="RPS41" s="52"/>
      <c r="RPT41" s="52"/>
      <c r="RPU41" s="52"/>
      <c r="RPV41" s="52"/>
      <c r="RPW41" s="52"/>
      <c r="RPX41" s="52"/>
      <c r="RPY41" s="52"/>
      <c r="RPZ41" s="52"/>
      <c r="RQA41" s="52"/>
      <c r="RQB41" s="52"/>
      <c r="RQC41" s="52"/>
      <c r="RQD41" s="52"/>
      <c r="RQE41" s="52"/>
      <c r="RQF41" s="52"/>
      <c r="RQG41" s="52"/>
      <c r="RQH41" s="52"/>
      <c r="RQI41" s="52"/>
      <c r="RQJ41" s="52"/>
      <c r="RQK41" s="52"/>
      <c r="RQL41" s="52"/>
      <c r="RQM41" s="52"/>
      <c r="RQN41" s="52"/>
      <c r="RQO41" s="52"/>
      <c r="RQP41" s="52"/>
      <c r="RQQ41" s="52"/>
      <c r="RQR41" s="52"/>
      <c r="RQS41" s="52"/>
      <c r="RQT41" s="52"/>
      <c r="RQU41" s="52"/>
      <c r="RQV41" s="52"/>
      <c r="RQW41" s="52"/>
      <c r="RQX41" s="52"/>
      <c r="RQY41" s="52"/>
      <c r="RQZ41" s="52"/>
      <c r="RRA41" s="52"/>
      <c r="RRB41" s="52"/>
      <c r="RRC41" s="52"/>
      <c r="RRD41" s="52"/>
      <c r="RRE41" s="52"/>
      <c r="RRF41" s="52"/>
      <c r="RRG41" s="52"/>
      <c r="RRH41" s="52"/>
      <c r="RRI41" s="52"/>
      <c r="RRJ41" s="52"/>
      <c r="RRK41" s="52"/>
      <c r="RRL41" s="52"/>
      <c r="RRM41" s="52"/>
      <c r="RRN41" s="52"/>
      <c r="RRO41" s="52"/>
      <c r="RRP41" s="52"/>
      <c r="RRQ41" s="52"/>
      <c r="RRR41" s="52"/>
      <c r="RRS41" s="52"/>
      <c r="RRT41" s="52"/>
      <c r="RRU41" s="52"/>
      <c r="RRV41" s="52"/>
      <c r="RRW41" s="52"/>
      <c r="RRX41" s="52"/>
      <c r="RRY41" s="52"/>
      <c r="RRZ41" s="52"/>
      <c r="RSA41" s="52"/>
      <c r="RSB41" s="52"/>
      <c r="RSC41" s="52"/>
      <c r="RSD41" s="52"/>
      <c r="RSE41" s="52"/>
      <c r="RSF41" s="52"/>
      <c r="RSG41" s="52"/>
      <c r="RSH41" s="52"/>
      <c r="RSI41" s="52"/>
      <c r="RSJ41" s="52"/>
      <c r="RSK41" s="52"/>
      <c r="RSL41" s="52"/>
      <c r="RSM41" s="52"/>
      <c r="RSN41" s="52"/>
      <c r="RSO41" s="52"/>
      <c r="RSP41" s="52"/>
      <c r="RSQ41" s="52"/>
      <c r="RSR41" s="52"/>
      <c r="RSS41" s="52"/>
      <c r="RST41" s="52"/>
      <c r="RSU41" s="52"/>
      <c r="RSV41" s="52"/>
      <c r="RSW41" s="52"/>
      <c r="RSX41" s="52"/>
      <c r="RSY41" s="52"/>
      <c r="RSZ41" s="52"/>
      <c r="RTA41" s="52"/>
      <c r="RTB41" s="52"/>
      <c r="RTC41" s="52"/>
      <c r="RTD41" s="52"/>
      <c r="RTE41" s="52"/>
      <c r="RTF41" s="52"/>
      <c r="RTG41" s="52"/>
      <c r="RTH41" s="52"/>
      <c r="RTI41" s="52"/>
      <c r="RTJ41" s="52"/>
      <c r="RTK41" s="52"/>
      <c r="RTL41" s="52"/>
      <c r="RTM41" s="52"/>
      <c r="RTN41" s="52"/>
      <c r="RTO41" s="52"/>
      <c r="RTP41" s="52"/>
      <c r="RTQ41" s="52"/>
      <c r="RTR41" s="52"/>
      <c r="RTS41" s="52"/>
      <c r="RTT41" s="52"/>
      <c r="RTU41" s="52"/>
      <c r="RTV41" s="52"/>
      <c r="RTW41" s="52"/>
      <c r="RTX41" s="52"/>
      <c r="RTY41" s="52"/>
      <c r="RTZ41" s="52"/>
      <c r="RUA41" s="52"/>
      <c r="RUB41" s="52"/>
      <c r="RUC41" s="52"/>
      <c r="RUD41" s="52"/>
      <c r="RUE41" s="52"/>
      <c r="RUF41" s="52"/>
      <c r="RUG41" s="52"/>
      <c r="RUH41" s="52"/>
      <c r="RUI41" s="52"/>
      <c r="RUJ41" s="52"/>
      <c r="RUK41" s="52"/>
      <c r="RUL41" s="52"/>
      <c r="RUM41" s="52"/>
      <c r="RUN41" s="52"/>
      <c r="RUO41" s="52"/>
      <c r="RUP41" s="52"/>
      <c r="RUQ41" s="52"/>
      <c r="RUR41" s="52"/>
      <c r="RUS41" s="52"/>
      <c r="RUT41" s="52"/>
      <c r="RUU41" s="52"/>
      <c r="RUV41" s="52"/>
      <c r="RUW41" s="52"/>
      <c r="RUX41" s="52"/>
      <c r="RUY41" s="52"/>
      <c r="RUZ41" s="52"/>
      <c r="RVA41" s="52"/>
      <c r="RVB41" s="52"/>
      <c r="RVC41" s="52"/>
      <c r="RVD41" s="52"/>
      <c r="RVE41" s="52"/>
      <c r="RVF41" s="52"/>
      <c r="RVG41" s="52"/>
      <c r="RVH41" s="52"/>
      <c r="RVI41" s="52"/>
      <c r="RVJ41" s="52"/>
      <c r="RVK41" s="52"/>
      <c r="RVL41" s="52"/>
      <c r="RVM41" s="52"/>
      <c r="RVN41" s="52"/>
      <c r="RVO41" s="52"/>
      <c r="RVP41" s="52"/>
      <c r="RVQ41" s="52"/>
      <c r="RVR41" s="52"/>
      <c r="RVS41" s="52"/>
      <c r="RVT41" s="52"/>
      <c r="RVU41" s="52"/>
      <c r="RVV41" s="52"/>
      <c r="RVW41" s="52"/>
      <c r="RVX41" s="52"/>
      <c r="RVY41" s="52"/>
      <c r="RVZ41" s="52"/>
      <c r="RWA41" s="52"/>
      <c r="RWB41" s="52"/>
      <c r="RWC41" s="52"/>
      <c r="RWD41" s="52"/>
      <c r="RWE41" s="52"/>
      <c r="RWF41" s="52"/>
      <c r="RWG41" s="52"/>
      <c r="RWH41" s="52"/>
      <c r="RWI41" s="52"/>
      <c r="RWJ41" s="52"/>
      <c r="RWK41" s="52"/>
      <c r="RWL41" s="52"/>
      <c r="RWM41" s="52"/>
      <c r="RWN41" s="52"/>
      <c r="RWO41" s="52"/>
      <c r="RWP41" s="52"/>
      <c r="RWQ41" s="52"/>
      <c r="RWR41" s="52"/>
      <c r="RWS41" s="52"/>
      <c r="RWT41" s="52"/>
      <c r="RWU41" s="52"/>
      <c r="RWV41" s="52"/>
      <c r="RWW41" s="52"/>
      <c r="RWX41" s="52"/>
      <c r="RWY41" s="52"/>
      <c r="RWZ41" s="52"/>
      <c r="RXA41" s="52"/>
      <c r="RXB41" s="52"/>
      <c r="RXC41" s="52"/>
      <c r="RXD41" s="52"/>
      <c r="RXE41" s="52"/>
      <c r="RXF41" s="52"/>
      <c r="RXG41" s="52"/>
      <c r="RXH41" s="52"/>
      <c r="RXI41" s="52"/>
      <c r="RXJ41" s="52"/>
      <c r="RXK41" s="52"/>
      <c r="RXL41" s="52"/>
      <c r="RXM41" s="52"/>
      <c r="RXN41" s="52"/>
      <c r="RXO41" s="52"/>
      <c r="RXP41" s="52"/>
      <c r="RXQ41" s="52"/>
      <c r="RXR41" s="52"/>
      <c r="RXS41" s="52"/>
      <c r="RXT41" s="52"/>
      <c r="RXU41" s="52"/>
      <c r="RXV41" s="52"/>
      <c r="RXW41" s="52"/>
      <c r="RXX41" s="52"/>
      <c r="RXY41" s="52"/>
      <c r="RXZ41" s="52"/>
      <c r="RYA41" s="52"/>
      <c r="RYB41" s="52"/>
      <c r="RYC41" s="52"/>
      <c r="RYD41" s="52"/>
      <c r="RYE41" s="52"/>
      <c r="RYF41" s="52"/>
      <c r="RYG41" s="52"/>
      <c r="RYH41" s="52"/>
      <c r="RYI41" s="52"/>
      <c r="RYJ41" s="52"/>
      <c r="RYK41" s="52"/>
      <c r="RYL41" s="52"/>
      <c r="RYM41" s="52"/>
      <c r="RYN41" s="52"/>
      <c r="RYO41" s="52"/>
      <c r="RYP41" s="52"/>
      <c r="RYQ41" s="52"/>
      <c r="RYR41" s="52"/>
      <c r="RYS41" s="52"/>
      <c r="RYT41" s="52"/>
      <c r="RYU41" s="52"/>
      <c r="RYV41" s="52"/>
      <c r="RYW41" s="52"/>
      <c r="RYX41" s="52"/>
      <c r="RYY41" s="52"/>
      <c r="RYZ41" s="52"/>
      <c r="RZA41" s="52"/>
      <c r="RZB41" s="52"/>
      <c r="RZC41" s="52"/>
      <c r="RZD41" s="52"/>
      <c r="RZE41" s="52"/>
      <c r="RZF41" s="52"/>
      <c r="RZG41" s="52"/>
      <c r="RZH41" s="52"/>
      <c r="RZI41" s="52"/>
      <c r="RZJ41" s="52"/>
      <c r="RZK41" s="52"/>
      <c r="RZL41" s="52"/>
      <c r="RZM41" s="52"/>
      <c r="RZN41" s="52"/>
      <c r="RZO41" s="52"/>
      <c r="RZP41" s="52"/>
      <c r="RZQ41" s="52"/>
      <c r="RZR41" s="52"/>
      <c r="RZS41" s="52"/>
      <c r="RZT41" s="52"/>
      <c r="RZU41" s="52"/>
      <c r="RZV41" s="52"/>
      <c r="RZW41" s="52"/>
      <c r="RZX41" s="52"/>
      <c r="RZY41" s="52"/>
      <c r="RZZ41" s="52"/>
      <c r="SAA41" s="52"/>
      <c r="SAB41" s="52"/>
      <c r="SAC41" s="52"/>
      <c r="SAD41" s="52"/>
      <c r="SAE41" s="52"/>
      <c r="SAF41" s="52"/>
      <c r="SAG41" s="52"/>
      <c r="SAH41" s="52"/>
      <c r="SAI41" s="52"/>
      <c r="SAJ41" s="52"/>
      <c r="SAK41" s="52"/>
      <c r="SAL41" s="52"/>
      <c r="SAM41" s="52"/>
      <c r="SAN41" s="52"/>
      <c r="SAO41" s="52"/>
      <c r="SAP41" s="52"/>
      <c r="SAQ41" s="52"/>
      <c r="SAR41" s="52"/>
      <c r="SAS41" s="52"/>
      <c r="SAT41" s="52"/>
      <c r="SAU41" s="52"/>
      <c r="SAV41" s="52"/>
      <c r="SAW41" s="52"/>
      <c r="SAX41" s="52"/>
      <c r="SAY41" s="52"/>
      <c r="SAZ41" s="52"/>
      <c r="SBA41" s="52"/>
      <c r="SBB41" s="52"/>
      <c r="SBC41" s="52"/>
      <c r="SBD41" s="52"/>
      <c r="SBE41" s="52"/>
      <c r="SBF41" s="52"/>
      <c r="SBG41" s="52"/>
      <c r="SBH41" s="52"/>
      <c r="SBI41" s="52"/>
      <c r="SBJ41" s="52"/>
      <c r="SBK41" s="52"/>
      <c r="SBL41" s="52"/>
      <c r="SBM41" s="52"/>
      <c r="SBN41" s="52"/>
      <c r="SBO41" s="52"/>
      <c r="SBP41" s="52"/>
      <c r="SBQ41" s="52"/>
      <c r="SBR41" s="52"/>
      <c r="SBS41" s="52"/>
      <c r="SBT41" s="52"/>
      <c r="SBU41" s="52"/>
      <c r="SBV41" s="52"/>
      <c r="SBW41" s="52"/>
      <c r="SBX41" s="52"/>
      <c r="SBY41" s="52"/>
      <c r="SBZ41" s="52"/>
      <c r="SCA41" s="52"/>
      <c r="SCB41" s="52"/>
      <c r="SCC41" s="52"/>
      <c r="SCD41" s="52"/>
      <c r="SCE41" s="52"/>
      <c r="SCF41" s="52"/>
      <c r="SCG41" s="52"/>
      <c r="SCH41" s="52"/>
      <c r="SCI41" s="52"/>
      <c r="SCJ41" s="52"/>
      <c r="SCK41" s="52"/>
      <c r="SCL41" s="52"/>
      <c r="SCM41" s="52"/>
      <c r="SCN41" s="52"/>
      <c r="SCO41" s="52"/>
      <c r="SCP41" s="52"/>
      <c r="SCQ41" s="52"/>
      <c r="SCR41" s="52"/>
      <c r="SCS41" s="52"/>
      <c r="SCT41" s="52"/>
      <c r="SCU41" s="52"/>
      <c r="SCV41" s="52"/>
      <c r="SCW41" s="52"/>
      <c r="SCX41" s="52"/>
      <c r="SCY41" s="52"/>
      <c r="SCZ41" s="52"/>
      <c r="SDA41" s="52"/>
      <c r="SDB41" s="52"/>
      <c r="SDC41" s="52"/>
      <c r="SDD41" s="52"/>
      <c r="SDE41" s="52"/>
      <c r="SDF41" s="52"/>
      <c r="SDG41" s="52"/>
      <c r="SDH41" s="52"/>
      <c r="SDI41" s="52"/>
      <c r="SDJ41" s="52"/>
      <c r="SDK41" s="52"/>
      <c r="SDL41" s="52"/>
      <c r="SDM41" s="52"/>
      <c r="SDN41" s="52"/>
      <c r="SDO41" s="52"/>
      <c r="SDP41" s="52"/>
      <c r="SDQ41" s="52"/>
      <c r="SDR41" s="52"/>
      <c r="SDS41" s="52"/>
      <c r="SDT41" s="52"/>
      <c r="SDU41" s="52"/>
      <c r="SDV41" s="52"/>
      <c r="SDW41" s="52"/>
      <c r="SDX41" s="52"/>
      <c r="SDY41" s="52"/>
      <c r="SDZ41" s="52"/>
      <c r="SEA41" s="52"/>
      <c r="SEB41" s="52"/>
      <c r="SEC41" s="52"/>
      <c r="SED41" s="52"/>
      <c r="SEE41" s="52"/>
      <c r="SEF41" s="52"/>
      <c r="SEG41" s="52"/>
      <c r="SEH41" s="52"/>
      <c r="SEI41" s="52"/>
      <c r="SEJ41" s="52"/>
      <c r="SEK41" s="52"/>
      <c r="SEL41" s="52"/>
      <c r="SEM41" s="52"/>
      <c r="SEN41" s="52"/>
      <c r="SEO41" s="52"/>
      <c r="SEP41" s="52"/>
      <c r="SEQ41" s="52"/>
      <c r="SER41" s="52"/>
      <c r="SES41" s="52"/>
      <c r="SET41" s="52"/>
      <c r="SEU41" s="52"/>
      <c r="SEV41" s="52"/>
      <c r="SEW41" s="52"/>
      <c r="SEX41" s="52"/>
      <c r="SEY41" s="52"/>
      <c r="SEZ41" s="52"/>
      <c r="SFA41" s="52"/>
      <c r="SFB41" s="52"/>
      <c r="SFC41" s="52"/>
      <c r="SFD41" s="52"/>
      <c r="SFE41" s="52"/>
      <c r="SFF41" s="52"/>
      <c r="SFG41" s="52"/>
      <c r="SFH41" s="52"/>
      <c r="SFI41" s="52"/>
      <c r="SFJ41" s="52"/>
      <c r="SFK41" s="52"/>
      <c r="SFL41" s="52"/>
      <c r="SFM41" s="52"/>
      <c r="SFN41" s="52"/>
      <c r="SFO41" s="52"/>
      <c r="SFP41" s="52"/>
      <c r="SFQ41" s="52"/>
      <c r="SFR41" s="52"/>
      <c r="SFS41" s="52"/>
      <c r="SFT41" s="52"/>
      <c r="SFU41" s="52"/>
      <c r="SFV41" s="52"/>
      <c r="SFW41" s="52"/>
      <c r="SFX41" s="52"/>
      <c r="SFY41" s="52"/>
      <c r="SFZ41" s="52"/>
      <c r="SGA41" s="52"/>
      <c r="SGB41" s="52"/>
      <c r="SGC41" s="52"/>
      <c r="SGD41" s="52"/>
      <c r="SGE41" s="52"/>
      <c r="SGF41" s="52"/>
      <c r="SGG41" s="52"/>
      <c r="SGH41" s="52"/>
      <c r="SGI41" s="52"/>
      <c r="SGJ41" s="52"/>
      <c r="SGK41" s="52"/>
      <c r="SGL41" s="52"/>
      <c r="SGM41" s="52"/>
      <c r="SGN41" s="52"/>
      <c r="SGO41" s="52"/>
      <c r="SGP41" s="52"/>
      <c r="SGQ41" s="52"/>
      <c r="SGR41" s="52"/>
      <c r="SGS41" s="52"/>
      <c r="SGT41" s="52"/>
      <c r="SGU41" s="52"/>
      <c r="SGV41" s="52"/>
      <c r="SGW41" s="52"/>
      <c r="SGX41" s="52"/>
      <c r="SGY41" s="52"/>
      <c r="SGZ41" s="52"/>
      <c r="SHA41" s="52"/>
      <c r="SHB41" s="52"/>
      <c r="SHC41" s="52"/>
      <c r="SHD41" s="52"/>
      <c r="SHE41" s="52"/>
      <c r="SHF41" s="52"/>
      <c r="SHG41" s="52"/>
      <c r="SHH41" s="52"/>
      <c r="SHI41" s="52"/>
      <c r="SHJ41" s="52"/>
      <c r="SHK41" s="52"/>
      <c r="SHL41" s="52"/>
      <c r="SHM41" s="52"/>
      <c r="SHN41" s="52"/>
      <c r="SHO41" s="52"/>
      <c r="SHP41" s="52"/>
      <c r="SHQ41" s="52"/>
      <c r="SHR41" s="52"/>
      <c r="SHS41" s="52"/>
      <c r="SHT41" s="52"/>
      <c r="SHU41" s="52"/>
      <c r="SHV41" s="52"/>
      <c r="SHW41" s="52"/>
      <c r="SHX41" s="52"/>
      <c r="SHY41" s="52"/>
      <c r="SHZ41" s="52"/>
      <c r="SIA41" s="52"/>
      <c r="SIB41" s="52"/>
      <c r="SIC41" s="52"/>
      <c r="SID41" s="52"/>
      <c r="SIE41" s="52"/>
      <c r="SIF41" s="52"/>
      <c r="SIG41" s="52"/>
      <c r="SIH41" s="52"/>
      <c r="SII41" s="52"/>
      <c r="SIJ41" s="52"/>
      <c r="SIK41" s="52"/>
      <c r="SIL41" s="52"/>
      <c r="SIM41" s="52"/>
      <c r="SIN41" s="52"/>
      <c r="SIO41" s="52"/>
      <c r="SIP41" s="52"/>
      <c r="SIQ41" s="52"/>
      <c r="SIR41" s="52"/>
      <c r="SIS41" s="52"/>
      <c r="SIT41" s="52"/>
      <c r="SIU41" s="52"/>
      <c r="SIV41" s="52"/>
      <c r="SIW41" s="52"/>
      <c r="SIX41" s="52"/>
      <c r="SIY41" s="52"/>
      <c r="SIZ41" s="52"/>
      <c r="SJA41" s="52"/>
      <c r="SJB41" s="52"/>
      <c r="SJC41" s="52"/>
      <c r="SJD41" s="52"/>
      <c r="SJE41" s="52"/>
      <c r="SJF41" s="52"/>
      <c r="SJG41" s="52"/>
      <c r="SJH41" s="52"/>
      <c r="SJI41" s="52"/>
      <c r="SJJ41" s="52"/>
      <c r="SJK41" s="52"/>
      <c r="SJL41" s="52"/>
      <c r="SJM41" s="52"/>
      <c r="SJN41" s="52"/>
      <c r="SJO41" s="52"/>
      <c r="SJP41" s="52"/>
      <c r="SJQ41" s="52"/>
      <c r="SJR41" s="52"/>
      <c r="SJS41" s="52"/>
      <c r="SJT41" s="52"/>
      <c r="SJU41" s="52"/>
      <c r="SJV41" s="52"/>
      <c r="SJW41" s="52"/>
      <c r="SJX41" s="52"/>
      <c r="SJY41" s="52"/>
      <c r="SJZ41" s="52"/>
      <c r="SKA41" s="52"/>
      <c r="SKB41" s="52"/>
      <c r="SKC41" s="52"/>
      <c r="SKD41" s="52"/>
      <c r="SKE41" s="52"/>
      <c r="SKF41" s="52"/>
      <c r="SKG41" s="52"/>
      <c r="SKH41" s="52"/>
      <c r="SKI41" s="52"/>
      <c r="SKJ41" s="52"/>
      <c r="SKK41" s="52"/>
      <c r="SKL41" s="52"/>
      <c r="SKM41" s="52"/>
      <c r="SKN41" s="52"/>
      <c r="SKO41" s="52"/>
      <c r="SKP41" s="52"/>
      <c r="SKQ41" s="52"/>
      <c r="SKR41" s="52"/>
      <c r="SKS41" s="52"/>
      <c r="SKT41" s="52"/>
      <c r="SKU41" s="52"/>
      <c r="SKV41" s="52"/>
      <c r="SKW41" s="52"/>
      <c r="SKX41" s="52"/>
      <c r="SKY41" s="52"/>
      <c r="SKZ41" s="52"/>
      <c r="SLA41" s="52"/>
      <c r="SLB41" s="52"/>
      <c r="SLC41" s="52"/>
      <c r="SLD41" s="52"/>
      <c r="SLE41" s="52"/>
      <c r="SLF41" s="52"/>
      <c r="SLG41" s="52"/>
      <c r="SLH41" s="52"/>
      <c r="SLI41" s="52"/>
      <c r="SLJ41" s="52"/>
      <c r="SLK41" s="52"/>
      <c r="SLL41" s="52"/>
      <c r="SLM41" s="52"/>
      <c r="SLN41" s="52"/>
      <c r="SLO41" s="52"/>
      <c r="SLP41" s="52"/>
      <c r="SLQ41" s="52"/>
      <c r="SLR41" s="52"/>
      <c r="SLS41" s="52"/>
      <c r="SLT41" s="52"/>
      <c r="SLU41" s="52"/>
      <c r="SLV41" s="52"/>
      <c r="SLW41" s="52"/>
      <c r="SLX41" s="52"/>
      <c r="SLY41" s="52"/>
      <c r="SLZ41" s="52"/>
      <c r="SMA41" s="52"/>
      <c r="SMB41" s="52"/>
      <c r="SMC41" s="52"/>
      <c r="SMD41" s="52"/>
      <c r="SME41" s="52"/>
      <c r="SMF41" s="52"/>
      <c r="SMG41" s="52"/>
      <c r="SMH41" s="52"/>
      <c r="SMI41" s="52"/>
      <c r="SMJ41" s="52"/>
      <c r="SMK41" s="52"/>
      <c r="SML41" s="52"/>
      <c r="SMM41" s="52"/>
      <c r="SMN41" s="52"/>
      <c r="SMO41" s="52"/>
      <c r="SMP41" s="52"/>
      <c r="SMQ41" s="52"/>
      <c r="SMR41" s="52"/>
      <c r="SMS41" s="52"/>
      <c r="SMT41" s="52"/>
      <c r="SMU41" s="52"/>
      <c r="SMV41" s="52"/>
      <c r="SMW41" s="52"/>
      <c r="SMX41" s="52"/>
      <c r="SMY41" s="52"/>
      <c r="SMZ41" s="52"/>
      <c r="SNA41" s="52"/>
      <c r="SNB41" s="52"/>
      <c r="SNC41" s="52"/>
      <c r="SND41" s="52"/>
      <c r="SNE41" s="52"/>
      <c r="SNF41" s="52"/>
      <c r="SNG41" s="52"/>
      <c r="SNH41" s="52"/>
      <c r="SNI41" s="52"/>
      <c r="SNJ41" s="52"/>
      <c r="SNK41" s="52"/>
      <c r="SNL41" s="52"/>
      <c r="SNM41" s="52"/>
      <c r="SNN41" s="52"/>
      <c r="SNO41" s="52"/>
      <c r="SNP41" s="52"/>
      <c r="SNQ41" s="52"/>
      <c r="SNR41" s="52"/>
      <c r="SNS41" s="52"/>
      <c r="SNT41" s="52"/>
      <c r="SNU41" s="52"/>
      <c r="SNV41" s="52"/>
      <c r="SNW41" s="52"/>
      <c r="SNX41" s="52"/>
      <c r="SNY41" s="52"/>
      <c r="SNZ41" s="52"/>
      <c r="SOA41" s="52"/>
      <c r="SOB41" s="52"/>
      <c r="SOC41" s="52"/>
      <c r="SOD41" s="52"/>
      <c r="SOE41" s="52"/>
      <c r="SOF41" s="52"/>
      <c r="SOG41" s="52"/>
      <c r="SOH41" s="52"/>
      <c r="SOI41" s="52"/>
      <c r="SOJ41" s="52"/>
      <c r="SOK41" s="52"/>
      <c r="SOL41" s="52"/>
      <c r="SOM41" s="52"/>
      <c r="SON41" s="52"/>
      <c r="SOO41" s="52"/>
      <c r="SOP41" s="52"/>
      <c r="SOQ41" s="52"/>
      <c r="SOR41" s="52"/>
      <c r="SOS41" s="52"/>
      <c r="SOT41" s="52"/>
      <c r="SOU41" s="52"/>
      <c r="SOV41" s="52"/>
      <c r="SOW41" s="52"/>
      <c r="SOX41" s="52"/>
      <c r="SOY41" s="52"/>
      <c r="SOZ41" s="52"/>
      <c r="SPA41" s="52"/>
      <c r="SPB41" s="52"/>
      <c r="SPC41" s="52"/>
      <c r="SPD41" s="52"/>
      <c r="SPE41" s="52"/>
      <c r="SPF41" s="52"/>
      <c r="SPG41" s="52"/>
      <c r="SPH41" s="52"/>
      <c r="SPI41" s="52"/>
      <c r="SPJ41" s="52"/>
      <c r="SPK41" s="52"/>
      <c r="SPL41" s="52"/>
      <c r="SPM41" s="52"/>
      <c r="SPN41" s="52"/>
      <c r="SPO41" s="52"/>
      <c r="SPP41" s="52"/>
      <c r="SPQ41" s="52"/>
      <c r="SPR41" s="52"/>
      <c r="SPS41" s="52"/>
      <c r="SPT41" s="52"/>
      <c r="SPU41" s="52"/>
      <c r="SPV41" s="52"/>
      <c r="SPW41" s="52"/>
      <c r="SPX41" s="52"/>
      <c r="SPY41" s="52"/>
      <c r="SPZ41" s="52"/>
      <c r="SQA41" s="52"/>
      <c r="SQB41" s="52"/>
      <c r="SQC41" s="52"/>
      <c r="SQD41" s="52"/>
      <c r="SQE41" s="52"/>
      <c r="SQF41" s="52"/>
      <c r="SQG41" s="52"/>
      <c r="SQH41" s="52"/>
      <c r="SQI41" s="52"/>
      <c r="SQJ41" s="52"/>
      <c r="SQK41" s="52"/>
      <c r="SQL41" s="52"/>
      <c r="SQM41" s="52"/>
      <c r="SQN41" s="52"/>
      <c r="SQO41" s="52"/>
      <c r="SQP41" s="52"/>
      <c r="SQQ41" s="52"/>
      <c r="SQR41" s="52"/>
      <c r="SQS41" s="52"/>
      <c r="SQT41" s="52"/>
      <c r="SQU41" s="52"/>
      <c r="SQV41" s="52"/>
      <c r="SQW41" s="52"/>
      <c r="SQX41" s="52"/>
      <c r="SQY41" s="52"/>
      <c r="SQZ41" s="52"/>
      <c r="SRA41" s="52"/>
      <c r="SRB41" s="52"/>
      <c r="SRC41" s="52"/>
      <c r="SRD41" s="52"/>
      <c r="SRE41" s="52"/>
      <c r="SRF41" s="52"/>
      <c r="SRG41" s="52"/>
      <c r="SRH41" s="52"/>
      <c r="SRI41" s="52"/>
      <c r="SRJ41" s="52"/>
      <c r="SRK41" s="52"/>
      <c r="SRL41" s="52"/>
      <c r="SRM41" s="52"/>
      <c r="SRN41" s="52"/>
      <c r="SRO41" s="52"/>
      <c r="SRP41" s="52"/>
      <c r="SRQ41" s="52"/>
      <c r="SRR41" s="52"/>
      <c r="SRS41" s="52"/>
      <c r="SRT41" s="52"/>
      <c r="SRU41" s="52"/>
      <c r="SRV41" s="52"/>
      <c r="SRW41" s="52"/>
      <c r="SRX41" s="52"/>
      <c r="SRY41" s="52"/>
      <c r="SRZ41" s="52"/>
      <c r="SSA41" s="52"/>
      <c r="SSB41" s="52"/>
      <c r="SSC41" s="52"/>
      <c r="SSD41" s="52"/>
      <c r="SSE41" s="52"/>
      <c r="SSF41" s="52"/>
      <c r="SSG41" s="52"/>
      <c r="SSH41" s="52"/>
      <c r="SSI41" s="52"/>
      <c r="SSJ41" s="52"/>
      <c r="SSK41" s="52"/>
      <c r="SSL41" s="52"/>
      <c r="SSM41" s="52"/>
      <c r="SSN41" s="52"/>
      <c r="SSO41" s="52"/>
      <c r="SSP41" s="52"/>
      <c r="SSQ41" s="52"/>
      <c r="SSR41" s="52"/>
      <c r="SSS41" s="52"/>
      <c r="SST41" s="52"/>
      <c r="SSU41" s="52"/>
      <c r="SSV41" s="52"/>
      <c r="SSW41" s="52"/>
      <c r="SSX41" s="52"/>
      <c r="SSY41" s="52"/>
      <c r="SSZ41" s="52"/>
      <c r="STA41" s="52"/>
      <c r="STB41" s="52"/>
      <c r="STC41" s="52"/>
      <c r="STD41" s="52"/>
      <c r="STE41" s="52"/>
      <c r="STF41" s="52"/>
      <c r="STG41" s="52"/>
      <c r="STH41" s="52"/>
      <c r="STI41" s="52"/>
      <c r="STJ41" s="52"/>
      <c r="STK41" s="52"/>
      <c r="STL41" s="52"/>
      <c r="STM41" s="52"/>
      <c r="STN41" s="52"/>
      <c r="STO41" s="52"/>
      <c r="STP41" s="52"/>
      <c r="STQ41" s="52"/>
      <c r="STR41" s="52"/>
      <c r="STS41" s="52"/>
      <c r="STT41" s="52"/>
      <c r="STU41" s="52"/>
      <c r="STV41" s="52"/>
      <c r="STW41" s="52"/>
      <c r="STX41" s="52"/>
      <c r="STY41" s="52"/>
      <c r="STZ41" s="52"/>
      <c r="SUA41" s="52"/>
      <c r="SUB41" s="52"/>
      <c r="SUC41" s="52"/>
      <c r="SUD41" s="52"/>
      <c r="SUE41" s="52"/>
      <c r="SUF41" s="52"/>
      <c r="SUG41" s="52"/>
      <c r="SUH41" s="52"/>
      <c r="SUI41" s="52"/>
      <c r="SUJ41" s="52"/>
      <c r="SUK41" s="52"/>
      <c r="SUL41" s="52"/>
      <c r="SUM41" s="52"/>
      <c r="SUN41" s="52"/>
      <c r="SUO41" s="52"/>
      <c r="SUP41" s="52"/>
      <c r="SUQ41" s="52"/>
      <c r="SUR41" s="52"/>
      <c r="SUS41" s="52"/>
      <c r="SUT41" s="52"/>
      <c r="SUU41" s="52"/>
      <c r="SUV41" s="52"/>
      <c r="SUW41" s="52"/>
      <c r="SUX41" s="52"/>
      <c r="SUY41" s="52"/>
      <c r="SUZ41" s="52"/>
      <c r="SVA41" s="52"/>
      <c r="SVB41" s="52"/>
      <c r="SVC41" s="52"/>
      <c r="SVD41" s="52"/>
      <c r="SVE41" s="52"/>
      <c r="SVF41" s="52"/>
      <c r="SVG41" s="52"/>
      <c r="SVH41" s="52"/>
      <c r="SVI41" s="52"/>
      <c r="SVJ41" s="52"/>
      <c r="SVK41" s="52"/>
      <c r="SVL41" s="52"/>
      <c r="SVM41" s="52"/>
      <c r="SVN41" s="52"/>
      <c r="SVO41" s="52"/>
      <c r="SVP41" s="52"/>
      <c r="SVQ41" s="52"/>
      <c r="SVR41" s="52"/>
      <c r="SVS41" s="52"/>
      <c r="SVT41" s="52"/>
      <c r="SVU41" s="52"/>
      <c r="SVV41" s="52"/>
      <c r="SVW41" s="52"/>
      <c r="SVX41" s="52"/>
      <c r="SVY41" s="52"/>
      <c r="SVZ41" s="52"/>
      <c r="SWA41" s="52"/>
      <c r="SWB41" s="52"/>
      <c r="SWC41" s="52"/>
      <c r="SWD41" s="52"/>
      <c r="SWE41" s="52"/>
      <c r="SWF41" s="52"/>
      <c r="SWG41" s="52"/>
      <c r="SWH41" s="52"/>
      <c r="SWI41" s="52"/>
      <c r="SWJ41" s="52"/>
      <c r="SWK41" s="52"/>
      <c r="SWL41" s="52"/>
      <c r="SWM41" s="52"/>
      <c r="SWN41" s="52"/>
      <c r="SWO41" s="52"/>
      <c r="SWP41" s="52"/>
      <c r="SWQ41" s="52"/>
      <c r="SWR41" s="52"/>
      <c r="SWS41" s="52"/>
      <c r="SWT41" s="52"/>
      <c r="SWU41" s="52"/>
      <c r="SWV41" s="52"/>
      <c r="SWW41" s="52"/>
      <c r="SWX41" s="52"/>
      <c r="SWY41" s="52"/>
      <c r="SWZ41" s="52"/>
      <c r="SXA41" s="52"/>
      <c r="SXB41" s="52"/>
      <c r="SXC41" s="52"/>
      <c r="SXD41" s="52"/>
      <c r="SXE41" s="52"/>
      <c r="SXF41" s="52"/>
      <c r="SXG41" s="52"/>
      <c r="SXH41" s="52"/>
      <c r="SXI41" s="52"/>
      <c r="SXJ41" s="52"/>
      <c r="SXK41" s="52"/>
      <c r="SXL41" s="52"/>
      <c r="SXM41" s="52"/>
      <c r="SXN41" s="52"/>
      <c r="SXO41" s="52"/>
      <c r="SXP41" s="52"/>
      <c r="SXQ41" s="52"/>
      <c r="SXR41" s="52"/>
      <c r="SXS41" s="52"/>
      <c r="SXT41" s="52"/>
      <c r="SXU41" s="52"/>
      <c r="SXV41" s="52"/>
      <c r="SXW41" s="52"/>
      <c r="SXX41" s="52"/>
      <c r="SXY41" s="52"/>
      <c r="SXZ41" s="52"/>
      <c r="SYA41" s="52"/>
      <c r="SYB41" s="52"/>
      <c r="SYC41" s="52"/>
      <c r="SYD41" s="52"/>
      <c r="SYE41" s="52"/>
      <c r="SYF41" s="52"/>
      <c r="SYG41" s="52"/>
      <c r="SYH41" s="52"/>
      <c r="SYI41" s="52"/>
      <c r="SYJ41" s="52"/>
      <c r="SYK41" s="52"/>
      <c r="SYL41" s="52"/>
      <c r="SYM41" s="52"/>
      <c r="SYN41" s="52"/>
      <c r="SYO41" s="52"/>
      <c r="SYP41" s="52"/>
      <c r="SYQ41" s="52"/>
      <c r="SYR41" s="52"/>
      <c r="SYS41" s="52"/>
      <c r="SYT41" s="52"/>
      <c r="SYU41" s="52"/>
      <c r="SYV41" s="52"/>
      <c r="SYW41" s="52"/>
      <c r="SYX41" s="52"/>
      <c r="SYY41" s="52"/>
      <c r="SYZ41" s="52"/>
      <c r="SZA41" s="52"/>
      <c r="SZB41" s="52"/>
      <c r="SZC41" s="52"/>
      <c r="SZD41" s="52"/>
      <c r="SZE41" s="52"/>
      <c r="SZF41" s="52"/>
      <c r="SZG41" s="52"/>
      <c r="SZH41" s="52"/>
      <c r="SZI41" s="52"/>
      <c r="SZJ41" s="52"/>
      <c r="SZK41" s="52"/>
      <c r="SZL41" s="52"/>
      <c r="SZM41" s="52"/>
      <c r="SZN41" s="52"/>
      <c r="SZO41" s="52"/>
      <c r="SZP41" s="52"/>
      <c r="SZQ41" s="52"/>
      <c r="SZR41" s="52"/>
      <c r="SZS41" s="52"/>
      <c r="SZT41" s="52"/>
      <c r="SZU41" s="52"/>
      <c r="SZV41" s="52"/>
      <c r="SZW41" s="52"/>
      <c r="SZX41" s="52"/>
      <c r="SZY41" s="52"/>
      <c r="SZZ41" s="52"/>
      <c r="TAA41" s="52"/>
      <c r="TAB41" s="52"/>
      <c r="TAC41" s="52"/>
      <c r="TAD41" s="52"/>
      <c r="TAE41" s="52"/>
      <c r="TAF41" s="52"/>
      <c r="TAG41" s="52"/>
      <c r="TAH41" s="52"/>
      <c r="TAI41" s="52"/>
      <c r="TAJ41" s="52"/>
      <c r="TAK41" s="52"/>
      <c r="TAL41" s="52"/>
      <c r="TAM41" s="52"/>
      <c r="TAN41" s="52"/>
      <c r="TAO41" s="52"/>
      <c r="TAP41" s="52"/>
      <c r="TAQ41" s="52"/>
      <c r="TAR41" s="52"/>
      <c r="TAS41" s="52"/>
      <c r="TAT41" s="52"/>
      <c r="TAU41" s="52"/>
      <c r="TAV41" s="52"/>
      <c r="TAW41" s="52"/>
      <c r="TAX41" s="52"/>
      <c r="TAY41" s="52"/>
      <c r="TAZ41" s="52"/>
      <c r="TBA41" s="52"/>
      <c r="TBB41" s="52"/>
      <c r="TBC41" s="52"/>
      <c r="TBD41" s="52"/>
      <c r="TBE41" s="52"/>
      <c r="TBF41" s="52"/>
      <c r="TBG41" s="52"/>
      <c r="TBH41" s="52"/>
      <c r="TBI41" s="52"/>
      <c r="TBJ41" s="52"/>
      <c r="TBK41" s="52"/>
      <c r="TBL41" s="52"/>
      <c r="TBM41" s="52"/>
      <c r="TBN41" s="52"/>
      <c r="TBO41" s="52"/>
      <c r="TBP41" s="52"/>
      <c r="TBQ41" s="52"/>
      <c r="TBR41" s="52"/>
      <c r="TBS41" s="52"/>
      <c r="TBT41" s="52"/>
      <c r="TBU41" s="52"/>
      <c r="TBV41" s="52"/>
      <c r="TBW41" s="52"/>
      <c r="TBX41" s="52"/>
      <c r="TBY41" s="52"/>
      <c r="TBZ41" s="52"/>
      <c r="TCA41" s="52"/>
      <c r="TCB41" s="52"/>
      <c r="TCC41" s="52"/>
      <c r="TCD41" s="52"/>
      <c r="TCE41" s="52"/>
      <c r="TCF41" s="52"/>
      <c r="TCG41" s="52"/>
      <c r="TCH41" s="52"/>
      <c r="TCI41" s="52"/>
      <c r="TCJ41" s="52"/>
      <c r="TCK41" s="52"/>
      <c r="TCL41" s="52"/>
      <c r="TCM41" s="52"/>
      <c r="TCN41" s="52"/>
      <c r="TCO41" s="52"/>
      <c r="TCP41" s="52"/>
      <c r="TCQ41" s="52"/>
      <c r="TCR41" s="52"/>
      <c r="TCS41" s="52"/>
      <c r="TCT41" s="52"/>
      <c r="TCU41" s="52"/>
      <c r="TCV41" s="52"/>
      <c r="TCW41" s="52"/>
      <c r="TCX41" s="52"/>
      <c r="TCY41" s="52"/>
      <c r="TCZ41" s="52"/>
      <c r="TDA41" s="52"/>
      <c r="TDB41" s="52"/>
      <c r="TDC41" s="52"/>
      <c r="TDD41" s="52"/>
      <c r="TDE41" s="52"/>
      <c r="TDF41" s="52"/>
      <c r="TDG41" s="52"/>
      <c r="TDH41" s="52"/>
      <c r="TDI41" s="52"/>
      <c r="TDJ41" s="52"/>
      <c r="TDK41" s="52"/>
      <c r="TDL41" s="52"/>
      <c r="TDM41" s="52"/>
      <c r="TDN41" s="52"/>
      <c r="TDO41" s="52"/>
      <c r="TDP41" s="52"/>
      <c r="TDQ41" s="52"/>
      <c r="TDR41" s="52"/>
      <c r="TDS41" s="52"/>
      <c r="TDT41" s="52"/>
      <c r="TDU41" s="52"/>
      <c r="TDV41" s="52"/>
      <c r="TDW41" s="52"/>
      <c r="TDX41" s="52"/>
      <c r="TDY41" s="52"/>
      <c r="TDZ41" s="52"/>
      <c r="TEA41" s="52"/>
      <c r="TEB41" s="52"/>
      <c r="TEC41" s="52"/>
      <c r="TED41" s="52"/>
      <c r="TEE41" s="52"/>
      <c r="TEF41" s="52"/>
      <c r="TEG41" s="52"/>
      <c r="TEH41" s="52"/>
      <c r="TEI41" s="52"/>
      <c r="TEJ41" s="52"/>
      <c r="TEK41" s="52"/>
      <c r="TEL41" s="52"/>
      <c r="TEM41" s="52"/>
      <c r="TEN41" s="52"/>
      <c r="TEO41" s="52"/>
      <c r="TEP41" s="52"/>
      <c r="TEQ41" s="52"/>
      <c r="TER41" s="52"/>
      <c r="TES41" s="52"/>
      <c r="TET41" s="52"/>
      <c r="TEU41" s="52"/>
      <c r="TEV41" s="52"/>
      <c r="TEW41" s="52"/>
      <c r="TEX41" s="52"/>
      <c r="TEY41" s="52"/>
      <c r="TEZ41" s="52"/>
      <c r="TFA41" s="52"/>
      <c r="TFB41" s="52"/>
      <c r="TFC41" s="52"/>
      <c r="TFD41" s="52"/>
      <c r="TFE41" s="52"/>
      <c r="TFF41" s="52"/>
      <c r="TFG41" s="52"/>
      <c r="TFH41" s="52"/>
      <c r="TFI41" s="52"/>
      <c r="TFJ41" s="52"/>
      <c r="TFK41" s="52"/>
      <c r="TFL41" s="52"/>
      <c r="TFM41" s="52"/>
      <c r="TFN41" s="52"/>
      <c r="TFO41" s="52"/>
      <c r="TFP41" s="52"/>
      <c r="TFQ41" s="52"/>
      <c r="TFR41" s="52"/>
      <c r="TFS41" s="52"/>
      <c r="TFT41" s="52"/>
      <c r="TFU41" s="52"/>
      <c r="TFV41" s="52"/>
      <c r="TFW41" s="52"/>
      <c r="TFX41" s="52"/>
      <c r="TFY41" s="52"/>
      <c r="TFZ41" s="52"/>
      <c r="TGA41" s="52"/>
      <c r="TGB41" s="52"/>
      <c r="TGC41" s="52"/>
      <c r="TGD41" s="52"/>
      <c r="TGE41" s="52"/>
      <c r="TGF41" s="52"/>
      <c r="TGG41" s="52"/>
      <c r="TGH41" s="52"/>
      <c r="TGI41" s="52"/>
      <c r="TGJ41" s="52"/>
      <c r="TGK41" s="52"/>
      <c r="TGL41" s="52"/>
      <c r="TGM41" s="52"/>
      <c r="TGN41" s="52"/>
      <c r="TGO41" s="52"/>
      <c r="TGP41" s="52"/>
      <c r="TGQ41" s="52"/>
      <c r="TGR41" s="52"/>
      <c r="TGS41" s="52"/>
      <c r="TGT41" s="52"/>
      <c r="TGU41" s="52"/>
      <c r="TGV41" s="52"/>
      <c r="TGW41" s="52"/>
      <c r="TGX41" s="52"/>
      <c r="TGY41" s="52"/>
      <c r="TGZ41" s="52"/>
      <c r="THA41" s="52"/>
      <c r="THB41" s="52"/>
      <c r="THC41" s="52"/>
      <c r="THD41" s="52"/>
      <c r="THE41" s="52"/>
      <c r="THF41" s="52"/>
      <c r="THG41" s="52"/>
      <c r="THH41" s="52"/>
      <c r="THI41" s="52"/>
      <c r="THJ41" s="52"/>
      <c r="THK41" s="52"/>
      <c r="THL41" s="52"/>
      <c r="THM41" s="52"/>
      <c r="THN41" s="52"/>
      <c r="THO41" s="52"/>
      <c r="THP41" s="52"/>
      <c r="THQ41" s="52"/>
      <c r="THR41" s="52"/>
      <c r="THS41" s="52"/>
      <c r="THT41" s="52"/>
      <c r="THU41" s="52"/>
      <c r="THV41" s="52"/>
      <c r="THW41" s="52"/>
      <c r="THX41" s="52"/>
      <c r="THY41" s="52"/>
      <c r="THZ41" s="52"/>
      <c r="TIA41" s="52"/>
      <c r="TIB41" s="52"/>
      <c r="TIC41" s="52"/>
      <c r="TID41" s="52"/>
      <c r="TIE41" s="52"/>
      <c r="TIF41" s="52"/>
      <c r="TIG41" s="52"/>
      <c r="TIH41" s="52"/>
      <c r="TII41" s="52"/>
      <c r="TIJ41" s="52"/>
      <c r="TIK41" s="52"/>
      <c r="TIL41" s="52"/>
      <c r="TIM41" s="52"/>
      <c r="TIN41" s="52"/>
      <c r="TIO41" s="52"/>
      <c r="TIP41" s="52"/>
      <c r="TIQ41" s="52"/>
      <c r="TIR41" s="52"/>
      <c r="TIS41" s="52"/>
      <c r="TIT41" s="52"/>
      <c r="TIU41" s="52"/>
      <c r="TIV41" s="52"/>
      <c r="TIW41" s="52"/>
      <c r="TIX41" s="52"/>
      <c r="TIY41" s="52"/>
      <c r="TIZ41" s="52"/>
      <c r="TJA41" s="52"/>
      <c r="TJB41" s="52"/>
      <c r="TJC41" s="52"/>
      <c r="TJD41" s="52"/>
      <c r="TJE41" s="52"/>
      <c r="TJF41" s="52"/>
      <c r="TJG41" s="52"/>
      <c r="TJH41" s="52"/>
      <c r="TJI41" s="52"/>
      <c r="TJJ41" s="52"/>
      <c r="TJK41" s="52"/>
      <c r="TJL41" s="52"/>
      <c r="TJM41" s="52"/>
      <c r="TJN41" s="52"/>
      <c r="TJO41" s="52"/>
      <c r="TJP41" s="52"/>
      <c r="TJQ41" s="52"/>
      <c r="TJR41" s="52"/>
      <c r="TJS41" s="52"/>
      <c r="TJT41" s="52"/>
      <c r="TJU41" s="52"/>
      <c r="TJV41" s="52"/>
      <c r="TJW41" s="52"/>
      <c r="TJX41" s="52"/>
      <c r="TJY41" s="52"/>
      <c r="TJZ41" s="52"/>
      <c r="TKA41" s="52"/>
      <c r="TKB41" s="52"/>
      <c r="TKC41" s="52"/>
      <c r="TKD41" s="52"/>
      <c r="TKE41" s="52"/>
      <c r="TKF41" s="52"/>
      <c r="TKG41" s="52"/>
      <c r="TKH41" s="52"/>
      <c r="TKI41" s="52"/>
      <c r="TKJ41" s="52"/>
      <c r="TKK41" s="52"/>
      <c r="TKL41" s="52"/>
      <c r="TKM41" s="52"/>
      <c r="TKN41" s="52"/>
      <c r="TKO41" s="52"/>
      <c r="TKP41" s="52"/>
      <c r="TKQ41" s="52"/>
      <c r="TKR41" s="52"/>
      <c r="TKS41" s="52"/>
      <c r="TKT41" s="52"/>
      <c r="TKU41" s="52"/>
      <c r="TKV41" s="52"/>
      <c r="TKW41" s="52"/>
      <c r="TKX41" s="52"/>
      <c r="TKY41" s="52"/>
      <c r="TKZ41" s="52"/>
      <c r="TLA41" s="52"/>
      <c r="TLB41" s="52"/>
      <c r="TLC41" s="52"/>
      <c r="TLD41" s="52"/>
      <c r="TLE41" s="52"/>
      <c r="TLF41" s="52"/>
      <c r="TLG41" s="52"/>
      <c r="TLH41" s="52"/>
      <c r="TLI41" s="52"/>
      <c r="TLJ41" s="52"/>
      <c r="TLK41" s="52"/>
      <c r="TLL41" s="52"/>
      <c r="TLM41" s="52"/>
      <c r="TLN41" s="52"/>
      <c r="TLO41" s="52"/>
      <c r="TLP41" s="52"/>
      <c r="TLQ41" s="52"/>
      <c r="TLR41" s="52"/>
      <c r="TLS41" s="52"/>
      <c r="TLT41" s="52"/>
      <c r="TLU41" s="52"/>
      <c r="TLV41" s="52"/>
      <c r="TLW41" s="52"/>
      <c r="TLX41" s="52"/>
      <c r="TLY41" s="52"/>
      <c r="TLZ41" s="52"/>
      <c r="TMA41" s="52"/>
      <c r="TMB41" s="52"/>
      <c r="TMC41" s="52"/>
      <c r="TMD41" s="52"/>
      <c r="TME41" s="52"/>
      <c r="TMF41" s="52"/>
      <c r="TMG41" s="52"/>
      <c r="TMH41" s="52"/>
      <c r="TMI41" s="52"/>
      <c r="TMJ41" s="52"/>
      <c r="TMK41" s="52"/>
      <c r="TML41" s="52"/>
      <c r="TMM41" s="52"/>
      <c r="TMN41" s="52"/>
      <c r="TMO41" s="52"/>
      <c r="TMP41" s="52"/>
      <c r="TMQ41" s="52"/>
      <c r="TMR41" s="52"/>
      <c r="TMS41" s="52"/>
      <c r="TMT41" s="52"/>
      <c r="TMU41" s="52"/>
      <c r="TMV41" s="52"/>
      <c r="TMW41" s="52"/>
      <c r="TMX41" s="52"/>
      <c r="TMY41" s="52"/>
      <c r="TMZ41" s="52"/>
      <c r="TNA41" s="52"/>
      <c r="TNB41" s="52"/>
      <c r="TNC41" s="52"/>
      <c r="TND41" s="52"/>
      <c r="TNE41" s="52"/>
      <c r="TNF41" s="52"/>
      <c r="TNG41" s="52"/>
      <c r="TNH41" s="52"/>
      <c r="TNI41" s="52"/>
      <c r="TNJ41" s="52"/>
      <c r="TNK41" s="52"/>
      <c r="TNL41" s="52"/>
      <c r="TNM41" s="52"/>
      <c r="TNN41" s="52"/>
      <c r="TNO41" s="52"/>
      <c r="TNP41" s="52"/>
      <c r="TNQ41" s="52"/>
      <c r="TNR41" s="52"/>
      <c r="TNS41" s="52"/>
      <c r="TNT41" s="52"/>
      <c r="TNU41" s="52"/>
      <c r="TNV41" s="52"/>
      <c r="TNW41" s="52"/>
      <c r="TNX41" s="52"/>
      <c r="TNY41" s="52"/>
      <c r="TNZ41" s="52"/>
      <c r="TOA41" s="52"/>
      <c r="TOB41" s="52"/>
      <c r="TOC41" s="52"/>
      <c r="TOD41" s="52"/>
      <c r="TOE41" s="52"/>
      <c r="TOF41" s="52"/>
      <c r="TOG41" s="52"/>
      <c r="TOH41" s="52"/>
      <c r="TOI41" s="52"/>
      <c r="TOJ41" s="52"/>
      <c r="TOK41" s="52"/>
      <c r="TOL41" s="52"/>
      <c r="TOM41" s="52"/>
      <c r="TON41" s="52"/>
      <c r="TOO41" s="52"/>
      <c r="TOP41" s="52"/>
      <c r="TOQ41" s="52"/>
      <c r="TOR41" s="52"/>
      <c r="TOS41" s="52"/>
      <c r="TOT41" s="52"/>
      <c r="TOU41" s="52"/>
      <c r="TOV41" s="52"/>
      <c r="TOW41" s="52"/>
      <c r="TOX41" s="52"/>
      <c r="TOY41" s="52"/>
      <c r="TOZ41" s="52"/>
      <c r="TPA41" s="52"/>
      <c r="TPB41" s="52"/>
      <c r="TPC41" s="52"/>
      <c r="TPD41" s="52"/>
      <c r="TPE41" s="52"/>
      <c r="TPF41" s="52"/>
      <c r="TPG41" s="52"/>
      <c r="TPH41" s="52"/>
      <c r="TPI41" s="52"/>
      <c r="TPJ41" s="52"/>
      <c r="TPK41" s="52"/>
      <c r="TPL41" s="52"/>
      <c r="TPM41" s="52"/>
      <c r="TPN41" s="52"/>
      <c r="TPO41" s="52"/>
      <c r="TPP41" s="52"/>
      <c r="TPQ41" s="52"/>
      <c r="TPR41" s="52"/>
      <c r="TPS41" s="52"/>
      <c r="TPT41" s="52"/>
      <c r="TPU41" s="52"/>
      <c r="TPV41" s="52"/>
      <c r="TPW41" s="52"/>
      <c r="TPX41" s="52"/>
      <c r="TPY41" s="52"/>
      <c r="TPZ41" s="52"/>
      <c r="TQA41" s="52"/>
      <c r="TQB41" s="52"/>
      <c r="TQC41" s="52"/>
      <c r="TQD41" s="52"/>
      <c r="TQE41" s="52"/>
      <c r="TQF41" s="52"/>
      <c r="TQG41" s="52"/>
      <c r="TQH41" s="52"/>
      <c r="TQI41" s="52"/>
      <c r="TQJ41" s="52"/>
      <c r="TQK41" s="52"/>
      <c r="TQL41" s="52"/>
      <c r="TQM41" s="52"/>
      <c r="TQN41" s="52"/>
      <c r="TQO41" s="52"/>
      <c r="TQP41" s="52"/>
      <c r="TQQ41" s="52"/>
      <c r="TQR41" s="52"/>
      <c r="TQS41" s="52"/>
      <c r="TQT41" s="52"/>
      <c r="TQU41" s="52"/>
      <c r="TQV41" s="52"/>
      <c r="TQW41" s="52"/>
      <c r="TQX41" s="52"/>
      <c r="TQY41" s="52"/>
      <c r="TQZ41" s="52"/>
      <c r="TRA41" s="52"/>
      <c r="TRB41" s="52"/>
      <c r="TRC41" s="52"/>
      <c r="TRD41" s="52"/>
      <c r="TRE41" s="52"/>
      <c r="TRF41" s="52"/>
      <c r="TRG41" s="52"/>
      <c r="TRH41" s="52"/>
      <c r="TRI41" s="52"/>
      <c r="TRJ41" s="52"/>
      <c r="TRK41" s="52"/>
      <c r="TRL41" s="52"/>
      <c r="TRM41" s="52"/>
      <c r="TRN41" s="52"/>
      <c r="TRO41" s="52"/>
      <c r="TRP41" s="52"/>
      <c r="TRQ41" s="52"/>
      <c r="TRR41" s="52"/>
      <c r="TRS41" s="52"/>
      <c r="TRT41" s="52"/>
      <c r="TRU41" s="52"/>
      <c r="TRV41" s="52"/>
      <c r="TRW41" s="52"/>
      <c r="TRX41" s="52"/>
      <c r="TRY41" s="52"/>
      <c r="TRZ41" s="52"/>
      <c r="TSA41" s="52"/>
      <c r="TSB41" s="52"/>
      <c r="TSC41" s="52"/>
      <c r="TSD41" s="52"/>
      <c r="TSE41" s="52"/>
      <c r="TSF41" s="52"/>
      <c r="TSG41" s="52"/>
      <c r="TSH41" s="52"/>
      <c r="TSI41" s="52"/>
      <c r="TSJ41" s="52"/>
      <c r="TSK41" s="52"/>
      <c r="TSL41" s="52"/>
      <c r="TSM41" s="52"/>
      <c r="TSN41" s="52"/>
      <c r="TSO41" s="52"/>
      <c r="TSP41" s="52"/>
      <c r="TSQ41" s="52"/>
      <c r="TSR41" s="52"/>
      <c r="TSS41" s="52"/>
      <c r="TST41" s="52"/>
      <c r="TSU41" s="52"/>
      <c r="TSV41" s="52"/>
      <c r="TSW41" s="52"/>
      <c r="TSX41" s="52"/>
      <c r="TSY41" s="52"/>
      <c r="TSZ41" s="52"/>
      <c r="TTA41" s="52"/>
      <c r="TTB41" s="52"/>
      <c r="TTC41" s="52"/>
      <c r="TTD41" s="52"/>
      <c r="TTE41" s="52"/>
      <c r="TTF41" s="52"/>
      <c r="TTG41" s="52"/>
      <c r="TTH41" s="52"/>
      <c r="TTI41" s="52"/>
      <c r="TTJ41" s="52"/>
      <c r="TTK41" s="52"/>
      <c r="TTL41" s="52"/>
      <c r="TTM41" s="52"/>
      <c r="TTN41" s="52"/>
      <c r="TTO41" s="52"/>
      <c r="TTP41" s="52"/>
      <c r="TTQ41" s="52"/>
      <c r="TTR41" s="52"/>
      <c r="TTS41" s="52"/>
      <c r="TTT41" s="52"/>
      <c r="TTU41" s="52"/>
      <c r="TTV41" s="52"/>
      <c r="TTW41" s="52"/>
      <c r="TTX41" s="52"/>
      <c r="TTY41" s="52"/>
      <c r="TTZ41" s="52"/>
      <c r="TUA41" s="52"/>
      <c r="TUB41" s="52"/>
      <c r="TUC41" s="52"/>
      <c r="TUD41" s="52"/>
      <c r="TUE41" s="52"/>
      <c r="TUF41" s="52"/>
      <c r="TUG41" s="52"/>
      <c r="TUH41" s="52"/>
      <c r="TUI41" s="52"/>
      <c r="TUJ41" s="52"/>
      <c r="TUK41" s="52"/>
      <c r="TUL41" s="52"/>
      <c r="TUM41" s="52"/>
      <c r="TUN41" s="52"/>
      <c r="TUO41" s="52"/>
      <c r="TUP41" s="52"/>
      <c r="TUQ41" s="52"/>
      <c r="TUR41" s="52"/>
      <c r="TUS41" s="52"/>
      <c r="TUT41" s="52"/>
      <c r="TUU41" s="52"/>
      <c r="TUV41" s="52"/>
      <c r="TUW41" s="52"/>
      <c r="TUX41" s="52"/>
      <c r="TUY41" s="52"/>
      <c r="TUZ41" s="52"/>
      <c r="TVA41" s="52"/>
      <c r="TVB41" s="52"/>
      <c r="TVC41" s="52"/>
      <c r="TVD41" s="52"/>
      <c r="TVE41" s="52"/>
      <c r="TVF41" s="52"/>
      <c r="TVG41" s="52"/>
      <c r="TVH41" s="52"/>
      <c r="TVI41" s="52"/>
      <c r="TVJ41" s="52"/>
      <c r="TVK41" s="52"/>
      <c r="TVL41" s="52"/>
      <c r="TVM41" s="52"/>
      <c r="TVN41" s="52"/>
      <c r="TVO41" s="52"/>
      <c r="TVP41" s="52"/>
      <c r="TVQ41" s="52"/>
      <c r="TVR41" s="52"/>
      <c r="TVS41" s="52"/>
      <c r="TVT41" s="52"/>
      <c r="TVU41" s="52"/>
      <c r="TVV41" s="52"/>
      <c r="TVW41" s="52"/>
      <c r="TVX41" s="52"/>
      <c r="TVY41" s="52"/>
      <c r="TVZ41" s="52"/>
      <c r="TWA41" s="52"/>
      <c r="TWB41" s="52"/>
      <c r="TWC41" s="52"/>
      <c r="TWD41" s="52"/>
      <c r="TWE41" s="52"/>
      <c r="TWF41" s="52"/>
      <c r="TWG41" s="52"/>
      <c r="TWH41" s="52"/>
      <c r="TWI41" s="52"/>
      <c r="TWJ41" s="52"/>
      <c r="TWK41" s="52"/>
      <c r="TWL41" s="52"/>
      <c r="TWM41" s="52"/>
      <c r="TWN41" s="52"/>
      <c r="TWO41" s="52"/>
      <c r="TWP41" s="52"/>
      <c r="TWQ41" s="52"/>
      <c r="TWR41" s="52"/>
      <c r="TWS41" s="52"/>
      <c r="TWT41" s="52"/>
      <c r="TWU41" s="52"/>
      <c r="TWV41" s="52"/>
      <c r="TWW41" s="52"/>
      <c r="TWX41" s="52"/>
      <c r="TWY41" s="52"/>
      <c r="TWZ41" s="52"/>
      <c r="TXA41" s="52"/>
      <c r="TXB41" s="52"/>
      <c r="TXC41" s="52"/>
      <c r="TXD41" s="52"/>
      <c r="TXE41" s="52"/>
      <c r="TXF41" s="52"/>
      <c r="TXG41" s="52"/>
      <c r="TXH41" s="52"/>
      <c r="TXI41" s="52"/>
      <c r="TXJ41" s="52"/>
      <c r="TXK41" s="52"/>
      <c r="TXL41" s="52"/>
      <c r="TXM41" s="52"/>
      <c r="TXN41" s="52"/>
      <c r="TXO41" s="52"/>
      <c r="TXP41" s="52"/>
      <c r="TXQ41" s="52"/>
      <c r="TXR41" s="52"/>
      <c r="TXS41" s="52"/>
      <c r="TXT41" s="52"/>
      <c r="TXU41" s="52"/>
      <c r="TXV41" s="52"/>
      <c r="TXW41" s="52"/>
      <c r="TXX41" s="52"/>
      <c r="TXY41" s="52"/>
      <c r="TXZ41" s="52"/>
      <c r="TYA41" s="52"/>
      <c r="TYB41" s="52"/>
      <c r="TYC41" s="52"/>
      <c r="TYD41" s="52"/>
      <c r="TYE41" s="52"/>
      <c r="TYF41" s="52"/>
      <c r="TYG41" s="52"/>
      <c r="TYH41" s="52"/>
      <c r="TYI41" s="52"/>
      <c r="TYJ41" s="52"/>
      <c r="TYK41" s="52"/>
      <c r="TYL41" s="52"/>
      <c r="TYM41" s="52"/>
      <c r="TYN41" s="52"/>
      <c r="TYO41" s="52"/>
      <c r="TYP41" s="52"/>
      <c r="TYQ41" s="52"/>
      <c r="TYR41" s="52"/>
      <c r="TYS41" s="52"/>
      <c r="TYT41" s="52"/>
      <c r="TYU41" s="52"/>
      <c r="TYV41" s="52"/>
      <c r="TYW41" s="52"/>
      <c r="TYX41" s="52"/>
      <c r="TYY41" s="52"/>
      <c r="TYZ41" s="52"/>
      <c r="TZA41" s="52"/>
      <c r="TZB41" s="52"/>
      <c r="TZC41" s="52"/>
      <c r="TZD41" s="52"/>
      <c r="TZE41" s="52"/>
      <c r="TZF41" s="52"/>
      <c r="TZG41" s="52"/>
      <c r="TZH41" s="52"/>
      <c r="TZI41" s="52"/>
      <c r="TZJ41" s="52"/>
      <c r="TZK41" s="52"/>
      <c r="TZL41" s="52"/>
      <c r="TZM41" s="52"/>
      <c r="TZN41" s="52"/>
      <c r="TZO41" s="52"/>
      <c r="TZP41" s="52"/>
      <c r="TZQ41" s="52"/>
      <c r="TZR41" s="52"/>
      <c r="TZS41" s="52"/>
      <c r="TZT41" s="52"/>
      <c r="TZU41" s="52"/>
      <c r="TZV41" s="52"/>
      <c r="TZW41" s="52"/>
      <c r="TZX41" s="52"/>
      <c r="TZY41" s="52"/>
      <c r="TZZ41" s="52"/>
      <c r="UAA41" s="52"/>
      <c r="UAB41" s="52"/>
      <c r="UAC41" s="52"/>
      <c r="UAD41" s="52"/>
      <c r="UAE41" s="52"/>
      <c r="UAF41" s="52"/>
      <c r="UAG41" s="52"/>
      <c r="UAH41" s="52"/>
      <c r="UAI41" s="52"/>
      <c r="UAJ41" s="52"/>
      <c r="UAK41" s="52"/>
      <c r="UAL41" s="52"/>
      <c r="UAM41" s="52"/>
      <c r="UAN41" s="52"/>
      <c r="UAO41" s="52"/>
      <c r="UAP41" s="52"/>
      <c r="UAQ41" s="52"/>
      <c r="UAR41" s="52"/>
      <c r="UAS41" s="52"/>
      <c r="UAT41" s="52"/>
      <c r="UAU41" s="52"/>
      <c r="UAV41" s="52"/>
      <c r="UAW41" s="52"/>
      <c r="UAX41" s="52"/>
      <c r="UAY41" s="52"/>
      <c r="UAZ41" s="52"/>
      <c r="UBA41" s="52"/>
      <c r="UBB41" s="52"/>
      <c r="UBC41" s="52"/>
      <c r="UBD41" s="52"/>
      <c r="UBE41" s="52"/>
      <c r="UBF41" s="52"/>
      <c r="UBG41" s="52"/>
      <c r="UBH41" s="52"/>
      <c r="UBI41" s="52"/>
      <c r="UBJ41" s="52"/>
      <c r="UBK41" s="52"/>
      <c r="UBL41" s="52"/>
      <c r="UBM41" s="52"/>
      <c r="UBN41" s="52"/>
      <c r="UBO41" s="52"/>
      <c r="UBP41" s="52"/>
      <c r="UBQ41" s="52"/>
      <c r="UBR41" s="52"/>
      <c r="UBS41" s="52"/>
      <c r="UBT41" s="52"/>
      <c r="UBU41" s="52"/>
      <c r="UBV41" s="52"/>
      <c r="UBW41" s="52"/>
      <c r="UBX41" s="52"/>
      <c r="UBY41" s="52"/>
      <c r="UBZ41" s="52"/>
      <c r="UCA41" s="52"/>
      <c r="UCB41" s="52"/>
      <c r="UCC41" s="52"/>
      <c r="UCD41" s="52"/>
      <c r="UCE41" s="52"/>
      <c r="UCF41" s="52"/>
      <c r="UCG41" s="52"/>
      <c r="UCH41" s="52"/>
      <c r="UCI41" s="52"/>
      <c r="UCJ41" s="52"/>
      <c r="UCK41" s="52"/>
      <c r="UCL41" s="52"/>
      <c r="UCM41" s="52"/>
      <c r="UCN41" s="52"/>
      <c r="UCO41" s="52"/>
      <c r="UCP41" s="52"/>
      <c r="UCQ41" s="52"/>
      <c r="UCR41" s="52"/>
      <c r="UCS41" s="52"/>
      <c r="UCT41" s="52"/>
      <c r="UCU41" s="52"/>
      <c r="UCV41" s="52"/>
      <c r="UCW41" s="52"/>
      <c r="UCX41" s="52"/>
      <c r="UCY41" s="52"/>
      <c r="UCZ41" s="52"/>
      <c r="UDA41" s="52"/>
      <c r="UDB41" s="52"/>
      <c r="UDC41" s="52"/>
      <c r="UDD41" s="52"/>
      <c r="UDE41" s="52"/>
      <c r="UDF41" s="52"/>
      <c r="UDG41" s="52"/>
      <c r="UDH41" s="52"/>
      <c r="UDI41" s="52"/>
      <c r="UDJ41" s="52"/>
      <c r="UDK41" s="52"/>
      <c r="UDL41" s="52"/>
      <c r="UDM41" s="52"/>
      <c r="UDN41" s="52"/>
      <c r="UDO41" s="52"/>
      <c r="UDP41" s="52"/>
      <c r="UDQ41" s="52"/>
      <c r="UDR41" s="52"/>
      <c r="UDS41" s="52"/>
      <c r="UDT41" s="52"/>
      <c r="UDU41" s="52"/>
      <c r="UDV41" s="52"/>
      <c r="UDW41" s="52"/>
      <c r="UDX41" s="52"/>
      <c r="UDY41" s="52"/>
      <c r="UDZ41" s="52"/>
      <c r="UEA41" s="52"/>
      <c r="UEB41" s="52"/>
      <c r="UEC41" s="52"/>
      <c r="UED41" s="52"/>
      <c r="UEE41" s="52"/>
      <c r="UEF41" s="52"/>
      <c r="UEG41" s="52"/>
      <c r="UEH41" s="52"/>
      <c r="UEI41" s="52"/>
      <c r="UEJ41" s="52"/>
      <c r="UEK41" s="52"/>
      <c r="UEL41" s="52"/>
      <c r="UEM41" s="52"/>
      <c r="UEN41" s="52"/>
      <c r="UEO41" s="52"/>
      <c r="UEP41" s="52"/>
      <c r="UEQ41" s="52"/>
      <c r="UER41" s="52"/>
      <c r="UES41" s="52"/>
      <c r="UET41" s="52"/>
      <c r="UEU41" s="52"/>
      <c r="UEV41" s="52"/>
      <c r="UEW41" s="52"/>
      <c r="UEX41" s="52"/>
      <c r="UEY41" s="52"/>
      <c r="UEZ41" s="52"/>
      <c r="UFA41" s="52"/>
      <c r="UFB41" s="52"/>
      <c r="UFC41" s="52"/>
      <c r="UFD41" s="52"/>
      <c r="UFE41" s="52"/>
      <c r="UFF41" s="52"/>
      <c r="UFG41" s="52"/>
      <c r="UFH41" s="52"/>
      <c r="UFI41" s="52"/>
      <c r="UFJ41" s="52"/>
      <c r="UFK41" s="52"/>
      <c r="UFL41" s="52"/>
      <c r="UFM41" s="52"/>
      <c r="UFN41" s="52"/>
      <c r="UFO41" s="52"/>
      <c r="UFP41" s="52"/>
      <c r="UFQ41" s="52"/>
      <c r="UFR41" s="52"/>
      <c r="UFS41" s="52"/>
      <c r="UFT41" s="52"/>
      <c r="UFU41" s="52"/>
      <c r="UFV41" s="52"/>
      <c r="UFW41" s="52"/>
      <c r="UFX41" s="52"/>
      <c r="UFY41" s="52"/>
      <c r="UFZ41" s="52"/>
      <c r="UGA41" s="52"/>
      <c r="UGB41" s="52"/>
      <c r="UGC41" s="52"/>
      <c r="UGD41" s="52"/>
      <c r="UGE41" s="52"/>
      <c r="UGF41" s="52"/>
      <c r="UGG41" s="52"/>
      <c r="UGH41" s="52"/>
      <c r="UGI41" s="52"/>
      <c r="UGJ41" s="52"/>
      <c r="UGK41" s="52"/>
      <c r="UGL41" s="52"/>
      <c r="UGM41" s="52"/>
      <c r="UGN41" s="52"/>
      <c r="UGO41" s="52"/>
      <c r="UGP41" s="52"/>
      <c r="UGQ41" s="52"/>
      <c r="UGR41" s="52"/>
      <c r="UGS41" s="52"/>
      <c r="UGT41" s="52"/>
      <c r="UGU41" s="52"/>
      <c r="UGV41" s="52"/>
      <c r="UGW41" s="52"/>
      <c r="UGX41" s="52"/>
      <c r="UGY41" s="52"/>
      <c r="UGZ41" s="52"/>
      <c r="UHA41" s="52"/>
      <c r="UHB41" s="52"/>
      <c r="UHC41" s="52"/>
      <c r="UHD41" s="52"/>
      <c r="UHE41" s="52"/>
      <c r="UHF41" s="52"/>
      <c r="UHG41" s="52"/>
      <c r="UHH41" s="52"/>
      <c r="UHI41" s="52"/>
      <c r="UHJ41" s="52"/>
      <c r="UHK41" s="52"/>
      <c r="UHL41" s="52"/>
      <c r="UHM41" s="52"/>
      <c r="UHN41" s="52"/>
      <c r="UHO41" s="52"/>
      <c r="UHP41" s="52"/>
      <c r="UHQ41" s="52"/>
      <c r="UHR41" s="52"/>
      <c r="UHS41" s="52"/>
      <c r="UHT41" s="52"/>
      <c r="UHU41" s="52"/>
      <c r="UHV41" s="52"/>
      <c r="UHW41" s="52"/>
      <c r="UHX41" s="52"/>
      <c r="UHY41" s="52"/>
      <c r="UHZ41" s="52"/>
      <c r="UIA41" s="52"/>
      <c r="UIB41" s="52"/>
      <c r="UIC41" s="52"/>
      <c r="UID41" s="52"/>
      <c r="UIE41" s="52"/>
      <c r="UIF41" s="52"/>
      <c r="UIG41" s="52"/>
      <c r="UIH41" s="52"/>
      <c r="UII41" s="52"/>
      <c r="UIJ41" s="52"/>
      <c r="UIK41" s="52"/>
      <c r="UIL41" s="52"/>
      <c r="UIM41" s="52"/>
      <c r="UIN41" s="52"/>
      <c r="UIO41" s="52"/>
      <c r="UIP41" s="52"/>
      <c r="UIQ41" s="52"/>
      <c r="UIR41" s="52"/>
      <c r="UIS41" s="52"/>
      <c r="UIT41" s="52"/>
      <c r="UIU41" s="52"/>
      <c r="UIV41" s="52"/>
      <c r="UIW41" s="52"/>
      <c r="UIX41" s="52"/>
      <c r="UIY41" s="52"/>
      <c r="UIZ41" s="52"/>
      <c r="UJA41" s="52"/>
      <c r="UJB41" s="52"/>
      <c r="UJC41" s="52"/>
      <c r="UJD41" s="52"/>
      <c r="UJE41" s="52"/>
      <c r="UJF41" s="52"/>
      <c r="UJG41" s="52"/>
      <c r="UJH41" s="52"/>
      <c r="UJI41" s="52"/>
      <c r="UJJ41" s="52"/>
      <c r="UJK41" s="52"/>
      <c r="UJL41" s="52"/>
      <c r="UJM41" s="52"/>
      <c r="UJN41" s="52"/>
      <c r="UJO41" s="52"/>
      <c r="UJP41" s="52"/>
      <c r="UJQ41" s="52"/>
      <c r="UJR41" s="52"/>
      <c r="UJS41" s="52"/>
      <c r="UJT41" s="52"/>
      <c r="UJU41" s="52"/>
      <c r="UJV41" s="52"/>
      <c r="UJW41" s="52"/>
      <c r="UJX41" s="52"/>
      <c r="UJY41" s="52"/>
      <c r="UJZ41" s="52"/>
      <c r="UKA41" s="52"/>
      <c r="UKB41" s="52"/>
      <c r="UKC41" s="52"/>
      <c r="UKD41" s="52"/>
      <c r="UKE41" s="52"/>
      <c r="UKF41" s="52"/>
      <c r="UKG41" s="52"/>
      <c r="UKH41" s="52"/>
      <c r="UKI41" s="52"/>
      <c r="UKJ41" s="52"/>
      <c r="UKK41" s="52"/>
      <c r="UKL41" s="52"/>
      <c r="UKM41" s="52"/>
      <c r="UKN41" s="52"/>
      <c r="UKO41" s="52"/>
      <c r="UKP41" s="52"/>
      <c r="UKQ41" s="52"/>
      <c r="UKR41" s="52"/>
      <c r="UKS41" s="52"/>
      <c r="UKT41" s="52"/>
      <c r="UKU41" s="52"/>
      <c r="UKV41" s="52"/>
      <c r="UKW41" s="52"/>
      <c r="UKX41" s="52"/>
      <c r="UKY41" s="52"/>
      <c r="UKZ41" s="52"/>
      <c r="ULA41" s="52"/>
      <c r="ULB41" s="52"/>
      <c r="ULC41" s="52"/>
      <c r="ULD41" s="52"/>
      <c r="ULE41" s="52"/>
      <c r="ULF41" s="52"/>
      <c r="ULG41" s="52"/>
      <c r="ULH41" s="52"/>
      <c r="ULI41" s="52"/>
      <c r="ULJ41" s="52"/>
      <c r="ULK41" s="52"/>
      <c r="ULL41" s="52"/>
      <c r="ULM41" s="52"/>
      <c r="ULN41" s="52"/>
      <c r="ULO41" s="52"/>
      <c r="ULP41" s="52"/>
      <c r="ULQ41" s="52"/>
      <c r="ULR41" s="52"/>
      <c r="ULS41" s="52"/>
      <c r="ULT41" s="52"/>
      <c r="ULU41" s="52"/>
      <c r="ULV41" s="52"/>
      <c r="ULW41" s="52"/>
      <c r="ULX41" s="52"/>
      <c r="ULY41" s="52"/>
      <c r="ULZ41" s="52"/>
      <c r="UMA41" s="52"/>
      <c r="UMB41" s="52"/>
      <c r="UMC41" s="52"/>
      <c r="UMD41" s="52"/>
      <c r="UME41" s="52"/>
      <c r="UMF41" s="52"/>
      <c r="UMG41" s="52"/>
      <c r="UMH41" s="52"/>
      <c r="UMI41" s="52"/>
      <c r="UMJ41" s="52"/>
      <c r="UMK41" s="52"/>
      <c r="UML41" s="52"/>
      <c r="UMM41" s="52"/>
      <c r="UMN41" s="52"/>
      <c r="UMO41" s="52"/>
      <c r="UMP41" s="52"/>
      <c r="UMQ41" s="52"/>
      <c r="UMR41" s="52"/>
      <c r="UMS41" s="52"/>
      <c r="UMT41" s="52"/>
      <c r="UMU41" s="52"/>
      <c r="UMV41" s="52"/>
      <c r="UMW41" s="52"/>
      <c r="UMX41" s="52"/>
      <c r="UMY41" s="52"/>
      <c r="UMZ41" s="52"/>
      <c r="UNA41" s="52"/>
      <c r="UNB41" s="52"/>
      <c r="UNC41" s="52"/>
      <c r="UND41" s="52"/>
      <c r="UNE41" s="52"/>
      <c r="UNF41" s="52"/>
      <c r="UNG41" s="52"/>
      <c r="UNH41" s="52"/>
      <c r="UNI41" s="52"/>
      <c r="UNJ41" s="52"/>
      <c r="UNK41" s="52"/>
      <c r="UNL41" s="52"/>
      <c r="UNM41" s="52"/>
      <c r="UNN41" s="52"/>
      <c r="UNO41" s="52"/>
      <c r="UNP41" s="52"/>
      <c r="UNQ41" s="52"/>
      <c r="UNR41" s="52"/>
      <c r="UNS41" s="52"/>
      <c r="UNT41" s="52"/>
      <c r="UNU41" s="52"/>
      <c r="UNV41" s="52"/>
      <c r="UNW41" s="52"/>
      <c r="UNX41" s="52"/>
      <c r="UNY41" s="52"/>
      <c r="UNZ41" s="52"/>
      <c r="UOA41" s="52"/>
      <c r="UOB41" s="52"/>
      <c r="UOC41" s="52"/>
      <c r="UOD41" s="52"/>
      <c r="UOE41" s="52"/>
      <c r="UOF41" s="52"/>
      <c r="UOG41" s="52"/>
      <c r="UOH41" s="52"/>
      <c r="UOI41" s="52"/>
      <c r="UOJ41" s="52"/>
      <c r="UOK41" s="52"/>
      <c r="UOL41" s="52"/>
      <c r="UOM41" s="52"/>
      <c r="UON41" s="52"/>
      <c r="UOO41" s="52"/>
      <c r="UOP41" s="52"/>
      <c r="UOQ41" s="52"/>
      <c r="UOR41" s="52"/>
      <c r="UOS41" s="52"/>
      <c r="UOT41" s="52"/>
      <c r="UOU41" s="52"/>
      <c r="UOV41" s="52"/>
      <c r="UOW41" s="52"/>
      <c r="UOX41" s="52"/>
      <c r="UOY41" s="52"/>
      <c r="UOZ41" s="52"/>
      <c r="UPA41" s="52"/>
      <c r="UPB41" s="52"/>
      <c r="UPC41" s="52"/>
      <c r="UPD41" s="52"/>
      <c r="UPE41" s="52"/>
      <c r="UPF41" s="52"/>
      <c r="UPG41" s="52"/>
      <c r="UPH41" s="52"/>
      <c r="UPI41" s="52"/>
      <c r="UPJ41" s="52"/>
      <c r="UPK41" s="52"/>
      <c r="UPL41" s="52"/>
      <c r="UPM41" s="52"/>
      <c r="UPN41" s="52"/>
      <c r="UPO41" s="52"/>
      <c r="UPP41" s="52"/>
      <c r="UPQ41" s="52"/>
      <c r="UPR41" s="52"/>
      <c r="UPS41" s="52"/>
      <c r="UPT41" s="52"/>
      <c r="UPU41" s="52"/>
      <c r="UPV41" s="52"/>
      <c r="UPW41" s="52"/>
      <c r="UPX41" s="52"/>
      <c r="UPY41" s="52"/>
      <c r="UPZ41" s="52"/>
      <c r="UQA41" s="52"/>
      <c r="UQB41" s="52"/>
      <c r="UQC41" s="52"/>
      <c r="UQD41" s="52"/>
      <c r="UQE41" s="52"/>
      <c r="UQF41" s="52"/>
      <c r="UQG41" s="52"/>
      <c r="UQH41" s="52"/>
      <c r="UQI41" s="52"/>
      <c r="UQJ41" s="52"/>
      <c r="UQK41" s="52"/>
      <c r="UQL41" s="52"/>
      <c r="UQM41" s="52"/>
      <c r="UQN41" s="52"/>
      <c r="UQO41" s="52"/>
      <c r="UQP41" s="52"/>
      <c r="UQQ41" s="52"/>
      <c r="UQR41" s="52"/>
      <c r="UQS41" s="52"/>
      <c r="UQT41" s="52"/>
      <c r="UQU41" s="52"/>
      <c r="UQV41" s="52"/>
      <c r="UQW41" s="52"/>
      <c r="UQX41" s="52"/>
      <c r="UQY41" s="52"/>
      <c r="UQZ41" s="52"/>
      <c r="URA41" s="52"/>
      <c r="URB41" s="52"/>
      <c r="URC41" s="52"/>
      <c r="URD41" s="52"/>
      <c r="URE41" s="52"/>
      <c r="URF41" s="52"/>
      <c r="URG41" s="52"/>
      <c r="URH41" s="52"/>
      <c r="URI41" s="52"/>
      <c r="URJ41" s="52"/>
      <c r="URK41" s="52"/>
      <c r="URL41" s="52"/>
      <c r="URM41" s="52"/>
      <c r="URN41" s="52"/>
      <c r="URO41" s="52"/>
      <c r="URP41" s="52"/>
      <c r="URQ41" s="52"/>
      <c r="URR41" s="52"/>
      <c r="URS41" s="52"/>
      <c r="URT41" s="52"/>
      <c r="URU41" s="52"/>
      <c r="URV41" s="52"/>
      <c r="URW41" s="52"/>
      <c r="URX41" s="52"/>
      <c r="URY41" s="52"/>
      <c r="URZ41" s="52"/>
      <c r="USA41" s="52"/>
      <c r="USB41" s="52"/>
      <c r="USC41" s="52"/>
      <c r="USD41" s="52"/>
      <c r="USE41" s="52"/>
      <c r="USF41" s="52"/>
      <c r="USG41" s="52"/>
      <c r="USH41" s="52"/>
      <c r="USI41" s="52"/>
      <c r="USJ41" s="52"/>
      <c r="USK41" s="52"/>
      <c r="USL41" s="52"/>
      <c r="USM41" s="52"/>
      <c r="USN41" s="52"/>
      <c r="USO41" s="52"/>
      <c r="USP41" s="52"/>
      <c r="USQ41" s="52"/>
      <c r="USR41" s="52"/>
      <c r="USS41" s="52"/>
      <c r="UST41" s="52"/>
      <c r="USU41" s="52"/>
      <c r="USV41" s="52"/>
      <c r="USW41" s="52"/>
      <c r="USX41" s="52"/>
      <c r="USY41" s="52"/>
      <c r="USZ41" s="52"/>
      <c r="UTA41" s="52"/>
      <c r="UTB41" s="52"/>
      <c r="UTC41" s="52"/>
      <c r="UTD41" s="52"/>
      <c r="UTE41" s="52"/>
      <c r="UTF41" s="52"/>
      <c r="UTG41" s="52"/>
      <c r="UTH41" s="52"/>
      <c r="UTI41" s="52"/>
      <c r="UTJ41" s="52"/>
      <c r="UTK41" s="52"/>
      <c r="UTL41" s="52"/>
      <c r="UTM41" s="52"/>
      <c r="UTN41" s="52"/>
      <c r="UTO41" s="52"/>
      <c r="UTP41" s="52"/>
      <c r="UTQ41" s="52"/>
      <c r="UTR41" s="52"/>
      <c r="UTS41" s="52"/>
      <c r="UTT41" s="52"/>
      <c r="UTU41" s="52"/>
      <c r="UTV41" s="52"/>
      <c r="UTW41" s="52"/>
      <c r="UTX41" s="52"/>
      <c r="UTY41" s="52"/>
      <c r="UTZ41" s="52"/>
      <c r="UUA41" s="52"/>
      <c r="UUB41" s="52"/>
      <c r="UUC41" s="52"/>
      <c r="UUD41" s="52"/>
      <c r="UUE41" s="52"/>
      <c r="UUF41" s="52"/>
      <c r="UUG41" s="52"/>
      <c r="UUH41" s="52"/>
      <c r="UUI41" s="52"/>
      <c r="UUJ41" s="52"/>
      <c r="UUK41" s="52"/>
      <c r="UUL41" s="52"/>
      <c r="UUM41" s="52"/>
      <c r="UUN41" s="52"/>
      <c r="UUO41" s="52"/>
      <c r="UUP41" s="52"/>
      <c r="UUQ41" s="52"/>
      <c r="UUR41" s="52"/>
      <c r="UUS41" s="52"/>
      <c r="UUT41" s="52"/>
      <c r="UUU41" s="52"/>
      <c r="UUV41" s="52"/>
      <c r="UUW41" s="52"/>
      <c r="UUX41" s="52"/>
      <c r="UUY41" s="52"/>
      <c r="UUZ41" s="52"/>
      <c r="UVA41" s="52"/>
      <c r="UVB41" s="52"/>
      <c r="UVC41" s="52"/>
      <c r="UVD41" s="52"/>
      <c r="UVE41" s="52"/>
      <c r="UVF41" s="52"/>
      <c r="UVG41" s="52"/>
      <c r="UVH41" s="52"/>
      <c r="UVI41" s="52"/>
      <c r="UVJ41" s="52"/>
      <c r="UVK41" s="52"/>
      <c r="UVL41" s="52"/>
      <c r="UVM41" s="52"/>
      <c r="UVN41" s="52"/>
      <c r="UVO41" s="52"/>
      <c r="UVP41" s="52"/>
      <c r="UVQ41" s="52"/>
      <c r="UVR41" s="52"/>
      <c r="UVS41" s="52"/>
      <c r="UVT41" s="52"/>
      <c r="UVU41" s="52"/>
      <c r="UVV41" s="52"/>
      <c r="UVW41" s="52"/>
      <c r="UVX41" s="52"/>
      <c r="UVY41" s="52"/>
      <c r="UVZ41" s="52"/>
      <c r="UWA41" s="52"/>
      <c r="UWB41" s="52"/>
      <c r="UWC41" s="52"/>
      <c r="UWD41" s="52"/>
      <c r="UWE41" s="52"/>
      <c r="UWF41" s="52"/>
      <c r="UWG41" s="52"/>
      <c r="UWH41" s="52"/>
      <c r="UWI41" s="52"/>
      <c r="UWJ41" s="52"/>
      <c r="UWK41" s="52"/>
      <c r="UWL41" s="52"/>
      <c r="UWM41" s="52"/>
      <c r="UWN41" s="52"/>
      <c r="UWO41" s="52"/>
      <c r="UWP41" s="52"/>
      <c r="UWQ41" s="52"/>
      <c r="UWR41" s="52"/>
      <c r="UWS41" s="52"/>
      <c r="UWT41" s="52"/>
      <c r="UWU41" s="52"/>
      <c r="UWV41" s="52"/>
      <c r="UWW41" s="52"/>
      <c r="UWX41" s="52"/>
      <c r="UWY41" s="52"/>
      <c r="UWZ41" s="52"/>
      <c r="UXA41" s="52"/>
      <c r="UXB41" s="52"/>
      <c r="UXC41" s="52"/>
      <c r="UXD41" s="52"/>
      <c r="UXE41" s="52"/>
      <c r="UXF41" s="52"/>
      <c r="UXG41" s="52"/>
      <c r="UXH41" s="52"/>
      <c r="UXI41" s="52"/>
      <c r="UXJ41" s="52"/>
      <c r="UXK41" s="52"/>
      <c r="UXL41" s="52"/>
      <c r="UXM41" s="52"/>
      <c r="UXN41" s="52"/>
      <c r="UXO41" s="52"/>
      <c r="UXP41" s="52"/>
      <c r="UXQ41" s="52"/>
      <c r="UXR41" s="52"/>
      <c r="UXS41" s="52"/>
      <c r="UXT41" s="52"/>
      <c r="UXU41" s="52"/>
      <c r="UXV41" s="52"/>
      <c r="UXW41" s="52"/>
      <c r="UXX41" s="52"/>
      <c r="UXY41" s="52"/>
      <c r="UXZ41" s="52"/>
      <c r="UYA41" s="52"/>
      <c r="UYB41" s="52"/>
      <c r="UYC41" s="52"/>
      <c r="UYD41" s="52"/>
      <c r="UYE41" s="52"/>
      <c r="UYF41" s="52"/>
      <c r="UYG41" s="52"/>
      <c r="UYH41" s="52"/>
      <c r="UYI41" s="52"/>
      <c r="UYJ41" s="52"/>
      <c r="UYK41" s="52"/>
      <c r="UYL41" s="52"/>
      <c r="UYM41" s="52"/>
      <c r="UYN41" s="52"/>
      <c r="UYO41" s="52"/>
      <c r="UYP41" s="52"/>
      <c r="UYQ41" s="52"/>
      <c r="UYR41" s="52"/>
      <c r="UYS41" s="52"/>
      <c r="UYT41" s="52"/>
      <c r="UYU41" s="52"/>
      <c r="UYV41" s="52"/>
      <c r="UYW41" s="52"/>
      <c r="UYX41" s="52"/>
      <c r="UYY41" s="52"/>
      <c r="UYZ41" s="52"/>
      <c r="UZA41" s="52"/>
      <c r="UZB41" s="52"/>
      <c r="UZC41" s="52"/>
      <c r="UZD41" s="52"/>
      <c r="UZE41" s="52"/>
      <c r="UZF41" s="52"/>
      <c r="UZG41" s="52"/>
      <c r="UZH41" s="52"/>
      <c r="UZI41" s="52"/>
      <c r="UZJ41" s="52"/>
      <c r="UZK41" s="52"/>
      <c r="UZL41" s="52"/>
      <c r="UZM41" s="52"/>
      <c r="UZN41" s="52"/>
      <c r="UZO41" s="52"/>
      <c r="UZP41" s="52"/>
      <c r="UZQ41" s="52"/>
      <c r="UZR41" s="52"/>
      <c r="UZS41" s="52"/>
      <c r="UZT41" s="52"/>
      <c r="UZU41" s="52"/>
      <c r="UZV41" s="52"/>
      <c r="UZW41" s="52"/>
      <c r="UZX41" s="52"/>
      <c r="UZY41" s="52"/>
      <c r="UZZ41" s="52"/>
      <c r="VAA41" s="52"/>
      <c r="VAB41" s="52"/>
      <c r="VAC41" s="52"/>
      <c r="VAD41" s="52"/>
      <c r="VAE41" s="52"/>
      <c r="VAF41" s="52"/>
      <c r="VAG41" s="52"/>
      <c r="VAH41" s="52"/>
      <c r="VAI41" s="52"/>
      <c r="VAJ41" s="52"/>
      <c r="VAK41" s="52"/>
      <c r="VAL41" s="52"/>
      <c r="VAM41" s="52"/>
      <c r="VAN41" s="52"/>
      <c r="VAO41" s="52"/>
      <c r="VAP41" s="52"/>
      <c r="VAQ41" s="52"/>
      <c r="VAR41" s="52"/>
      <c r="VAS41" s="52"/>
      <c r="VAT41" s="52"/>
      <c r="VAU41" s="52"/>
      <c r="VAV41" s="52"/>
      <c r="VAW41" s="52"/>
      <c r="VAX41" s="52"/>
      <c r="VAY41" s="52"/>
      <c r="VAZ41" s="52"/>
      <c r="VBA41" s="52"/>
      <c r="VBB41" s="52"/>
      <c r="VBC41" s="52"/>
      <c r="VBD41" s="52"/>
      <c r="VBE41" s="52"/>
      <c r="VBF41" s="52"/>
      <c r="VBG41" s="52"/>
      <c r="VBH41" s="52"/>
      <c r="VBI41" s="52"/>
      <c r="VBJ41" s="52"/>
      <c r="VBK41" s="52"/>
      <c r="VBL41" s="52"/>
      <c r="VBM41" s="52"/>
      <c r="VBN41" s="52"/>
      <c r="VBO41" s="52"/>
      <c r="VBP41" s="52"/>
      <c r="VBQ41" s="52"/>
      <c r="VBR41" s="52"/>
      <c r="VBS41" s="52"/>
      <c r="VBT41" s="52"/>
      <c r="VBU41" s="52"/>
      <c r="VBV41" s="52"/>
      <c r="VBW41" s="52"/>
      <c r="VBX41" s="52"/>
      <c r="VBY41" s="52"/>
      <c r="VBZ41" s="52"/>
      <c r="VCA41" s="52"/>
      <c r="VCB41" s="52"/>
      <c r="VCC41" s="52"/>
      <c r="VCD41" s="52"/>
      <c r="VCE41" s="52"/>
      <c r="VCF41" s="52"/>
      <c r="VCG41" s="52"/>
      <c r="VCH41" s="52"/>
      <c r="VCI41" s="52"/>
      <c r="VCJ41" s="52"/>
      <c r="VCK41" s="52"/>
      <c r="VCL41" s="52"/>
      <c r="VCM41" s="52"/>
      <c r="VCN41" s="52"/>
      <c r="VCO41" s="52"/>
      <c r="VCP41" s="52"/>
      <c r="VCQ41" s="52"/>
      <c r="VCR41" s="52"/>
      <c r="VCS41" s="52"/>
      <c r="VCT41" s="52"/>
      <c r="VCU41" s="52"/>
      <c r="VCV41" s="52"/>
      <c r="VCW41" s="52"/>
      <c r="VCX41" s="52"/>
      <c r="VCY41" s="52"/>
      <c r="VCZ41" s="52"/>
      <c r="VDA41" s="52"/>
      <c r="VDB41" s="52"/>
      <c r="VDC41" s="52"/>
      <c r="VDD41" s="52"/>
      <c r="VDE41" s="52"/>
      <c r="VDF41" s="52"/>
      <c r="VDG41" s="52"/>
      <c r="VDH41" s="52"/>
      <c r="VDI41" s="52"/>
      <c r="VDJ41" s="52"/>
      <c r="VDK41" s="52"/>
      <c r="VDL41" s="52"/>
      <c r="VDM41" s="52"/>
      <c r="VDN41" s="52"/>
      <c r="VDO41" s="52"/>
      <c r="VDP41" s="52"/>
      <c r="VDQ41" s="52"/>
      <c r="VDR41" s="52"/>
      <c r="VDS41" s="52"/>
      <c r="VDT41" s="52"/>
      <c r="VDU41" s="52"/>
      <c r="VDV41" s="52"/>
      <c r="VDW41" s="52"/>
      <c r="VDX41" s="52"/>
      <c r="VDY41" s="52"/>
      <c r="VDZ41" s="52"/>
      <c r="VEA41" s="52"/>
      <c r="VEB41" s="52"/>
      <c r="VEC41" s="52"/>
      <c r="VED41" s="52"/>
      <c r="VEE41" s="52"/>
      <c r="VEF41" s="52"/>
      <c r="VEG41" s="52"/>
      <c r="VEH41" s="52"/>
      <c r="VEI41" s="52"/>
      <c r="VEJ41" s="52"/>
      <c r="VEK41" s="52"/>
      <c r="VEL41" s="52"/>
      <c r="VEM41" s="52"/>
      <c r="VEN41" s="52"/>
      <c r="VEO41" s="52"/>
      <c r="VEP41" s="52"/>
      <c r="VEQ41" s="52"/>
      <c r="VER41" s="52"/>
      <c r="VES41" s="52"/>
      <c r="VET41" s="52"/>
      <c r="VEU41" s="52"/>
      <c r="VEV41" s="52"/>
      <c r="VEW41" s="52"/>
      <c r="VEX41" s="52"/>
      <c r="VEY41" s="52"/>
      <c r="VEZ41" s="52"/>
      <c r="VFA41" s="52"/>
      <c r="VFB41" s="52"/>
      <c r="VFC41" s="52"/>
      <c r="VFD41" s="52"/>
      <c r="VFE41" s="52"/>
      <c r="VFF41" s="52"/>
      <c r="VFG41" s="52"/>
      <c r="VFH41" s="52"/>
      <c r="VFI41" s="52"/>
      <c r="VFJ41" s="52"/>
      <c r="VFK41" s="52"/>
      <c r="VFL41" s="52"/>
      <c r="VFM41" s="52"/>
      <c r="VFN41" s="52"/>
      <c r="VFO41" s="52"/>
      <c r="VFP41" s="52"/>
      <c r="VFQ41" s="52"/>
      <c r="VFR41" s="52"/>
      <c r="VFS41" s="52"/>
      <c r="VFT41" s="52"/>
      <c r="VFU41" s="52"/>
      <c r="VFV41" s="52"/>
      <c r="VFW41" s="52"/>
      <c r="VFX41" s="52"/>
      <c r="VFY41" s="52"/>
      <c r="VFZ41" s="52"/>
      <c r="VGA41" s="52"/>
      <c r="VGB41" s="52"/>
      <c r="VGC41" s="52"/>
      <c r="VGD41" s="52"/>
      <c r="VGE41" s="52"/>
      <c r="VGF41" s="52"/>
      <c r="VGG41" s="52"/>
      <c r="VGH41" s="52"/>
      <c r="VGI41" s="52"/>
      <c r="VGJ41" s="52"/>
      <c r="VGK41" s="52"/>
      <c r="VGL41" s="52"/>
      <c r="VGM41" s="52"/>
      <c r="VGN41" s="52"/>
      <c r="VGO41" s="52"/>
      <c r="VGP41" s="52"/>
      <c r="VGQ41" s="52"/>
      <c r="VGR41" s="52"/>
      <c r="VGS41" s="52"/>
      <c r="VGT41" s="52"/>
      <c r="VGU41" s="52"/>
      <c r="VGV41" s="52"/>
      <c r="VGW41" s="52"/>
      <c r="VGX41" s="52"/>
      <c r="VGY41" s="52"/>
      <c r="VGZ41" s="52"/>
      <c r="VHA41" s="52"/>
      <c r="VHB41" s="52"/>
      <c r="VHC41" s="52"/>
      <c r="VHD41" s="52"/>
      <c r="VHE41" s="52"/>
      <c r="VHF41" s="52"/>
      <c r="VHG41" s="52"/>
      <c r="VHH41" s="52"/>
      <c r="VHI41" s="52"/>
      <c r="VHJ41" s="52"/>
      <c r="VHK41" s="52"/>
      <c r="VHL41" s="52"/>
      <c r="VHM41" s="52"/>
      <c r="VHN41" s="52"/>
      <c r="VHO41" s="52"/>
      <c r="VHP41" s="52"/>
      <c r="VHQ41" s="52"/>
      <c r="VHR41" s="52"/>
      <c r="VHS41" s="52"/>
      <c r="VHT41" s="52"/>
      <c r="VHU41" s="52"/>
      <c r="VHV41" s="52"/>
      <c r="VHW41" s="52"/>
      <c r="VHX41" s="52"/>
      <c r="VHY41" s="52"/>
      <c r="VHZ41" s="52"/>
      <c r="VIA41" s="52"/>
      <c r="VIB41" s="52"/>
      <c r="VIC41" s="52"/>
      <c r="VID41" s="52"/>
      <c r="VIE41" s="52"/>
      <c r="VIF41" s="52"/>
      <c r="VIG41" s="52"/>
      <c r="VIH41" s="52"/>
      <c r="VII41" s="52"/>
      <c r="VIJ41" s="52"/>
      <c r="VIK41" s="52"/>
      <c r="VIL41" s="52"/>
      <c r="VIM41" s="52"/>
      <c r="VIN41" s="52"/>
      <c r="VIO41" s="52"/>
      <c r="VIP41" s="52"/>
      <c r="VIQ41" s="52"/>
      <c r="VIR41" s="52"/>
      <c r="VIS41" s="52"/>
      <c r="VIT41" s="52"/>
      <c r="VIU41" s="52"/>
      <c r="VIV41" s="52"/>
      <c r="VIW41" s="52"/>
      <c r="VIX41" s="52"/>
      <c r="VIY41" s="52"/>
      <c r="VIZ41" s="52"/>
      <c r="VJA41" s="52"/>
      <c r="VJB41" s="52"/>
      <c r="VJC41" s="52"/>
      <c r="VJD41" s="52"/>
      <c r="VJE41" s="52"/>
      <c r="VJF41" s="52"/>
      <c r="VJG41" s="52"/>
      <c r="VJH41" s="52"/>
      <c r="VJI41" s="52"/>
      <c r="VJJ41" s="52"/>
      <c r="VJK41" s="52"/>
      <c r="VJL41" s="52"/>
      <c r="VJM41" s="52"/>
      <c r="VJN41" s="52"/>
      <c r="VJO41" s="52"/>
      <c r="VJP41" s="52"/>
      <c r="VJQ41" s="52"/>
      <c r="VJR41" s="52"/>
      <c r="VJS41" s="52"/>
      <c r="VJT41" s="52"/>
      <c r="VJU41" s="52"/>
      <c r="VJV41" s="52"/>
      <c r="VJW41" s="52"/>
      <c r="VJX41" s="52"/>
      <c r="VJY41" s="52"/>
      <c r="VJZ41" s="52"/>
      <c r="VKA41" s="52"/>
      <c r="VKB41" s="52"/>
      <c r="VKC41" s="52"/>
      <c r="VKD41" s="52"/>
      <c r="VKE41" s="52"/>
      <c r="VKF41" s="52"/>
      <c r="VKG41" s="52"/>
      <c r="VKH41" s="52"/>
      <c r="VKI41" s="52"/>
      <c r="VKJ41" s="52"/>
      <c r="VKK41" s="52"/>
      <c r="VKL41" s="52"/>
      <c r="VKM41" s="52"/>
      <c r="VKN41" s="52"/>
      <c r="VKO41" s="52"/>
      <c r="VKP41" s="52"/>
      <c r="VKQ41" s="52"/>
      <c r="VKR41" s="52"/>
      <c r="VKS41" s="52"/>
      <c r="VKT41" s="52"/>
      <c r="VKU41" s="52"/>
      <c r="VKV41" s="52"/>
      <c r="VKW41" s="52"/>
      <c r="VKX41" s="52"/>
      <c r="VKY41" s="52"/>
      <c r="VKZ41" s="52"/>
      <c r="VLA41" s="52"/>
      <c r="VLB41" s="52"/>
      <c r="VLC41" s="52"/>
      <c r="VLD41" s="52"/>
      <c r="VLE41" s="52"/>
      <c r="VLF41" s="52"/>
      <c r="VLG41" s="52"/>
      <c r="VLH41" s="52"/>
      <c r="VLI41" s="52"/>
      <c r="VLJ41" s="52"/>
      <c r="VLK41" s="52"/>
      <c r="VLL41" s="52"/>
      <c r="VLM41" s="52"/>
      <c r="VLN41" s="52"/>
      <c r="VLO41" s="52"/>
      <c r="VLP41" s="52"/>
      <c r="VLQ41" s="52"/>
      <c r="VLR41" s="52"/>
      <c r="VLS41" s="52"/>
      <c r="VLT41" s="52"/>
      <c r="VLU41" s="52"/>
      <c r="VLV41" s="52"/>
      <c r="VLW41" s="52"/>
      <c r="VLX41" s="52"/>
      <c r="VLY41" s="52"/>
      <c r="VLZ41" s="52"/>
      <c r="VMA41" s="52"/>
      <c r="VMB41" s="52"/>
      <c r="VMC41" s="52"/>
      <c r="VMD41" s="52"/>
      <c r="VME41" s="52"/>
      <c r="VMF41" s="52"/>
      <c r="VMG41" s="52"/>
      <c r="VMH41" s="52"/>
      <c r="VMI41" s="52"/>
      <c r="VMJ41" s="52"/>
      <c r="VMK41" s="52"/>
      <c r="VML41" s="52"/>
      <c r="VMM41" s="52"/>
      <c r="VMN41" s="52"/>
      <c r="VMO41" s="52"/>
      <c r="VMP41" s="52"/>
      <c r="VMQ41" s="52"/>
      <c r="VMR41" s="52"/>
      <c r="VMS41" s="52"/>
      <c r="VMT41" s="52"/>
      <c r="VMU41" s="52"/>
      <c r="VMV41" s="52"/>
      <c r="VMW41" s="52"/>
      <c r="VMX41" s="52"/>
      <c r="VMY41" s="52"/>
      <c r="VMZ41" s="52"/>
      <c r="VNA41" s="52"/>
      <c r="VNB41" s="52"/>
      <c r="VNC41" s="52"/>
      <c r="VND41" s="52"/>
      <c r="VNE41" s="52"/>
      <c r="VNF41" s="52"/>
      <c r="VNG41" s="52"/>
      <c r="VNH41" s="52"/>
      <c r="VNI41" s="52"/>
      <c r="VNJ41" s="52"/>
      <c r="VNK41" s="52"/>
      <c r="VNL41" s="52"/>
      <c r="VNM41" s="52"/>
      <c r="VNN41" s="52"/>
      <c r="VNO41" s="52"/>
      <c r="VNP41" s="52"/>
      <c r="VNQ41" s="52"/>
      <c r="VNR41" s="52"/>
      <c r="VNS41" s="52"/>
      <c r="VNT41" s="52"/>
      <c r="VNU41" s="52"/>
      <c r="VNV41" s="52"/>
      <c r="VNW41" s="52"/>
      <c r="VNX41" s="52"/>
      <c r="VNY41" s="52"/>
      <c r="VNZ41" s="52"/>
      <c r="VOA41" s="52"/>
      <c r="VOB41" s="52"/>
      <c r="VOC41" s="52"/>
      <c r="VOD41" s="52"/>
      <c r="VOE41" s="52"/>
      <c r="VOF41" s="52"/>
      <c r="VOG41" s="52"/>
      <c r="VOH41" s="52"/>
      <c r="VOI41" s="52"/>
      <c r="VOJ41" s="52"/>
      <c r="VOK41" s="52"/>
      <c r="VOL41" s="52"/>
      <c r="VOM41" s="52"/>
      <c r="VON41" s="52"/>
      <c r="VOO41" s="52"/>
      <c r="VOP41" s="52"/>
      <c r="VOQ41" s="52"/>
      <c r="VOR41" s="52"/>
      <c r="VOS41" s="52"/>
      <c r="VOT41" s="52"/>
      <c r="VOU41" s="52"/>
      <c r="VOV41" s="52"/>
      <c r="VOW41" s="52"/>
      <c r="VOX41" s="52"/>
      <c r="VOY41" s="52"/>
      <c r="VOZ41" s="52"/>
      <c r="VPA41" s="52"/>
      <c r="VPB41" s="52"/>
      <c r="VPC41" s="52"/>
      <c r="VPD41" s="52"/>
      <c r="VPE41" s="52"/>
      <c r="VPF41" s="52"/>
      <c r="VPG41" s="52"/>
      <c r="VPH41" s="52"/>
      <c r="VPI41" s="52"/>
      <c r="VPJ41" s="52"/>
      <c r="VPK41" s="52"/>
      <c r="VPL41" s="52"/>
      <c r="VPM41" s="52"/>
      <c r="VPN41" s="52"/>
      <c r="VPO41" s="52"/>
      <c r="VPP41" s="52"/>
      <c r="VPQ41" s="52"/>
      <c r="VPR41" s="52"/>
      <c r="VPS41" s="52"/>
      <c r="VPT41" s="52"/>
      <c r="VPU41" s="52"/>
      <c r="VPV41" s="52"/>
      <c r="VPW41" s="52"/>
      <c r="VPX41" s="52"/>
      <c r="VPY41" s="52"/>
      <c r="VPZ41" s="52"/>
      <c r="VQA41" s="52"/>
      <c r="VQB41" s="52"/>
      <c r="VQC41" s="52"/>
      <c r="VQD41" s="52"/>
      <c r="VQE41" s="52"/>
      <c r="VQF41" s="52"/>
      <c r="VQG41" s="52"/>
      <c r="VQH41" s="52"/>
      <c r="VQI41" s="52"/>
      <c r="VQJ41" s="52"/>
      <c r="VQK41" s="52"/>
      <c r="VQL41" s="52"/>
      <c r="VQM41" s="52"/>
      <c r="VQN41" s="52"/>
      <c r="VQO41" s="52"/>
      <c r="VQP41" s="52"/>
      <c r="VQQ41" s="52"/>
      <c r="VQR41" s="52"/>
      <c r="VQS41" s="52"/>
      <c r="VQT41" s="52"/>
      <c r="VQU41" s="52"/>
      <c r="VQV41" s="52"/>
      <c r="VQW41" s="52"/>
      <c r="VQX41" s="52"/>
      <c r="VQY41" s="52"/>
      <c r="VQZ41" s="52"/>
      <c r="VRA41" s="52"/>
      <c r="VRB41" s="52"/>
      <c r="VRC41" s="52"/>
      <c r="VRD41" s="52"/>
      <c r="VRE41" s="52"/>
      <c r="VRF41" s="52"/>
      <c r="VRG41" s="52"/>
      <c r="VRH41" s="52"/>
      <c r="VRI41" s="52"/>
      <c r="VRJ41" s="52"/>
      <c r="VRK41" s="52"/>
      <c r="VRL41" s="52"/>
      <c r="VRM41" s="52"/>
      <c r="VRN41" s="52"/>
      <c r="VRO41" s="52"/>
      <c r="VRP41" s="52"/>
      <c r="VRQ41" s="52"/>
      <c r="VRR41" s="52"/>
      <c r="VRS41" s="52"/>
      <c r="VRT41" s="52"/>
      <c r="VRU41" s="52"/>
      <c r="VRV41" s="52"/>
      <c r="VRW41" s="52"/>
      <c r="VRX41" s="52"/>
      <c r="VRY41" s="52"/>
      <c r="VRZ41" s="52"/>
      <c r="VSA41" s="52"/>
      <c r="VSB41" s="52"/>
      <c r="VSC41" s="52"/>
      <c r="VSD41" s="52"/>
      <c r="VSE41" s="52"/>
      <c r="VSF41" s="52"/>
      <c r="VSG41" s="52"/>
      <c r="VSH41" s="52"/>
      <c r="VSI41" s="52"/>
      <c r="VSJ41" s="52"/>
      <c r="VSK41" s="52"/>
      <c r="VSL41" s="52"/>
      <c r="VSM41" s="52"/>
      <c r="VSN41" s="52"/>
      <c r="VSO41" s="52"/>
      <c r="VSP41" s="52"/>
      <c r="VSQ41" s="52"/>
      <c r="VSR41" s="52"/>
      <c r="VSS41" s="52"/>
      <c r="VST41" s="52"/>
      <c r="VSU41" s="52"/>
      <c r="VSV41" s="52"/>
      <c r="VSW41" s="52"/>
      <c r="VSX41" s="52"/>
      <c r="VSY41" s="52"/>
      <c r="VSZ41" s="52"/>
      <c r="VTA41" s="52"/>
      <c r="VTB41" s="52"/>
    </row>
    <row r="42" spans="1:15394" s="59" customFormat="1" ht="16.149999999999999" customHeight="1" x14ac:dyDescent="0.2">
      <c r="A42" s="60"/>
      <c r="B42" s="60"/>
      <c r="C42" s="60"/>
      <c r="D42" s="60"/>
      <c r="E42" s="60"/>
      <c r="F42" s="60"/>
      <c r="G42" s="208"/>
      <c r="H42" s="58"/>
      <c r="I42" s="58"/>
      <c r="J42" s="189"/>
      <c r="K42" s="57"/>
      <c r="L42" s="57"/>
      <c r="M42" s="56"/>
      <c r="N42" s="170"/>
      <c r="O42" s="170"/>
      <c r="P42" s="183"/>
      <c r="Q42" s="178"/>
      <c r="R42" s="57"/>
      <c r="S42" s="57"/>
      <c r="T42" s="56"/>
      <c r="U42" s="186"/>
      <c r="V42" s="186"/>
      <c r="W42" s="186"/>
      <c r="X42" s="55"/>
      <c r="Y42" s="55"/>
      <c r="Z42" s="55"/>
      <c r="AA42" s="55"/>
      <c r="AB42" s="55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 s="54"/>
      <c r="BQ42" s="54"/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54"/>
      <c r="CC42" s="54"/>
      <c r="CD42" s="54"/>
      <c r="CE42" s="54"/>
      <c r="CF42" s="54"/>
      <c r="CG42" s="53"/>
      <c r="CH42" s="52"/>
      <c r="CI42" s="52"/>
      <c r="CJ42" s="52"/>
      <c r="CK42" s="52"/>
      <c r="CL42" s="52"/>
      <c r="CM42" s="52"/>
      <c r="CN42" s="52"/>
      <c r="CO42" s="52"/>
      <c r="CP42" s="52"/>
      <c r="CQ42" s="52"/>
      <c r="CR42" s="52"/>
      <c r="CS42" s="52"/>
      <c r="CT42" s="52"/>
      <c r="CU42" s="52"/>
      <c r="CV42" s="52"/>
      <c r="CW42" s="52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52"/>
      <c r="DS42" s="52"/>
      <c r="DT42" s="52"/>
      <c r="DU42" s="52"/>
      <c r="DV42" s="52"/>
      <c r="DW42" s="52"/>
      <c r="DX42" s="52"/>
      <c r="DY42" s="52"/>
      <c r="DZ42" s="52"/>
      <c r="EA42" s="52"/>
      <c r="EB42" s="52"/>
      <c r="EC42" s="52"/>
      <c r="ED42" s="52"/>
      <c r="EE42" s="52"/>
      <c r="EF42" s="52"/>
      <c r="EG42" s="52"/>
      <c r="EH42" s="52"/>
      <c r="EI42" s="52"/>
      <c r="EJ42" s="52"/>
      <c r="EK42" s="52"/>
      <c r="EL42" s="52"/>
      <c r="EM42" s="52"/>
      <c r="EN42" s="52"/>
      <c r="EO42" s="52"/>
      <c r="EP42" s="52"/>
      <c r="EQ42" s="52"/>
      <c r="ER42" s="52"/>
      <c r="ES42" s="52"/>
      <c r="ET42" s="52"/>
      <c r="EU42" s="52"/>
      <c r="EV42" s="52"/>
      <c r="EW42" s="52"/>
      <c r="EX42" s="52"/>
      <c r="EY42" s="52"/>
      <c r="EZ42" s="52"/>
      <c r="FA42" s="52"/>
      <c r="FB42" s="52"/>
      <c r="FC42" s="52"/>
      <c r="FD42" s="52"/>
      <c r="FE42" s="52"/>
      <c r="FF42" s="52"/>
      <c r="FG42" s="52"/>
      <c r="FH42" s="52"/>
      <c r="FI42" s="52"/>
      <c r="FJ42" s="52"/>
      <c r="FK42" s="52"/>
      <c r="FL42" s="52"/>
      <c r="FM42" s="52"/>
      <c r="FN42" s="52"/>
      <c r="FO42" s="52"/>
      <c r="FP42" s="52"/>
      <c r="FQ42" s="52"/>
      <c r="FR42" s="52"/>
      <c r="FS42" s="52"/>
      <c r="FT42" s="52"/>
      <c r="FU42" s="52"/>
      <c r="FV42" s="52"/>
      <c r="FW42" s="52"/>
      <c r="FX42" s="52"/>
      <c r="FY42" s="52"/>
      <c r="FZ42" s="52"/>
      <c r="GA42" s="52"/>
      <c r="GB42" s="52"/>
      <c r="GC42" s="52"/>
      <c r="GD42" s="52"/>
      <c r="GE42" s="52"/>
      <c r="GF42" s="52"/>
      <c r="GG42" s="52"/>
      <c r="GH42" s="52"/>
      <c r="GI42" s="52"/>
      <c r="GJ42" s="52"/>
      <c r="GK42" s="52"/>
      <c r="GL42" s="52"/>
      <c r="GM42" s="52"/>
      <c r="GN42" s="52"/>
      <c r="GO42" s="52"/>
      <c r="GP42" s="52"/>
      <c r="GQ42" s="52"/>
      <c r="GR42" s="52"/>
      <c r="GS42" s="52"/>
      <c r="GT42" s="52"/>
      <c r="GU42" s="52"/>
      <c r="GV42" s="52"/>
      <c r="GW42" s="52"/>
      <c r="GX42" s="52"/>
      <c r="GY42" s="52"/>
      <c r="GZ42" s="52"/>
      <c r="HA42" s="52"/>
      <c r="HB42" s="52"/>
      <c r="HC42" s="52"/>
      <c r="HD42" s="52"/>
      <c r="HE42" s="52"/>
      <c r="HF42" s="52"/>
      <c r="HG42" s="52"/>
      <c r="HH42" s="52"/>
      <c r="HI42" s="52"/>
      <c r="HJ42" s="52"/>
      <c r="HK42" s="52"/>
      <c r="HL42" s="52"/>
      <c r="HM42" s="52"/>
      <c r="HN42" s="52"/>
      <c r="HO42" s="52"/>
      <c r="HP42" s="52"/>
      <c r="HQ42" s="52"/>
      <c r="HR42" s="52"/>
      <c r="HS42" s="52"/>
      <c r="HT42" s="52"/>
      <c r="HU42" s="52"/>
      <c r="HV42" s="52"/>
      <c r="HW42" s="52"/>
      <c r="HX42" s="52"/>
      <c r="HY42" s="52"/>
      <c r="HZ42" s="52"/>
      <c r="IA42" s="52"/>
      <c r="IB42" s="52"/>
      <c r="IC42" s="52"/>
      <c r="ID42" s="52"/>
      <c r="IE42" s="52"/>
      <c r="IF42" s="52"/>
      <c r="IG42" s="52"/>
      <c r="IH42" s="52"/>
      <c r="II42" s="52"/>
      <c r="IJ42" s="52"/>
      <c r="IK42" s="52"/>
      <c r="IL42" s="52"/>
      <c r="IM42" s="52"/>
      <c r="IN42" s="52"/>
      <c r="IO42" s="52"/>
      <c r="IP42" s="52"/>
      <c r="IQ42" s="52"/>
      <c r="IR42" s="52"/>
      <c r="IS42" s="52"/>
      <c r="IT42" s="52"/>
      <c r="IU42" s="52"/>
      <c r="IV42" s="52"/>
      <c r="IW42" s="52"/>
      <c r="IX42" s="52"/>
      <c r="IY42" s="52"/>
      <c r="IZ42" s="52"/>
      <c r="JA42" s="52"/>
      <c r="JB42" s="52"/>
      <c r="JC42" s="52"/>
      <c r="JD42" s="52"/>
      <c r="JE42" s="52"/>
      <c r="JF42" s="52"/>
      <c r="JG42" s="52"/>
      <c r="JH42" s="52"/>
      <c r="JI42" s="52"/>
      <c r="JJ42" s="52"/>
      <c r="JK42" s="52"/>
      <c r="JL42" s="52"/>
      <c r="JM42" s="52"/>
      <c r="JN42" s="52"/>
      <c r="JO42" s="52"/>
      <c r="JP42" s="52"/>
      <c r="JQ42" s="52"/>
      <c r="JR42" s="52"/>
      <c r="JS42" s="52"/>
      <c r="JT42" s="52"/>
      <c r="JU42" s="52"/>
      <c r="JV42" s="52"/>
      <c r="JW42" s="52"/>
      <c r="JX42" s="52"/>
      <c r="JY42" s="52"/>
      <c r="JZ42" s="52"/>
      <c r="KA42" s="52"/>
      <c r="KB42" s="52"/>
      <c r="KC42" s="52"/>
      <c r="KD42" s="52"/>
      <c r="KE42" s="52"/>
      <c r="KF42" s="52"/>
      <c r="KG42" s="52"/>
      <c r="KH42" s="52"/>
      <c r="KI42" s="52"/>
      <c r="KJ42" s="52"/>
      <c r="KK42" s="52"/>
      <c r="KL42" s="52"/>
      <c r="KM42" s="52"/>
      <c r="KN42" s="52"/>
      <c r="KO42" s="52"/>
      <c r="KP42" s="52"/>
      <c r="KQ42" s="52"/>
      <c r="KR42" s="52"/>
      <c r="KS42" s="52"/>
      <c r="KT42" s="52"/>
      <c r="KU42" s="52"/>
      <c r="KV42" s="52"/>
      <c r="KW42" s="52"/>
      <c r="KX42" s="52"/>
      <c r="KY42" s="52"/>
      <c r="KZ42" s="52"/>
      <c r="LA42" s="52"/>
      <c r="LB42" s="52"/>
      <c r="LC42" s="52"/>
      <c r="LD42" s="52"/>
      <c r="LE42" s="52"/>
      <c r="LF42" s="52"/>
      <c r="LG42" s="52"/>
      <c r="LH42" s="52"/>
      <c r="LI42" s="52"/>
      <c r="LJ42" s="52"/>
      <c r="LK42" s="52"/>
      <c r="LL42" s="52"/>
      <c r="LM42" s="52"/>
      <c r="LN42" s="52"/>
      <c r="LO42" s="52"/>
      <c r="LP42" s="52"/>
      <c r="LQ42" s="52"/>
      <c r="LR42" s="52"/>
      <c r="LS42" s="52"/>
      <c r="LT42" s="52"/>
      <c r="LU42" s="52"/>
      <c r="LV42" s="52"/>
      <c r="LW42" s="52"/>
      <c r="LX42" s="52"/>
      <c r="LY42" s="52"/>
      <c r="LZ42" s="52"/>
      <c r="MA42" s="52"/>
      <c r="MB42" s="52"/>
      <c r="MC42" s="52"/>
      <c r="MD42" s="52"/>
      <c r="ME42" s="52"/>
      <c r="MF42" s="52"/>
      <c r="MG42" s="52"/>
      <c r="MH42" s="52"/>
      <c r="MI42" s="52"/>
      <c r="MJ42" s="52"/>
      <c r="MK42" s="52"/>
      <c r="ML42" s="52"/>
      <c r="MM42" s="52"/>
      <c r="MN42" s="52"/>
      <c r="MO42" s="52"/>
      <c r="MP42" s="52"/>
      <c r="MQ42" s="52"/>
      <c r="MR42" s="52"/>
      <c r="MS42" s="52"/>
      <c r="MT42" s="52"/>
      <c r="MU42" s="52"/>
      <c r="MV42" s="52"/>
      <c r="MW42" s="52"/>
      <c r="MX42" s="52"/>
      <c r="MY42" s="52"/>
      <c r="MZ42" s="52"/>
      <c r="NA42" s="52"/>
      <c r="NB42" s="52"/>
      <c r="NC42" s="52"/>
      <c r="ND42" s="52"/>
      <c r="NE42" s="52"/>
      <c r="NF42" s="52"/>
      <c r="NG42" s="52"/>
      <c r="NH42" s="52"/>
      <c r="NI42" s="52"/>
      <c r="NJ42" s="52"/>
      <c r="NK42" s="52"/>
      <c r="NL42" s="52"/>
      <c r="NM42" s="52"/>
      <c r="NN42" s="52"/>
      <c r="NO42" s="52"/>
      <c r="NP42" s="52"/>
      <c r="NQ42" s="52"/>
      <c r="NR42" s="52"/>
      <c r="NS42" s="52"/>
      <c r="NT42" s="52"/>
      <c r="NU42" s="52"/>
      <c r="NV42" s="52"/>
      <c r="NW42" s="52"/>
      <c r="NX42" s="52"/>
      <c r="NY42" s="52"/>
      <c r="NZ42" s="52"/>
      <c r="OA42" s="52"/>
      <c r="OB42" s="52"/>
      <c r="OC42" s="52"/>
      <c r="OD42" s="52"/>
      <c r="OE42" s="52"/>
      <c r="OF42" s="52"/>
      <c r="OG42" s="52"/>
      <c r="OH42" s="52"/>
      <c r="OI42" s="52"/>
      <c r="OJ42" s="52"/>
      <c r="OK42" s="52"/>
      <c r="OL42" s="52"/>
      <c r="OM42" s="52"/>
      <c r="ON42" s="52"/>
      <c r="OO42" s="52"/>
      <c r="OP42" s="52"/>
      <c r="OQ42" s="52"/>
      <c r="OR42" s="52"/>
      <c r="OS42" s="52"/>
      <c r="OT42" s="52"/>
      <c r="OU42" s="52"/>
      <c r="OV42" s="52"/>
      <c r="OW42" s="52"/>
      <c r="OX42" s="52"/>
      <c r="OY42" s="52"/>
      <c r="OZ42" s="52"/>
      <c r="PA42" s="52"/>
      <c r="PB42" s="52"/>
      <c r="PC42" s="52"/>
      <c r="PD42" s="52"/>
      <c r="PE42" s="52"/>
      <c r="PF42" s="52"/>
      <c r="PG42" s="52"/>
      <c r="PH42" s="52"/>
      <c r="PI42" s="52"/>
      <c r="PJ42" s="52"/>
      <c r="PK42" s="52"/>
      <c r="PL42" s="52"/>
      <c r="PM42" s="52"/>
      <c r="PN42" s="52"/>
      <c r="PO42" s="52"/>
      <c r="PP42" s="52"/>
      <c r="PQ42" s="52"/>
      <c r="PR42" s="52"/>
      <c r="PS42" s="52"/>
      <c r="PT42" s="52"/>
      <c r="PU42" s="52"/>
      <c r="PV42" s="52"/>
      <c r="PW42" s="52"/>
      <c r="PX42" s="52"/>
      <c r="PY42" s="52"/>
      <c r="PZ42" s="52"/>
      <c r="QA42" s="52"/>
      <c r="QB42" s="52"/>
      <c r="QC42" s="52"/>
      <c r="QD42" s="52"/>
      <c r="QE42" s="52"/>
      <c r="QF42" s="52"/>
      <c r="QG42" s="52"/>
      <c r="QH42" s="52"/>
      <c r="QI42" s="52"/>
      <c r="QJ42" s="52"/>
      <c r="QK42" s="52"/>
      <c r="QL42" s="52"/>
      <c r="QM42" s="52"/>
      <c r="QN42" s="52"/>
      <c r="QO42" s="52"/>
      <c r="QP42" s="52"/>
      <c r="QQ42" s="52"/>
      <c r="QR42" s="52"/>
      <c r="QS42" s="52"/>
      <c r="QT42" s="52"/>
      <c r="QU42" s="52"/>
      <c r="QV42" s="52"/>
      <c r="QW42" s="52"/>
      <c r="QX42" s="52"/>
      <c r="QY42" s="52"/>
      <c r="QZ42" s="52"/>
      <c r="RA42" s="52"/>
      <c r="RB42" s="52"/>
      <c r="RC42" s="52"/>
      <c r="RD42" s="52"/>
      <c r="RE42" s="52"/>
      <c r="RF42" s="52"/>
      <c r="RG42" s="52"/>
      <c r="RH42" s="52"/>
      <c r="RI42" s="52"/>
      <c r="RJ42" s="52"/>
      <c r="RK42" s="52"/>
      <c r="RL42" s="52"/>
      <c r="RM42" s="52"/>
      <c r="RN42" s="52"/>
      <c r="RO42" s="52"/>
      <c r="RP42" s="52"/>
      <c r="RQ42" s="52"/>
      <c r="RR42" s="52"/>
      <c r="RS42" s="52"/>
      <c r="RT42" s="52"/>
      <c r="RU42" s="52"/>
      <c r="RV42" s="52"/>
      <c r="RW42" s="52"/>
      <c r="RX42" s="52"/>
      <c r="RY42" s="52"/>
      <c r="RZ42" s="52"/>
      <c r="SA42" s="52"/>
      <c r="SB42" s="52"/>
      <c r="SC42" s="52"/>
      <c r="SD42" s="52"/>
      <c r="SE42" s="52"/>
      <c r="SF42" s="52"/>
      <c r="SG42" s="52"/>
      <c r="SH42" s="52"/>
      <c r="SI42" s="52"/>
      <c r="SJ42" s="52"/>
      <c r="SK42" s="52"/>
      <c r="SL42" s="52"/>
      <c r="SM42" s="52"/>
      <c r="SN42" s="52"/>
      <c r="SO42" s="52"/>
      <c r="SP42" s="52"/>
      <c r="SQ42" s="52"/>
      <c r="SR42" s="52"/>
      <c r="SS42" s="52"/>
      <c r="ST42" s="52"/>
      <c r="SU42" s="52"/>
      <c r="SV42" s="52"/>
      <c r="SW42" s="52"/>
      <c r="SX42" s="52"/>
      <c r="SY42" s="52"/>
      <c r="SZ42" s="52"/>
      <c r="TA42" s="52"/>
      <c r="TB42" s="52"/>
      <c r="TC42" s="52"/>
      <c r="TD42" s="52"/>
      <c r="TE42" s="52"/>
      <c r="TF42" s="52"/>
      <c r="TG42" s="52"/>
      <c r="TH42" s="52"/>
      <c r="TI42" s="52"/>
      <c r="TJ42" s="52"/>
      <c r="TK42" s="52"/>
      <c r="TL42" s="52"/>
      <c r="TM42" s="52"/>
      <c r="TN42" s="52"/>
      <c r="TO42" s="52"/>
      <c r="TP42" s="52"/>
      <c r="TQ42" s="52"/>
      <c r="TR42" s="52"/>
      <c r="TS42" s="52"/>
      <c r="TT42" s="52"/>
      <c r="TU42" s="52"/>
      <c r="TV42" s="52"/>
      <c r="TW42" s="52"/>
      <c r="TX42" s="52"/>
      <c r="TY42" s="52"/>
      <c r="TZ42" s="52"/>
      <c r="UA42" s="52"/>
      <c r="UB42" s="52"/>
      <c r="UC42" s="52"/>
      <c r="UD42" s="52"/>
      <c r="UE42" s="52"/>
      <c r="UF42" s="52"/>
      <c r="UG42" s="52"/>
      <c r="UH42" s="52"/>
      <c r="UI42" s="52"/>
      <c r="UJ42" s="52"/>
      <c r="UK42" s="52"/>
      <c r="UL42" s="52"/>
      <c r="UM42" s="52"/>
      <c r="UN42" s="52"/>
      <c r="UO42" s="52"/>
      <c r="UP42" s="52"/>
      <c r="UQ42" s="52"/>
      <c r="UR42" s="52"/>
      <c r="US42" s="52"/>
      <c r="UT42" s="52"/>
      <c r="UU42" s="52"/>
      <c r="UV42" s="52"/>
      <c r="UW42" s="52"/>
      <c r="UX42" s="52"/>
      <c r="UY42" s="52"/>
      <c r="UZ42" s="52"/>
      <c r="VA42" s="52"/>
      <c r="VB42" s="52"/>
      <c r="VC42" s="52"/>
      <c r="VD42" s="52"/>
      <c r="VE42" s="52"/>
      <c r="VF42" s="52"/>
      <c r="VG42" s="52"/>
      <c r="VH42" s="52"/>
      <c r="VI42" s="52"/>
      <c r="VJ42" s="52"/>
      <c r="VK42" s="52"/>
      <c r="VL42" s="52"/>
      <c r="VM42" s="52"/>
      <c r="VN42" s="52"/>
      <c r="VO42" s="52"/>
      <c r="VP42" s="52"/>
      <c r="VQ42" s="52"/>
      <c r="VR42" s="52"/>
      <c r="VS42" s="52"/>
      <c r="VT42" s="52"/>
      <c r="VU42" s="52"/>
      <c r="VV42" s="52"/>
      <c r="VW42" s="52"/>
      <c r="VX42" s="52"/>
      <c r="VY42" s="52"/>
      <c r="VZ42" s="52"/>
      <c r="WA42" s="52"/>
      <c r="WB42" s="52"/>
      <c r="WC42" s="52"/>
      <c r="WD42" s="52"/>
      <c r="WE42" s="52"/>
      <c r="WF42" s="52"/>
      <c r="WG42" s="52"/>
      <c r="WH42" s="52"/>
      <c r="WI42" s="52"/>
      <c r="WJ42" s="52"/>
      <c r="WK42" s="52"/>
      <c r="WL42" s="52"/>
      <c r="WM42" s="52"/>
      <c r="WN42" s="52"/>
      <c r="WO42" s="52"/>
      <c r="WP42" s="52"/>
      <c r="WQ42" s="52"/>
      <c r="WR42" s="52"/>
      <c r="WS42" s="52"/>
      <c r="WT42" s="52"/>
      <c r="WU42" s="52"/>
      <c r="WV42" s="52"/>
      <c r="WW42" s="52"/>
      <c r="WX42" s="52"/>
      <c r="WY42" s="52"/>
      <c r="WZ42" s="52"/>
      <c r="XA42" s="52"/>
      <c r="XB42" s="52"/>
      <c r="XC42" s="52"/>
      <c r="XD42" s="52"/>
      <c r="XE42" s="52"/>
      <c r="XF42" s="52"/>
      <c r="XG42" s="52"/>
      <c r="XH42" s="52"/>
      <c r="XI42" s="52"/>
      <c r="XJ42" s="52"/>
      <c r="XK42" s="52"/>
      <c r="XL42" s="52"/>
      <c r="XM42" s="52"/>
      <c r="XN42" s="52"/>
      <c r="XO42" s="52"/>
      <c r="XP42" s="52"/>
      <c r="XQ42" s="52"/>
      <c r="XR42" s="52"/>
      <c r="XS42" s="52"/>
      <c r="XT42" s="52"/>
      <c r="XU42" s="52"/>
      <c r="XV42" s="52"/>
      <c r="XW42" s="52"/>
      <c r="XX42" s="52"/>
      <c r="XY42" s="52"/>
      <c r="XZ42" s="52"/>
      <c r="YA42" s="52"/>
      <c r="YB42" s="52"/>
      <c r="YC42" s="52"/>
      <c r="YD42" s="52"/>
      <c r="YE42" s="52"/>
      <c r="YF42" s="52"/>
      <c r="YG42" s="52"/>
      <c r="YH42" s="52"/>
      <c r="YI42" s="52"/>
      <c r="YJ42" s="52"/>
      <c r="YK42" s="52"/>
      <c r="YL42" s="52"/>
      <c r="YM42" s="52"/>
      <c r="YN42" s="52"/>
      <c r="YO42" s="52"/>
      <c r="YP42" s="52"/>
      <c r="YQ42" s="52"/>
      <c r="YR42" s="52"/>
      <c r="YS42" s="52"/>
      <c r="YT42" s="52"/>
      <c r="YU42" s="52"/>
      <c r="YV42" s="52"/>
      <c r="YW42" s="52"/>
      <c r="YX42" s="52"/>
      <c r="YY42" s="52"/>
      <c r="YZ42" s="52"/>
      <c r="ZA42" s="52"/>
      <c r="ZB42" s="52"/>
      <c r="ZC42" s="52"/>
      <c r="ZD42" s="52"/>
      <c r="ZE42" s="52"/>
      <c r="ZF42" s="52"/>
      <c r="ZG42" s="52"/>
      <c r="ZH42" s="52"/>
      <c r="ZI42" s="52"/>
      <c r="ZJ42" s="52"/>
      <c r="ZK42" s="52"/>
      <c r="ZL42" s="52"/>
      <c r="ZM42" s="52"/>
      <c r="ZN42" s="52"/>
      <c r="ZO42" s="52"/>
      <c r="ZP42" s="52"/>
      <c r="ZQ42" s="52"/>
      <c r="ZR42" s="52"/>
      <c r="ZS42" s="52"/>
      <c r="ZT42" s="52"/>
      <c r="ZU42" s="52"/>
      <c r="ZV42" s="52"/>
      <c r="ZW42" s="52"/>
      <c r="ZX42" s="52"/>
      <c r="ZY42" s="52"/>
      <c r="ZZ42" s="52"/>
      <c r="AAA42" s="52"/>
      <c r="AAB42" s="52"/>
      <c r="AAC42" s="52"/>
      <c r="AAD42" s="52"/>
      <c r="AAE42" s="52"/>
      <c r="AAF42" s="52"/>
      <c r="AAG42" s="52"/>
      <c r="AAH42" s="52"/>
      <c r="AAI42" s="52"/>
      <c r="AAJ42" s="52"/>
      <c r="AAK42" s="52"/>
      <c r="AAL42" s="52"/>
      <c r="AAM42" s="52"/>
      <c r="AAN42" s="52"/>
      <c r="AAO42" s="52"/>
      <c r="AAP42" s="52"/>
      <c r="AAQ42" s="52"/>
      <c r="AAR42" s="52"/>
      <c r="AAS42" s="52"/>
      <c r="AAT42" s="52"/>
      <c r="AAU42" s="52"/>
      <c r="AAV42" s="52"/>
      <c r="AAW42" s="52"/>
      <c r="AAX42" s="52"/>
      <c r="AAY42" s="52"/>
      <c r="AAZ42" s="52"/>
      <c r="ABA42" s="52"/>
      <c r="ABB42" s="52"/>
      <c r="ABC42" s="52"/>
      <c r="ABD42" s="52"/>
      <c r="ABE42" s="52"/>
      <c r="ABF42" s="52"/>
      <c r="ABG42" s="52"/>
      <c r="ABH42" s="52"/>
      <c r="ABI42" s="52"/>
      <c r="ABJ42" s="52"/>
      <c r="ABK42" s="52"/>
      <c r="ABL42" s="52"/>
      <c r="ABM42" s="52"/>
      <c r="ABN42" s="52"/>
      <c r="ABO42" s="52"/>
      <c r="ABP42" s="52"/>
      <c r="ABQ42" s="52"/>
      <c r="ABR42" s="52"/>
      <c r="ABS42" s="52"/>
      <c r="ABT42" s="52"/>
      <c r="ABU42" s="52"/>
      <c r="ABV42" s="52"/>
      <c r="ABW42" s="52"/>
      <c r="ABX42" s="52"/>
      <c r="ABY42" s="52"/>
      <c r="ABZ42" s="52"/>
      <c r="ACA42" s="52"/>
      <c r="ACB42" s="52"/>
      <c r="ACC42" s="52"/>
      <c r="ACD42" s="52"/>
      <c r="ACE42" s="52"/>
      <c r="ACF42" s="52"/>
      <c r="ACG42" s="52"/>
      <c r="ACH42" s="52"/>
      <c r="ACI42" s="52"/>
      <c r="ACJ42" s="52"/>
      <c r="ACK42" s="52"/>
      <c r="ACL42" s="52"/>
      <c r="ACM42" s="52"/>
      <c r="ACN42" s="52"/>
      <c r="ACO42" s="52"/>
      <c r="ACP42" s="52"/>
      <c r="ACQ42" s="52"/>
      <c r="ACR42" s="52"/>
      <c r="ACS42" s="52"/>
      <c r="ACT42" s="52"/>
      <c r="ACU42" s="52"/>
      <c r="ACV42" s="52"/>
      <c r="ACW42" s="52"/>
      <c r="ACX42" s="52"/>
      <c r="ACY42" s="52"/>
      <c r="ACZ42" s="52"/>
      <c r="ADA42" s="52"/>
      <c r="ADB42" s="52"/>
      <c r="ADC42" s="52"/>
      <c r="ADD42" s="52"/>
      <c r="ADE42" s="52"/>
      <c r="ADF42" s="52"/>
      <c r="ADG42" s="52"/>
      <c r="ADH42" s="52"/>
      <c r="ADI42" s="52"/>
      <c r="ADJ42" s="52"/>
      <c r="ADK42" s="52"/>
      <c r="ADL42" s="52"/>
      <c r="ADM42" s="52"/>
      <c r="ADN42" s="52"/>
      <c r="ADO42" s="52"/>
      <c r="ADP42" s="52"/>
      <c r="ADQ42" s="52"/>
      <c r="ADR42" s="52"/>
      <c r="ADS42" s="52"/>
      <c r="ADT42" s="52"/>
      <c r="ADU42" s="52"/>
      <c r="ADV42" s="52"/>
      <c r="ADW42" s="52"/>
      <c r="ADX42" s="52"/>
      <c r="ADY42" s="52"/>
      <c r="ADZ42" s="52"/>
      <c r="AEA42" s="52"/>
      <c r="AEB42" s="52"/>
      <c r="AEC42" s="52"/>
      <c r="AED42" s="52"/>
      <c r="AEE42" s="52"/>
      <c r="AEF42" s="52"/>
      <c r="AEG42" s="52"/>
      <c r="AEH42" s="52"/>
      <c r="AEI42" s="52"/>
      <c r="AEJ42" s="52"/>
      <c r="AEK42" s="52"/>
      <c r="AEL42" s="52"/>
      <c r="AEM42" s="52"/>
      <c r="AEN42" s="52"/>
      <c r="AEO42" s="52"/>
      <c r="AEP42" s="52"/>
      <c r="AEQ42" s="52"/>
      <c r="AER42" s="52"/>
      <c r="AES42" s="52"/>
      <c r="AET42" s="52"/>
      <c r="AEU42" s="52"/>
      <c r="AEV42" s="52"/>
      <c r="AEW42" s="52"/>
      <c r="AEX42" s="52"/>
      <c r="AEY42" s="52"/>
      <c r="AEZ42" s="52"/>
      <c r="AFA42" s="52"/>
      <c r="AFB42" s="52"/>
      <c r="AFC42" s="52"/>
      <c r="AFD42" s="52"/>
      <c r="AFE42" s="52"/>
      <c r="AFF42" s="52"/>
      <c r="AFG42" s="52"/>
      <c r="AFH42" s="52"/>
      <c r="AFI42" s="52"/>
      <c r="AFJ42" s="52"/>
      <c r="AFK42" s="52"/>
      <c r="AFL42" s="52"/>
      <c r="AFM42" s="52"/>
      <c r="AFN42" s="52"/>
      <c r="AFO42" s="52"/>
      <c r="AFP42" s="52"/>
      <c r="AFQ42" s="52"/>
      <c r="AFR42" s="52"/>
      <c r="AFS42" s="52"/>
      <c r="AFT42" s="52"/>
      <c r="AFU42" s="52"/>
      <c r="AFV42" s="52"/>
      <c r="AFW42" s="52"/>
      <c r="AFX42" s="52"/>
      <c r="AFY42" s="52"/>
      <c r="AFZ42" s="52"/>
      <c r="AGA42" s="52"/>
      <c r="AGB42" s="52"/>
      <c r="AGC42" s="52"/>
      <c r="AGD42" s="52"/>
      <c r="AGE42" s="52"/>
      <c r="AGF42" s="52"/>
      <c r="AGG42" s="52"/>
      <c r="AGH42" s="52"/>
      <c r="AGI42" s="52"/>
      <c r="AGJ42" s="52"/>
      <c r="AGK42" s="52"/>
      <c r="AGL42" s="52"/>
      <c r="AGM42" s="52"/>
      <c r="AGN42" s="52"/>
      <c r="AGO42" s="52"/>
      <c r="AGP42" s="52"/>
      <c r="AGQ42" s="52"/>
      <c r="AGR42" s="52"/>
      <c r="AGS42" s="52"/>
      <c r="AGT42" s="52"/>
      <c r="AGU42" s="52"/>
      <c r="AGV42" s="52"/>
      <c r="AGW42" s="52"/>
      <c r="AGX42" s="52"/>
      <c r="AGY42" s="52"/>
      <c r="AGZ42" s="52"/>
      <c r="AHA42" s="52"/>
      <c r="AHB42" s="52"/>
      <c r="AHC42" s="52"/>
      <c r="AHD42" s="52"/>
      <c r="AHE42" s="52"/>
      <c r="AHF42" s="52"/>
      <c r="AHG42" s="52"/>
      <c r="AHH42" s="52"/>
      <c r="AHI42" s="52"/>
      <c r="AHJ42" s="52"/>
      <c r="AHK42" s="52"/>
      <c r="AHL42" s="52"/>
      <c r="AHM42" s="52"/>
      <c r="AHN42" s="52"/>
      <c r="AHO42" s="52"/>
      <c r="AHP42" s="52"/>
      <c r="AHQ42" s="52"/>
      <c r="AHR42" s="52"/>
      <c r="AHS42" s="52"/>
      <c r="AHT42" s="52"/>
      <c r="AHU42" s="52"/>
      <c r="AHV42" s="52"/>
      <c r="AHW42" s="52"/>
      <c r="AHX42" s="52"/>
      <c r="AHY42" s="52"/>
      <c r="AHZ42" s="52"/>
      <c r="AIA42" s="52"/>
      <c r="AIB42" s="52"/>
      <c r="AIC42" s="52"/>
      <c r="AID42" s="52"/>
      <c r="AIE42" s="52"/>
      <c r="AIF42" s="52"/>
      <c r="AIG42" s="52"/>
      <c r="AIH42" s="52"/>
      <c r="AII42" s="52"/>
      <c r="AIJ42" s="52"/>
      <c r="AIK42" s="52"/>
      <c r="AIL42" s="52"/>
      <c r="AIM42" s="52"/>
      <c r="AIN42" s="52"/>
      <c r="AIO42" s="52"/>
      <c r="AIP42" s="52"/>
      <c r="AIQ42" s="52"/>
      <c r="AIR42" s="52"/>
      <c r="AIS42" s="52"/>
      <c r="AIT42" s="52"/>
      <c r="AIU42" s="52"/>
      <c r="AIV42" s="52"/>
      <c r="AIW42" s="52"/>
      <c r="AIX42" s="52"/>
      <c r="AIY42" s="52"/>
      <c r="AIZ42" s="52"/>
      <c r="AJA42" s="52"/>
      <c r="AJB42" s="52"/>
      <c r="AJC42" s="52"/>
      <c r="AJD42" s="52"/>
      <c r="AJE42" s="52"/>
      <c r="AJF42" s="52"/>
      <c r="AJG42" s="52"/>
      <c r="AJH42" s="52"/>
      <c r="AJI42" s="52"/>
      <c r="AJJ42" s="52"/>
      <c r="AJK42" s="52"/>
      <c r="AJL42" s="52"/>
      <c r="AJM42" s="52"/>
      <c r="AJN42" s="52"/>
      <c r="AJO42" s="52"/>
      <c r="AJP42" s="52"/>
      <c r="AJQ42" s="52"/>
      <c r="AJR42" s="52"/>
      <c r="AJS42" s="52"/>
      <c r="AJT42" s="52"/>
      <c r="AJU42" s="52"/>
      <c r="AJV42" s="52"/>
      <c r="AJW42" s="52"/>
      <c r="AJX42" s="52"/>
      <c r="AJY42" s="52"/>
      <c r="AJZ42" s="52"/>
      <c r="AKA42" s="52"/>
      <c r="AKB42" s="52"/>
      <c r="AKC42" s="52"/>
      <c r="AKD42" s="52"/>
      <c r="AKE42" s="52"/>
      <c r="AKF42" s="52"/>
      <c r="AKG42" s="52"/>
      <c r="AKH42" s="52"/>
      <c r="AKI42" s="52"/>
      <c r="AKJ42" s="52"/>
      <c r="AKK42" s="52"/>
      <c r="AKL42" s="52"/>
      <c r="AKM42" s="52"/>
      <c r="AKN42" s="52"/>
      <c r="AKO42" s="52"/>
      <c r="AKP42" s="52"/>
      <c r="AKQ42" s="52"/>
      <c r="AKR42" s="52"/>
      <c r="AKS42" s="52"/>
      <c r="AKT42" s="52"/>
      <c r="AKU42" s="52"/>
      <c r="AKV42" s="52"/>
      <c r="AKW42" s="52"/>
      <c r="AKX42" s="52"/>
      <c r="AKY42" s="52"/>
      <c r="AKZ42" s="52"/>
      <c r="ALA42" s="52"/>
      <c r="ALB42" s="52"/>
      <c r="ALC42" s="52"/>
      <c r="ALD42" s="52"/>
      <c r="ALE42" s="52"/>
      <c r="ALF42" s="52"/>
      <c r="ALG42" s="52"/>
      <c r="ALH42" s="52"/>
      <c r="ALI42" s="52"/>
      <c r="ALJ42" s="52"/>
      <c r="ALK42" s="52"/>
      <c r="ALL42" s="52"/>
      <c r="ALM42" s="52"/>
      <c r="ALN42" s="52"/>
      <c r="ALO42" s="52"/>
      <c r="ALP42" s="52"/>
      <c r="ALQ42" s="52"/>
      <c r="ALR42" s="52"/>
      <c r="ALS42" s="52"/>
      <c r="ALT42" s="52"/>
      <c r="ALU42" s="52"/>
      <c r="ALV42" s="52"/>
      <c r="ALW42" s="52"/>
      <c r="ALX42" s="52"/>
      <c r="ALY42" s="52"/>
      <c r="ALZ42" s="52"/>
      <c r="AMA42" s="52"/>
      <c r="AMB42" s="52"/>
      <c r="AMC42" s="52"/>
      <c r="AMD42" s="52"/>
      <c r="AME42" s="52"/>
      <c r="AMF42" s="52"/>
      <c r="AMG42" s="52"/>
      <c r="AMH42" s="52"/>
      <c r="AMI42" s="52"/>
      <c r="AMJ42" s="52"/>
      <c r="AMK42" s="52"/>
      <c r="AML42" s="52"/>
      <c r="AMM42" s="52"/>
      <c r="AMN42" s="52"/>
      <c r="AMO42" s="52"/>
      <c r="AMP42" s="52"/>
      <c r="AMQ42" s="52"/>
      <c r="AMR42" s="52"/>
      <c r="AMS42" s="52"/>
      <c r="AMT42" s="52"/>
      <c r="AMU42" s="52"/>
      <c r="AMV42" s="52"/>
      <c r="AMW42" s="52"/>
      <c r="AMX42" s="52"/>
      <c r="AMY42" s="52"/>
      <c r="AMZ42" s="52"/>
      <c r="ANA42" s="52"/>
      <c r="ANB42" s="52"/>
      <c r="ANC42" s="52"/>
      <c r="AND42" s="52"/>
      <c r="ANE42" s="52"/>
      <c r="ANF42" s="52"/>
      <c r="ANG42" s="52"/>
      <c r="ANH42" s="52"/>
      <c r="ANI42" s="52"/>
      <c r="ANJ42" s="52"/>
      <c r="ANK42" s="52"/>
      <c r="ANL42" s="52"/>
      <c r="ANM42" s="52"/>
      <c r="ANN42" s="52"/>
      <c r="ANO42" s="52"/>
      <c r="ANP42" s="52"/>
      <c r="ANQ42" s="52"/>
      <c r="ANR42" s="52"/>
      <c r="ANS42" s="52"/>
      <c r="ANT42" s="52"/>
      <c r="ANU42" s="52"/>
      <c r="ANV42" s="52"/>
      <c r="ANW42" s="52"/>
      <c r="ANX42" s="52"/>
      <c r="ANY42" s="52"/>
      <c r="ANZ42" s="52"/>
      <c r="AOA42" s="52"/>
      <c r="AOB42" s="52"/>
      <c r="AOC42" s="52"/>
      <c r="AOD42" s="52"/>
      <c r="AOE42" s="52"/>
      <c r="AOF42" s="52"/>
      <c r="AOG42" s="52"/>
      <c r="AOH42" s="52"/>
      <c r="AOI42" s="52"/>
      <c r="AOJ42" s="52"/>
      <c r="AOK42" s="52"/>
      <c r="AOL42" s="52"/>
      <c r="AOM42" s="52"/>
      <c r="AON42" s="52"/>
      <c r="AOO42" s="52"/>
      <c r="AOP42" s="52"/>
      <c r="AOQ42" s="52"/>
      <c r="AOR42" s="52"/>
      <c r="AOS42" s="52"/>
      <c r="AOT42" s="52"/>
      <c r="AOU42" s="52"/>
      <c r="AOV42" s="52"/>
      <c r="AOW42" s="52"/>
      <c r="AOX42" s="52"/>
      <c r="AOY42" s="52"/>
      <c r="AOZ42" s="52"/>
      <c r="APA42" s="52"/>
      <c r="APB42" s="52"/>
      <c r="APC42" s="52"/>
      <c r="APD42" s="52"/>
      <c r="APE42" s="52"/>
      <c r="APF42" s="52"/>
      <c r="APG42" s="52"/>
      <c r="APH42" s="52"/>
      <c r="API42" s="52"/>
      <c r="APJ42" s="52"/>
      <c r="APK42" s="52"/>
      <c r="APL42" s="52"/>
      <c r="APM42" s="52"/>
      <c r="APN42" s="52"/>
      <c r="APO42" s="52"/>
      <c r="APP42" s="52"/>
      <c r="APQ42" s="52"/>
      <c r="APR42" s="52"/>
      <c r="APS42" s="52"/>
      <c r="APT42" s="52"/>
      <c r="APU42" s="52"/>
      <c r="APV42" s="52"/>
      <c r="APW42" s="52"/>
      <c r="APX42" s="52"/>
      <c r="APY42" s="52"/>
      <c r="APZ42" s="52"/>
      <c r="AQA42" s="52"/>
      <c r="AQB42" s="52"/>
      <c r="AQC42" s="52"/>
      <c r="AQD42" s="52"/>
      <c r="AQE42" s="52"/>
      <c r="AQF42" s="52"/>
      <c r="AQG42" s="52"/>
      <c r="AQH42" s="52"/>
      <c r="AQI42" s="52"/>
      <c r="AQJ42" s="52"/>
      <c r="AQK42" s="52"/>
      <c r="AQL42" s="52"/>
      <c r="AQM42" s="52"/>
      <c r="AQN42" s="52"/>
      <c r="AQO42" s="52"/>
      <c r="AQP42" s="52"/>
      <c r="AQQ42" s="52"/>
      <c r="AQR42" s="52"/>
      <c r="AQS42" s="52"/>
      <c r="AQT42" s="52"/>
      <c r="AQU42" s="52"/>
      <c r="AQV42" s="52"/>
      <c r="AQW42" s="52"/>
      <c r="AQX42" s="52"/>
      <c r="AQY42" s="52"/>
      <c r="AQZ42" s="52"/>
      <c r="ARA42" s="52"/>
      <c r="ARB42" s="52"/>
      <c r="ARC42" s="52"/>
      <c r="ARD42" s="52"/>
      <c r="ARE42" s="52"/>
      <c r="ARF42" s="52"/>
      <c r="ARG42" s="52"/>
      <c r="ARH42" s="52"/>
      <c r="ARI42" s="52"/>
      <c r="ARJ42" s="52"/>
      <c r="ARK42" s="52"/>
      <c r="ARL42" s="52"/>
      <c r="ARM42" s="52"/>
      <c r="ARN42" s="52"/>
      <c r="ARO42" s="52"/>
      <c r="ARP42" s="52"/>
      <c r="ARQ42" s="52"/>
      <c r="ARR42" s="52"/>
      <c r="ARS42" s="52"/>
      <c r="ART42" s="52"/>
      <c r="ARU42" s="52"/>
      <c r="ARV42" s="52"/>
      <c r="ARW42" s="52"/>
      <c r="ARX42" s="52"/>
      <c r="ARY42" s="52"/>
      <c r="ARZ42" s="52"/>
      <c r="ASA42" s="52"/>
      <c r="ASB42" s="52"/>
      <c r="ASC42" s="52"/>
      <c r="ASD42" s="52"/>
      <c r="ASE42" s="52"/>
      <c r="ASF42" s="52"/>
      <c r="ASG42" s="52"/>
      <c r="ASH42" s="52"/>
      <c r="ASI42" s="52"/>
      <c r="ASJ42" s="52"/>
      <c r="ASK42" s="52"/>
      <c r="ASL42" s="52"/>
      <c r="ASM42" s="52"/>
      <c r="ASN42" s="52"/>
      <c r="ASO42" s="52"/>
      <c r="ASP42" s="52"/>
      <c r="ASQ42" s="52"/>
      <c r="ASR42" s="52"/>
      <c r="ASS42" s="52"/>
      <c r="AST42" s="52"/>
      <c r="ASU42" s="52"/>
      <c r="ASV42" s="52"/>
      <c r="ASW42" s="52"/>
      <c r="ASX42" s="52"/>
      <c r="ASY42" s="52"/>
      <c r="ASZ42" s="52"/>
      <c r="ATA42" s="52"/>
      <c r="ATB42" s="52"/>
      <c r="ATC42" s="52"/>
      <c r="ATD42" s="52"/>
      <c r="ATE42" s="52"/>
      <c r="ATF42" s="52"/>
      <c r="ATG42" s="52"/>
      <c r="ATH42" s="52"/>
      <c r="ATI42" s="52"/>
      <c r="ATJ42" s="52"/>
      <c r="ATK42" s="52"/>
      <c r="ATL42" s="52"/>
      <c r="ATM42" s="52"/>
      <c r="ATN42" s="52"/>
      <c r="ATO42" s="52"/>
      <c r="ATP42" s="52"/>
      <c r="ATQ42" s="52"/>
      <c r="ATR42" s="52"/>
      <c r="ATS42" s="52"/>
      <c r="ATT42" s="52"/>
      <c r="ATU42" s="52"/>
      <c r="ATV42" s="52"/>
      <c r="ATW42" s="52"/>
      <c r="ATX42" s="52"/>
      <c r="ATY42" s="52"/>
      <c r="ATZ42" s="52"/>
      <c r="AUA42" s="52"/>
      <c r="AUB42" s="52"/>
      <c r="AUC42" s="52"/>
      <c r="AUD42" s="52"/>
      <c r="AUE42" s="52"/>
      <c r="AUF42" s="52"/>
      <c r="AUG42" s="52"/>
      <c r="AUH42" s="52"/>
      <c r="AUI42" s="52"/>
      <c r="AUJ42" s="52"/>
      <c r="AUK42" s="52"/>
      <c r="AUL42" s="52"/>
      <c r="AUM42" s="52"/>
      <c r="AUN42" s="52"/>
      <c r="AUO42" s="52"/>
      <c r="AUP42" s="52"/>
      <c r="AUQ42" s="52"/>
      <c r="AUR42" s="52"/>
      <c r="AUS42" s="52"/>
      <c r="AUT42" s="52"/>
      <c r="AUU42" s="52"/>
      <c r="AUV42" s="52"/>
      <c r="AUW42" s="52"/>
      <c r="AUX42" s="52"/>
      <c r="AUY42" s="52"/>
      <c r="AUZ42" s="52"/>
      <c r="AVA42" s="52"/>
      <c r="AVB42" s="52"/>
      <c r="AVC42" s="52"/>
      <c r="AVD42" s="52"/>
      <c r="AVE42" s="52"/>
      <c r="AVF42" s="52"/>
      <c r="AVG42" s="52"/>
      <c r="AVH42" s="52"/>
      <c r="AVI42" s="52"/>
      <c r="AVJ42" s="52"/>
      <c r="AVK42" s="52"/>
      <c r="AVL42" s="52"/>
      <c r="AVM42" s="52"/>
      <c r="AVN42" s="52"/>
      <c r="AVO42" s="52"/>
      <c r="AVP42" s="52"/>
      <c r="AVQ42" s="52"/>
      <c r="AVR42" s="52"/>
      <c r="AVS42" s="52"/>
      <c r="AVT42" s="52"/>
      <c r="AVU42" s="52"/>
      <c r="AVV42" s="52"/>
      <c r="AVW42" s="52"/>
      <c r="AVX42" s="52"/>
      <c r="AVY42" s="52"/>
      <c r="AVZ42" s="52"/>
      <c r="AWA42" s="52"/>
      <c r="AWB42" s="52"/>
      <c r="AWC42" s="52"/>
      <c r="AWD42" s="52"/>
      <c r="AWE42" s="52"/>
      <c r="AWF42" s="52"/>
      <c r="AWG42" s="52"/>
      <c r="AWH42" s="52"/>
      <c r="AWI42" s="52"/>
      <c r="AWJ42" s="52"/>
      <c r="AWK42" s="52"/>
      <c r="AWL42" s="52"/>
      <c r="AWM42" s="52"/>
      <c r="AWN42" s="52"/>
      <c r="AWO42" s="52"/>
      <c r="AWP42" s="52"/>
      <c r="AWQ42" s="52"/>
      <c r="AWR42" s="52"/>
      <c r="AWS42" s="52"/>
      <c r="AWT42" s="52"/>
      <c r="AWU42" s="52"/>
      <c r="AWV42" s="52"/>
      <c r="AWW42" s="52"/>
      <c r="AWX42" s="52"/>
      <c r="AWY42" s="52"/>
      <c r="AWZ42" s="52"/>
      <c r="AXA42" s="52"/>
      <c r="AXB42" s="52"/>
      <c r="AXC42" s="52"/>
      <c r="AXD42" s="52"/>
      <c r="AXE42" s="52"/>
      <c r="AXF42" s="52"/>
      <c r="AXG42" s="52"/>
      <c r="AXH42" s="52"/>
      <c r="AXI42" s="52"/>
      <c r="AXJ42" s="52"/>
      <c r="AXK42" s="52"/>
      <c r="AXL42" s="52"/>
      <c r="AXM42" s="52"/>
      <c r="AXN42" s="52"/>
      <c r="AXO42" s="52"/>
      <c r="AXP42" s="52"/>
      <c r="AXQ42" s="52"/>
      <c r="AXR42" s="52"/>
      <c r="AXS42" s="52"/>
      <c r="AXT42" s="52"/>
      <c r="AXU42" s="52"/>
      <c r="AXV42" s="52"/>
      <c r="AXW42" s="52"/>
      <c r="AXX42" s="52"/>
      <c r="AXY42" s="52"/>
      <c r="AXZ42" s="52"/>
      <c r="AYA42" s="52"/>
      <c r="AYB42" s="52"/>
      <c r="AYC42" s="52"/>
      <c r="AYD42" s="52"/>
      <c r="AYE42" s="52"/>
      <c r="AYF42" s="52"/>
      <c r="AYG42" s="52"/>
      <c r="AYH42" s="52"/>
      <c r="AYI42" s="52"/>
      <c r="AYJ42" s="52"/>
      <c r="AYK42" s="52"/>
      <c r="AYL42" s="52"/>
      <c r="AYM42" s="52"/>
      <c r="AYN42" s="52"/>
      <c r="AYO42" s="52"/>
      <c r="AYP42" s="52"/>
      <c r="AYQ42" s="52"/>
      <c r="AYR42" s="52"/>
      <c r="AYS42" s="52"/>
      <c r="AYT42" s="52"/>
      <c r="AYU42" s="52"/>
      <c r="AYV42" s="52"/>
      <c r="AYW42" s="52"/>
      <c r="AYX42" s="52"/>
      <c r="AYY42" s="52"/>
      <c r="AYZ42" s="52"/>
      <c r="AZA42" s="52"/>
      <c r="AZB42" s="52"/>
      <c r="AZC42" s="52"/>
      <c r="AZD42" s="52"/>
      <c r="AZE42" s="52"/>
      <c r="AZF42" s="52"/>
      <c r="AZG42" s="52"/>
      <c r="AZH42" s="52"/>
      <c r="AZI42" s="52"/>
      <c r="AZJ42" s="52"/>
      <c r="AZK42" s="52"/>
      <c r="AZL42" s="52"/>
      <c r="AZM42" s="52"/>
      <c r="AZN42" s="52"/>
      <c r="AZO42" s="52"/>
      <c r="AZP42" s="52"/>
      <c r="AZQ42" s="52"/>
      <c r="AZR42" s="52"/>
      <c r="AZS42" s="52"/>
      <c r="AZT42" s="52"/>
      <c r="AZU42" s="52"/>
      <c r="AZV42" s="52"/>
      <c r="AZW42" s="52"/>
      <c r="AZX42" s="52"/>
      <c r="AZY42" s="52"/>
      <c r="AZZ42" s="52"/>
      <c r="BAA42" s="52"/>
      <c r="BAB42" s="52"/>
      <c r="BAC42" s="52"/>
      <c r="BAD42" s="52"/>
      <c r="BAE42" s="52"/>
      <c r="BAF42" s="52"/>
      <c r="BAG42" s="52"/>
      <c r="BAH42" s="52"/>
      <c r="BAI42" s="52"/>
      <c r="BAJ42" s="52"/>
      <c r="BAK42" s="52"/>
      <c r="BAL42" s="52"/>
      <c r="BAM42" s="52"/>
      <c r="BAN42" s="52"/>
      <c r="BAO42" s="52"/>
      <c r="BAP42" s="52"/>
      <c r="BAQ42" s="52"/>
      <c r="BAR42" s="52"/>
      <c r="BAS42" s="52"/>
      <c r="BAT42" s="52"/>
      <c r="BAU42" s="52"/>
      <c r="BAV42" s="52"/>
      <c r="BAW42" s="52"/>
      <c r="BAX42" s="52"/>
      <c r="BAY42" s="52"/>
      <c r="BAZ42" s="52"/>
      <c r="BBA42" s="52"/>
      <c r="BBB42" s="52"/>
      <c r="BBC42" s="52"/>
      <c r="BBD42" s="52"/>
      <c r="BBE42" s="52"/>
      <c r="BBF42" s="52"/>
      <c r="BBG42" s="52"/>
      <c r="BBH42" s="52"/>
      <c r="BBI42" s="52"/>
      <c r="BBJ42" s="52"/>
      <c r="BBK42" s="52"/>
      <c r="BBL42" s="52"/>
      <c r="BBM42" s="52"/>
      <c r="BBN42" s="52"/>
      <c r="BBO42" s="52"/>
      <c r="BBP42" s="52"/>
      <c r="BBQ42" s="52"/>
      <c r="BBR42" s="52"/>
      <c r="BBS42" s="52"/>
      <c r="BBT42" s="52"/>
      <c r="BBU42" s="52"/>
      <c r="BBV42" s="52"/>
      <c r="BBW42" s="52"/>
      <c r="BBX42" s="52"/>
      <c r="BBY42" s="52"/>
      <c r="BBZ42" s="52"/>
      <c r="BCA42" s="52"/>
      <c r="BCB42" s="52"/>
      <c r="BCC42" s="52"/>
      <c r="BCD42" s="52"/>
      <c r="BCE42" s="52"/>
      <c r="BCF42" s="52"/>
      <c r="BCG42" s="52"/>
      <c r="BCH42" s="52"/>
      <c r="BCI42" s="52"/>
      <c r="BCJ42" s="52"/>
      <c r="BCK42" s="52"/>
      <c r="BCL42" s="52"/>
      <c r="BCM42" s="52"/>
      <c r="BCN42" s="52"/>
      <c r="BCO42" s="52"/>
      <c r="BCP42" s="52"/>
      <c r="BCQ42" s="52"/>
      <c r="BCR42" s="52"/>
      <c r="BCS42" s="52"/>
      <c r="BCT42" s="52"/>
      <c r="BCU42" s="52"/>
      <c r="BCV42" s="52"/>
      <c r="BCW42" s="52"/>
      <c r="BCX42" s="52"/>
      <c r="BCY42" s="52"/>
      <c r="BCZ42" s="52"/>
      <c r="BDA42" s="52"/>
      <c r="BDB42" s="52"/>
      <c r="BDC42" s="52"/>
      <c r="BDD42" s="52"/>
      <c r="BDE42" s="52"/>
      <c r="BDF42" s="52"/>
      <c r="BDG42" s="52"/>
      <c r="BDH42" s="52"/>
      <c r="BDI42" s="52"/>
      <c r="BDJ42" s="52"/>
      <c r="BDK42" s="52"/>
      <c r="BDL42" s="52"/>
      <c r="BDM42" s="52"/>
      <c r="BDN42" s="52"/>
      <c r="BDO42" s="52"/>
      <c r="BDP42" s="52"/>
      <c r="BDQ42" s="52"/>
      <c r="BDR42" s="52"/>
      <c r="BDS42" s="52"/>
      <c r="BDT42" s="52"/>
      <c r="BDU42" s="52"/>
      <c r="BDV42" s="52"/>
      <c r="BDW42" s="52"/>
      <c r="BDX42" s="52"/>
      <c r="BDY42" s="52"/>
      <c r="BDZ42" s="52"/>
      <c r="BEA42" s="52"/>
      <c r="BEB42" s="52"/>
      <c r="BEC42" s="52"/>
      <c r="BED42" s="52"/>
      <c r="BEE42" s="52"/>
      <c r="BEF42" s="52"/>
      <c r="BEG42" s="52"/>
      <c r="BEH42" s="52"/>
      <c r="BEI42" s="52"/>
      <c r="BEJ42" s="52"/>
      <c r="BEK42" s="52"/>
      <c r="BEL42" s="52"/>
      <c r="BEM42" s="52"/>
      <c r="BEN42" s="52"/>
      <c r="BEO42" s="52"/>
      <c r="BEP42" s="52"/>
      <c r="BEQ42" s="52"/>
      <c r="BER42" s="52"/>
      <c r="BES42" s="52"/>
      <c r="BET42" s="52"/>
      <c r="BEU42" s="52"/>
      <c r="BEV42" s="52"/>
      <c r="BEW42" s="52"/>
      <c r="BEX42" s="52"/>
      <c r="BEY42" s="52"/>
      <c r="BEZ42" s="52"/>
      <c r="BFA42" s="52"/>
      <c r="BFB42" s="52"/>
      <c r="BFC42" s="52"/>
      <c r="BFD42" s="52"/>
      <c r="BFE42" s="52"/>
      <c r="BFF42" s="52"/>
      <c r="BFG42" s="52"/>
      <c r="BFH42" s="52"/>
      <c r="BFI42" s="52"/>
      <c r="BFJ42" s="52"/>
      <c r="BFK42" s="52"/>
      <c r="BFL42" s="52"/>
      <c r="BFM42" s="52"/>
      <c r="BFN42" s="52"/>
      <c r="BFO42" s="52"/>
      <c r="BFP42" s="52"/>
      <c r="BFQ42" s="52"/>
      <c r="BFR42" s="52"/>
      <c r="BFS42" s="52"/>
      <c r="BFT42" s="52"/>
      <c r="BFU42" s="52"/>
      <c r="BFV42" s="52"/>
      <c r="BFW42" s="52"/>
      <c r="BFX42" s="52"/>
      <c r="BFY42" s="52"/>
      <c r="BFZ42" s="52"/>
      <c r="BGA42" s="52"/>
      <c r="BGB42" s="52"/>
      <c r="BGC42" s="52"/>
      <c r="BGD42" s="52"/>
      <c r="BGE42" s="52"/>
      <c r="BGF42" s="52"/>
      <c r="BGG42" s="52"/>
      <c r="BGH42" s="52"/>
      <c r="BGI42" s="52"/>
      <c r="BGJ42" s="52"/>
      <c r="BGK42" s="52"/>
      <c r="BGL42" s="52"/>
      <c r="BGM42" s="52"/>
      <c r="BGN42" s="52"/>
      <c r="BGO42" s="52"/>
      <c r="BGP42" s="52"/>
      <c r="BGQ42" s="52"/>
      <c r="BGR42" s="52"/>
      <c r="BGS42" s="52"/>
      <c r="BGT42" s="52"/>
      <c r="BGU42" s="52"/>
      <c r="BGV42" s="52"/>
      <c r="BGW42" s="52"/>
      <c r="BGX42" s="52"/>
      <c r="BGY42" s="52"/>
      <c r="BGZ42" s="52"/>
      <c r="BHA42" s="52"/>
      <c r="BHB42" s="52"/>
      <c r="BHC42" s="52"/>
      <c r="BHD42" s="52"/>
      <c r="BHE42" s="52"/>
      <c r="BHF42" s="52"/>
      <c r="BHG42" s="52"/>
      <c r="BHH42" s="52"/>
      <c r="BHI42" s="52"/>
      <c r="BHJ42" s="52"/>
      <c r="BHK42" s="52"/>
      <c r="BHL42" s="52"/>
      <c r="BHM42" s="52"/>
      <c r="BHN42" s="52"/>
      <c r="BHO42" s="52"/>
      <c r="BHP42" s="52"/>
      <c r="BHQ42" s="52"/>
      <c r="BHR42" s="52"/>
      <c r="BHS42" s="52"/>
      <c r="BHT42" s="52"/>
      <c r="BHU42" s="52"/>
      <c r="BHV42" s="52"/>
      <c r="BHW42" s="52"/>
      <c r="BHX42" s="52"/>
      <c r="BHY42" s="52"/>
      <c r="BHZ42" s="52"/>
      <c r="BIA42" s="52"/>
      <c r="BIB42" s="52"/>
      <c r="BIC42" s="52"/>
      <c r="BID42" s="52"/>
      <c r="BIE42" s="52"/>
      <c r="BIF42" s="52"/>
      <c r="BIG42" s="52"/>
      <c r="BIH42" s="52"/>
      <c r="BII42" s="52"/>
      <c r="BIJ42" s="52"/>
      <c r="BIK42" s="52"/>
      <c r="BIL42" s="52"/>
      <c r="BIM42" s="52"/>
      <c r="BIN42" s="52"/>
      <c r="BIO42" s="52"/>
      <c r="BIP42" s="52"/>
      <c r="BIQ42" s="52"/>
      <c r="BIR42" s="52"/>
      <c r="BIS42" s="52"/>
      <c r="BIT42" s="52"/>
      <c r="BIU42" s="52"/>
      <c r="BIV42" s="52"/>
      <c r="BIW42" s="52"/>
      <c r="BIX42" s="52"/>
      <c r="BIY42" s="52"/>
      <c r="BIZ42" s="52"/>
      <c r="BJA42" s="52"/>
      <c r="BJB42" s="52"/>
      <c r="BJC42" s="52"/>
      <c r="BJD42" s="52"/>
      <c r="BJE42" s="52"/>
      <c r="BJF42" s="52"/>
      <c r="BJG42" s="52"/>
      <c r="BJH42" s="52"/>
      <c r="BJI42" s="52"/>
      <c r="BJJ42" s="52"/>
      <c r="BJK42" s="52"/>
      <c r="BJL42" s="52"/>
      <c r="BJM42" s="52"/>
      <c r="BJN42" s="52"/>
      <c r="BJO42" s="52"/>
      <c r="BJP42" s="52"/>
      <c r="BJQ42" s="52"/>
      <c r="BJR42" s="52"/>
      <c r="BJS42" s="52"/>
      <c r="BJT42" s="52"/>
      <c r="BJU42" s="52"/>
      <c r="BJV42" s="52"/>
      <c r="BJW42" s="52"/>
      <c r="BJX42" s="52"/>
      <c r="BJY42" s="52"/>
      <c r="BJZ42" s="52"/>
      <c r="BKA42" s="52"/>
      <c r="BKB42" s="52"/>
      <c r="BKC42" s="52"/>
      <c r="BKD42" s="52"/>
      <c r="BKE42" s="52"/>
      <c r="BKF42" s="52"/>
      <c r="BKG42" s="52"/>
      <c r="BKH42" s="52"/>
      <c r="BKI42" s="52"/>
      <c r="BKJ42" s="52"/>
      <c r="BKK42" s="52"/>
      <c r="BKL42" s="52"/>
      <c r="BKM42" s="52"/>
      <c r="BKN42" s="52"/>
      <c r="BKO42" s="52"/>
      <c r="BKP42" s="52"/>
      <c r="BKQ42" s="52"/>
      <c r="BKR42" s="52"/>
      <c r="BKS42" s="52"/>
      <c r="BKT42" s="52"/>
      <c r="BKU42" s="52"/>
      <c r="BKV42" s="52"/>
      <c r="BKW42" s="52"/>
      <c r="BKX42" s="52"/>
      <c r="BKY42" s="52"/>
      <c r="BKZ42" s="52"/>
      <c r="BLA42" s="52"/>
      <c r="BLB42" s="52"/>
      <c r="BLC42" s="52"/>
      <c r="BLD42" s="52"/>
      <c r="BLE42" s="52"/>
      <c r="BLF42" s="52"/>
      <c r="BLG42" s="52"/>
      <c r="BLH42" s="52"/>
      <c r="BLI42" s="52"/>
      <c r="BLJ42" s="52"/>
      <c r="BLK42" s="52"/>
      <c r="BLL42" s="52"/>
      <c r="BLM42" s="52"/>
      <c r="BLN42" s="52"/>
      <c r="BLO42" s="52"/>
      <c r="BLP42" s="52"/>
      <c r="BLQ42" s="52"/>
      <c r="BLR42" s="52"/>
      <c r="BLS42" s="52"/>
      <c r="BLT42" s="52"/>
      <c r="BLU42" s="52"/>
      <c r="BLV42" s="52"/>
      <c r="BLW42" s="52"/>
      <c r="BLX42" s="52"/>
      <c r="BLY42" s="52"/>
      <c r="BLZ42" s="52"/>
      <c r="BMA42" s="52"/>
      <c r="BMB42" s="52"/>
      <c r="BMC42" s="52"/>
      <c r="BMD42" s="52"/>
      <c r="BME42" s="52"/>
      <c r="BMF42" s="52"/>
      <c r="BMG42" s="52"/>
      <c r="BMH42" s="52"/>
      <c r="BMI42" s="52"/>
      <c r="BMJ42" s="52"/>
      <c r="BMK42" s="52"/>
      <c r="BML42" s="52"/>
      <c r="BMM42" s="52"/>
      <c r="BMN42" s="52"/>
      <c r="BMO42" s="52"/>
      <c r="BMP42" s="52"/>
      <c r="BMQ42" s="52"/>
      <c r="BMR42" s="52"/>
      <c r="BMS42" s="52"/>
      <c r="BMT42" s="52"/>
      <c r="BMU42" s="52"/>
      <c r="BMV42" s="52"/>
      <c r="BMW42" s="52"/>
      <c r="BMX42" s="52"/>
      <c r="BMY42" s="52"/>
      <c r="BMZ42" s="52"/>
      <c r="BNA42" s="52"/>
      <c r="BNB42" s="52"/>
      <c r="BNC42" s="52"/>
      <c r="BND42" s="52"/>
      <c r="BNE42" s="52"/>
      <c r="BNF42" s="52"/>
      <c r="BNG42" s="52"/>
      <c r="BNH42" s="52"/>
      <c r="BNI42" s="52"/>
      <c r="BNJ42" s="52"/>
      <c r="BNK42" s="52"/>
      <c r="BNL42" s="52"/>
      <c r="BNM42" s="52"/>
      <c r="BNN42" s="52"/>
      <c r="BNO42" s="52"/>
      <c r="BNP42" s="52"/>
      <c r="BNQ42" s="52"/>
      <c r="BNR42" s="52"/>
      <c r="BNS42" s="52"/>
      <c r="BNT42" s="52"/>
      <c r="BNU42" s="52"/>
      <c r="BNV42" s="52"/>
      <c r="BNW42" s="52"/>
      <c r="BNX42" s="52"/>
      <c r="BNY42" s="52"/>
      <c r="BNZ42" s="52"/>
      <c r="BOA42" s="52"/>
      <c r="BOB42" s="52"/>
      <c r="BOC42" s="52"/>
      <c r="BOD42" s="52"/>
      <c r="BOE42" s="52"/>
      <c r="BOF42" s="52"/>
      <c r="BOG42" s="52"/>
      <c r="BOH42" s="52"/>
      <c r="BOI42" s="52"/>
      <c r="BOJ42" s="52"/>
      <c r="BOK42" s="52"/>
      <c r="BOL42" s="52"/>
      <c r="BOM42" s="52"/>
      <c r="BON42" s="52"/>
      <c r="BOO42" s="52"/>
      <c r="BOP42" s="52"/>
      <c r="BOQ42" s="52"/>
      <c r="BOR42" s="52"/>
      <c r="BOS42" s="52"/>
      <c r="BOT42" s="52"/>
      <c r="BOU42" s="52"/>
      <c r="BOV42" s="52"/>
      <c r="BOW42" s="52"/>
      <c r="BOX42" s="52"/>
      <c r="BOY42" s="52"/>
      <c r="BOZ42" s="52"/>
      <c r="BPA42" s="52"/>
      <c r="BPB42" s="52"/>
      <c r="BPC42" s="52"/>
      <c r="BPD42" s="52"/>
      <c r="BPE42" s="52"/>
      <c r="BPF42" s="52"/>
      <c r="BPG42" s="52"/>
      <c r="BPH42" s="52"/>
      <c r="BPI42" s="52"/>
      <c r="BPJ42" s="52"/>
      <c r="BPK42" s="52"/>
      <c r="BPL42" s="52"/>
      <c r="BPM42" s="52"/>
      <c r="BPN42" s="52"/>
      <c r="BPO42" s="52"/>
      <c r="BPP42" s="52"/>
      <c r="BPQ42" s="52"/>
      <c r="BPR42" s="52"/>
      <c r="BPS42" s="52"/>
      <c r="BPT42" s="52"/>
      <c r="BPU42" s="52"/>
      <c r="BPV42" s="52"/>
      <c r="BPW42" s="52"/>
      <c r="BPX42" s="52"/>
      <c r="BPY42" s="52"/>
      <c r="BPZ42" s="52"/>
      <c r="BQA42" s="52"/>
      <c r="BQB42" s="52"/>
      <c r="BQC42" s="52"/>
      <c r="BQD42" s="52"/>
      <c r="BQE42" s="52"/>
      <c r="BQF42" s="52"/>
      <c r="BQG42" s="52"/>
      <c r="BQH42" s="52"/>
      <c r="BQI42" s="52"/>
      <c r="BQJ42" s="52"/>
      <c r="BQK42" s="52"/>
      <c r="BQL42" s="52"/>
      <c r="BQM42" s="52"/>
      <c r="BQN42" s="52"/>
      <c r="BQO42" s="52"/>
      <c r="BQP42" s="52"/>
      <c r="BQQ42" s="52"/>
      <c r="BQR42" s="52"/>
      <c r="BQS42" s="52"/>
      <c r="BQT42" s="52"/>
      <c r="BQU42" s="52"/>
      <c r="BQV42" s="52"/>
      <c r="BQW42" s="52"/>
      <c r="BQX42" s="52"/>
      <c r="BQY42" s="52"/>
      <c r="BQZ42" s="52"/>
      <c r="BRA42" s="52"/>
      <c r="BRB42" s="52"/>
      <c r="BRC42" s="52"/>
      <c r="BRD42" s="52"/>
      <c r="BRE42" s="52"/>
      <c r="BRF42" s="52"/>
      <c r="BRG42" s="52"/>
      <c r="BRH42" s="52"/>
      <c r="BRI42" s="52"/>
      <c r="BRJ42" s="52"/>
      <c r="BRK42" s="52"/>
      <c r="BRL42" s="52"/>
      <c r="BRM42" s="52"/>
      <c r="BRN42" s="52"/>
      <c r="BRO42" s="52"/>
      <c r="BRP42" s="52"/>
      <c r="BRQ42" s="52"/>
      <c r="BRR42" s="52"/>
      <c r="BRS42" s="52"/>
      <c r="BRT42" s="52"/>
      <c r="BRU42" s="52"/>
      <c r="BRV42" s="52"/>
      <c r="BRW42" s="52"/>
      <c r="BRX42" s="52"/>
      <c r="BRY42" s="52"/>
      <c r="BRZ42" s="52"/>
      <c r="BSA42" s="52"/>
      <c r="BSB42" s="52"/>
      <c r="BSC42" s="52"/>
      <c r="BSD42" s="52"/>
      <c r="BSE42" s="52"/>
      <c r="BSF42" s="52"/>
      <c r="BSG42" s="52"/>
      <c r="BSH42" s="52"/>
      <c r="BSI42" s="52"/>
      <c r="BSJ42" s="52"/>
      <c r="BSK42" s="52"/>
      <c r="BSL42" s="52"/>
      <c r="BSM42" s="52"/>
      <c r="BSN42" s="52"/>
      <c r="BSO42" s="52"/>
      <c r="BSP42" s="52"/>
      <c r="BSQ42" s="52"/>
      <c r="BSR42" s="52"/>
      <c r="BSS42" s="52"/>
      <c r="BST42" s="52"/>
      <c r="BSU42" s="52"/>
      <c r="BSV42" s="52"/>
      <c r="BSW42" s="52"/>
      <c r="BSX42" s="52"/>
      <c r="BSY42" s="52"/>
      <c r="BSZ42" s="52"/>
      <c r="BTA42" s="52"/>
      <c r="BTB42" s="52"/>
      <c r="BTC42" s="52"/>
      <c r="BTD42" s="52"/>
      <c r="BTE42" s="52"/>
      <c r="BTF42" s="52"/>
      <c r="BTG42" s="52"/>
      <c r="BTH42" s="52"/>
      <c r="BTI42" s="52"/>
      <c r="BTJ42" s="52"/>
      <c r="BTK42" s="52"/>
      <c r="BTL42" s="52"/>
      <c r="BTM42" s="52"/>
      <c r="BTN42" s="52"/>
      <c r="BTO42" s="52"/>
      <c r="BTP42" s="52"/>
      <c r="BTQ42" s="52"/>
      <c r="BTR42" s="52"/>
      <c r="BTS42" s="52"/>
      <c r="BTT42" s="52"/>
      <c r="BTU42" s="52"/>
      <c r="BTV42" s="52"/>
      <c r="BTW42" s="52"/>
      <c r="BTX42" s="52"/>
      <c r="BTY42" s="52"/>
      <c r="BTZ42" s="52"/>
      <c r="BUA42" s="52"/>
      <c r="BUB42" s="52"/>
      <c r="BUC42" s="52"/>
      <c r="BUD42" s="52"/>
      <c r="BUE42" s="52"/>
      <c r="BUF42" s="52"/>
      <c r="BUG42" s="52"/>
      <c r="BUH42" s="52"/>
      <c r="BUI42" s="52"/>
      <c r="BUJ42" s="52"/>
      <c r="BUK42" s="52"/>
      <c r="BUL42" s="52"/>
      <c r="BUM42" s="52"/>
      <c r="BUN42" s="52"/>
      <c r="BUO42" s="52"/>
      <c r="BUP42" s="52"/>
      <c r="BUQ42" s="52"/>
      <c r="BUR42" s="52"/>
      <c r="BUS42" s="52"/>
      <c r="BUT42" s="52"/>
      <c r="BUU42" s="52"/>
      <c r="BUV42" s="52"/>
      <c r="BUW42" s="52"/>
      <c r="BUX42" s="52"/>
      <c r="BUY42" s="52"/>
      <c r="BUZ42" s="52"/>
      <c r="BVA42" s="52"/>
      <c r="BVB42" s="52"/>
      <c r="BVC42" s="52"/>
      <c r="BVD42" s="52"/>
      <c r="BVE42" s="52"/>
      <c r="BVF42" s="52"/>
      <c r="BVG42" s="52"/>
      <c r="BVH42" s="52"/>
      <c r="BVI42" s="52"/>
      <c r="BVJ42" s="52"/>
      <c r="BVK42" s="52"/>
      <c r="BVL42" s="52"/>
      <c r="BVM42" s="52"/>
      <c r="BVN42" s="52"/>
      <c r="BVO42" s="52"/>
      <c r="BVP42" s="52"/>
      <c r="BVQ42" s="52"/>
      <c r="BVR42" s="52"/>
      <c r="BVS42" s="52"/>
      <c r="BVT42" s="52"/>
      <c r="BVU42" s="52"/>
      <c r="BVV42" s="52"/>
      <c r="BVW42" s="52"/>
      <c r="BVX42" s="52"/>
      <c r="BVY42" s="52"/>
      <c r="BVZ42" s="52"/>
      <c r="BWA42" s="52"/>
      <c r="BWB42" s="52"/>
      <c r="BWC42" s="52"/>
      <c r="BWD42" s="52"/>
      <c r="BWE42" s="52"/>
      <c r="BWF42" s="52"/>
      <c r="BWG42" s="52"/>
      <c r="BWH42" s="52"/>
      <c r="BWI42" s="52"/>
      <c r="BWJ42" s="52"/>
      <c r="BWK42" s="52"/>
      <c r="BWL42" s="52"/>
      <c r="BWM42" s="52"/>
      <c r="BWN42" s="52"/>
      <c r="BWO42" s="52"/>
      <c r="BWP42" s="52"/>
      <c r="BWQ42" s="52"/>
      <c r="BWR42" s="52"/>
      <c r="BWS42" s="52"/>
      <c r="BWT42" s="52"/>
      <c r="BWU42" s="52"/>
      <c r="BWV42" s="52"/>
      <c r="BWW42" s="52"/>
      <c r="BWX42" s="52"/>
      <c r="BWY42" s="52"/>
      <c r="BWZ42" s="52"/>
      <c r="BXA42" s="52"/>
      <c r="BXB42" s="52"/>
      <c r="BXC42" s="52"/>
      <c r="BXD42" s="52"/>
      <c r="BXE42" s="52"/>
      <c r="BXF42" s="52"/>
      <c r="BXG42" s="52"/>
      <c r="BXH42" s="52"/>
      <c r="BXI42" s="52"/>
      <c r="BXJ42" s="52"/>
      <c r="BXK42" s="52"/>
      <c r="BXL42" s="52"/>
      <c r="BXM42" s="52"/>
      <c r="BXN42" s="52"/>
      <c r="BXO42" s="52"/>
      <c r="BXP42" s="52"/>
      <c r="BXQ42" s="52"/>
      <c r="BXR42" s="52"/>
      <c r="BXS42" s="52"/>
      <c r="BXT42" s="52"/>
      <c r="BXU42" s="52"/>
      <c r="BXV42" s="52"/>
      <c r="BXW42" s="52"/>
      <c r="BXX42" s="52"/>
      <c r="BXY42" s="52"/>
      <c r="BXZ42" s="52"/>
      <c r="BYA42" s="52"/>
      <c r="BYB42" s="52"/>
      <c r="BYC42" s="52"/>
      <c r="BYD42" s="52"/>
      <c r="BYE42" s="52"/>
      <c r="BYF42" s="52"/>
      <c r="BYG42" s="52"/>
      <c r="BYH42" s="52"/>
      <c r="BYI42" s="52"/>
      <c r="BYJ42" s="52"/>
      <c r="BYK42" s="52"/>
      <c r="BYL42" s="52"/>
      <c r="BYM42" s="52"/>
      <c r="BYN42" s="52"/>
      <c r="BYO42" s="52"/>
      <c r="BYP42" s="52"/>
      <c r="BYQ42" s="52"/>
      <c r="BYR42" s="52"/>
      <c r="BYS42" s="52"/>
      <c r="BYT42" s="52"/>
      <c r="BYU42" s="52"/>
      <c r="BYV42" s="52"/>
      <c r="BYW42" s="52"/>
      <c r="BYX42" s="52"/>
      <c r="BYY42" s="52"/>
      <c r="BYZ42" s="52"/>
      <c r="BZA42" s="52"/>
      <c r="BZB42" s="52"/>
      <c r="BZC42" s="52"/>
      <c r="BZD42" s="52"/>
      <c r="BZE42" s="52"/>
      <c r="BZF42" s="52"/>
      <c r="BZG42" s="52"/>
      <c r="BZH42" s="52"/>
      <c r="BZI42" s="52"/>
      <c r="BZJ42" s="52"/>
      <c r="BZK42" s="52"/>
      <c r="BZL42" s="52"/>
      <c r="BZM42" s="52"/>
      <c r="BZN42" s="52"/>
      <c r="BZO42" s="52"/>
      <c r="BZP42" s="52"/>
      <c r="BZQ42" s="52"/>
      <c r="BZR42" s="52"/>
      <c r="BZS42" s="52"/>
      <c r="BZT42" s="52"/>
      <c r="BZU42" s="52"/>
      <c r="BZV42" s="52"/>
      <c r="BZW42" s="52"/>
      <c r="BZX42" s="52"/>
      <c r="BZY42" s="52"/>
      <c r="BZZ42" s="52"/>
      <c r="CAA42" s="52"/>
      <c r="CAB42" s="52"/>
      <c r="CAC42" s="52"/>
      <c r="CAD42" s="52"/>
      <c r="CAE42" s="52"/>
      <c r="CAF42" s="52"/>
      <c r="CAG42" s="52"/>
      <c r="CAH42" s="52"/>
      <c r="CAI42" s="52"/>
      <c r="CAJ42" s="52"/>
      <c r="CAK42" s="52"/>
      <c r="CAL42" s="52"/>
      <c r="CAM42" s="52"/>
      <c r="CAN42" s="52"/>
      <c r="CAO42" s="52"/>
      <c r="CAP42" s="52"/>
      <c r="CAQ42" s="52"/>
      <c r="CAR42" s="52"/>
      <c r="CAS42" s="52"/>
      <c r="CAT42" s="52"/>
      <c r="CAU42" s="52"/>
      <c r="CAV42" s="52"/>
      <c r="CAW42" s="52"/>
      <c r="CAX42" s="52"/>
      <c r="CAY42" s="52"/>
      <c r="CAZ42" s="52"/>
      <c r="CBA42" s="52"/>
      <c r="CBB42" s="52"/>
      <c r="CBC42" s="52"/>
      <c r="CBD42" s="52"/>
      <c r="CBE42" s="52"/>
      <c r="CBF42" s="52"/>
      <c r="CBG42" s="52"/>
      <c r="CBH42" s="52"/>
      <c r="CBI42" s="52"/>
      <c r="CBJ42" s="52"/>
      <c r="CBK42" s="52"/>
      <c r="CBL42" s="52"/>
      <c r="CBM42" s="52"/>
      <c r="CBN42" s="52"/>
      <c r="CBO42" s="52"/>
      <c r="CBP42" s="52"/>
      <c r="CBQ42" s="52"/>
      <c r="CBR42" s="52"/>
      <c r="CBS42" s="52"/>
      <c r="CBT42" s="52"/>
      <c r="CBU42" s="52"/>
      <c r="CBV42" s="52"/>
      <c r="CBW42" s="52"/>
      <c r="CBX42" s="52"/>
      <c r="CBY42" s="52"/>
      <c r="CBZ42" s="52"/>
      <c r="CCA42" s="52"/>
      <c r="CCB42" s="52"/>
      <c r="CCC42" s="52"/>
      <c r="CCD42" s="52"/>
      <c r="CCE42" s="52"/>
      <c r="CCF42" s="52"/>
      <c r="CCG42" s="52"/>
      <c r="CCH42" s="52"/>
      <c r="CCI42" s="52"/>
      <c r="CCJ42" s="52"/>
      <c r="CCK42" s="52"/>
      <c r="CCL42" s="52"/>
      <c r="CCM42" s="52"/>
      <c r="CCN42" s="52"/>
      <c r="CCO42" s="52"/>
      <c r="CCP42" s="52"/>
      <c r="CCQ42" s="52"/>
      <c r="CCR42" s="52"/>
      <c r="CCS42" s="52"/>
      <c r="CCT42" s="52"/>
      <c r="CCU42" s="52"/>
      <c r="CCV42" s="52"/>
      <c r="CCW42" s="52"/>
      <c r="CCX42" s="52"/>
      <c r="CCY42" s="52"/>
      <c r="CCZ42" s="52"/>
      <c r="CDA42" s="52"/>
      <c r="CDB42" s="52"/>
      <c r="CDC42" s="52"/>
      <c r="CDD42" s="52"/>
      <c r="CDE42" s="52"/>
      <c r="CDF42" s="52"/>
      <c r="CDG42" s="52"/>
      <c r="CDH42" s="52"/>
      <c r="CDI42" s="52"/>
      <c r="CDJ42" s="52"/>
      <c r="CDK42" s="52"/>
      <c r="CDL42" s="52"/>
      <c r="CDM42" s="52"/>
      <c r="CDN42" s="52"/>
      <c r="CDO42" s="52"/>
      <c r="CDP42" s="52"/>
      <c r="CDQ42" s="52"/>
      <c r="CDR42" s="52"/>
      <c r="CDS42" s="52"/>
      <c r="CDT42" s="52"/>
      <c r="CDU42" s="52"/>
      <c r="CDV42" s="52"/>
      <c r="CDW42" s="52"/>
      <c r="CDX42" s="52"/>
      <c r="CDY42" s="52"/>
      <c r="CDZ42" s="52"/>
      <c r="CEA42" s="52"/>
      <c r="CEB42" s="52"/>
      <c r="CEC42" s="52"/>
      <c r="CED42" s="52"/>
      <c r="CEE42" s="52"/>
      <c r="CEF42" s="52"/>
      <c r="CEG42" s="52"/>
      <c r="CEH42" s="52"/>
      <c r="CEI42" s="52"/>
      <c r="CEJ42" s="52"/>
      <c r="CEK42" s="52"/>
      <c r="CEL42" s="52"/>
      <c r="CEM42" s="52"/>
      <c r="CEN42" s="52"/>
      <c r="CEO42" s="52"/>
      <c r="CEP42" s="52"/>
      <c r="CEQ42" s="52"/>
      <c r="CER42" s="52"/>
      <c r="CES42" s="52"/>
      <c r="CET42" s="52"/>
      <c r="CEU42" s="52"/>
      <c r="CEV42" s="52"/>
      <c r="CEW42" s="52"/>
      <c r="CEX42" s="52"/>
      <c r="CEY42" s="52"/>
      <c r="CEZ42" s="52"/>
      <c r="CFA42" s="52"/>
      <c r="CFB42" s="52"/>
      <c r="CFC42" s="52"/>
      <c r="CFD42" s="52"/>
      <c r="CFE42" s="52"/>
      <c r="CFF42" s="52"/>
      <c r="CFG42" s="52"/>
      <c r="CFH42" s="52"/>
      <c r="CFI42" s="52"/>
      <c r="CFJ42" s="52"/>
      <c r="CFK42" s="52"/>
      <c r="CFL42" s="52"/>
      <c r="CFM42" s="52"/>
      <c r="CFN42" s="52"/>
      <c r="CFO42" s="52"/>
      <c r="CFP42" s="52"/>
      <c r="CFQ42" s="52"/>
      <c r="CFR42" s="52"/>
      <c r="CFS42" s="52"/>
      <c r="CFT42" s="52"/>
      <c r="CFU42" s="52"/>
      <c r="CFV42" s="52"/>
      <c r="CFW42" s="52"/>
      <c r="CFX42" s="52"/>
      <c r="CFY42" s="52"/>
      <c r="CFZ42" s="52"/>
      <c r="CGA42" s="52"/>
      <c r="CGB42" s="52"/>
      <c r="CGC42" s="52"/>
      <c r="CGD42" s="52"/>
      <c r="CGE42" s="52"/>
      <c r="CGF42" s="52"/>
      <c r="CGG42" s="52"/>
      <c r="CGH42" s="52"/>
      <c r="CGI42" s="52"/>
      <c r="CGJ42" s="52"/>
      <c r="CGK42" s="52"/>
      <c r="CGL42" s="52"/>
      <c r="CGM42" s="52"/>
      <c r="CGN42" s="52"/>
      <c r="CGO42" s="52"/>
      <c r="CGP42" s="52"/>
      <c r="CGQ42" s="52"/>
      <c r="CGR42" s="52"/>
      <c r="CGS42" s="52"/>
      <c r="CGT42" s="52"/>
      <c r="CGU42" s="52"/>
      <c r="CGV42" s="52"/>
      <c r="CGW42" s="52"/>
      <c r="CGX42" s="52"/>
      <c r="CGY42" s="52"/>
      <c r="CGZ42" s="52"/>
      <c r="CHA42" s="52"/>
      <c r="CHB42" s="52"/>
      <c r="CHC42" s="52"/>
      <c r="CHD42" s="52"/>
      <c r="CHE42" s="52"/>
      <c r="CHF42" s="52"/>
      <c r="CHG42" s="52"/>
      <c r="CHH42" s="52"/>
      <c r="CHI42" s="52"/>
      <c r="CHJ42" s="52"/>
      <c r="CHK42" s="52"/>
      <c r="CHL42" s="52"/>
      <c r="CHM42" s="52"/>
      <c r="CHN42" s="52"/>
      <c r="CHO42" s="52"/>
      <c r="CHP42" s="52"/>
      <c r="CHQ42" s="52"/>
      <c r="CHR42" s="52"/>
      <c r="CHS42" s="52"/>
      <c r="CHT42" s="52"/>
      <c r="CHU42" s="52"/>
      <c r="CHV42" s="52"/>
      <c r="CHW42" s="52"/>
      <c r="CHX42" s="52"/>
      <c r="CHY42" s="52"/>
      <c r="CHZ42" s="52"/>
      <c r="CIA42" s="52"/>
      <c r="CIB42" s="52"/>
      <c r="CIC42" s="52"/>
      <c r="CID42" s="52"/>
      <c r="CIE42" s="52"/>
      <c r="CIF42" s="52"/>
      <c r="CIG42" s="52"/>
      <c r="CIH42" s="52"/>
      <c r="CII42" s="52"/>
      <c r="CIJ42" s="52"/>
      <c r="CIK42" s="52"/>
      <c r="CIL42" s="52"/>
      <c r="CIM42" s="52"/>
      <c r="CIN42" s="52"/>
      <c r="CIO42" s="52"/>
      <c r="CIP42" s="52"/>
      <c r="CIQ42" s="52"/>
      <c r="CIR42" s="52"/>
      <c r="CIS42" s="52"/>
      <c r="CIT42" s="52"/>
      <c r="CIU42" s="52"/>
      <c r="CIV42" s="52"/>
      <c r="CIW42" s="52"/>
      <c r="CIX42" s="52"/>
      <c r="CIY42" s="52"/>
      <c r="CIZ42" s="52"/>
      <c r="CJA42" s="52"/>
      <c r="CJB42" s="52"/>
      <c r="CJC42" s="52"/>
      <c r="CJD42" s="52"/>
      <c r="CJE42" s="52"/>
      <c r="CJF42" s="52"/>
      <c r="CJG42" s="52"/>
      <c r="CJH42" s="52"/>
      <c r="CJI42" s="52"/>
      <c r="CJJ42" s="52"/>
      <c r="CJK42" s="52"/>
      <c r="CJL42" s="52"/>
      <c r="CJM42" s="52"/>
      <c r="CJN42" s="52"/>
      <c r="CJO42" s="52"/>
      <c r="CJP42" s="52"/>
      <c r="CJQ42" s="52"/>
      <c r="CJR42" s="52"/>
      <c r="CJS42" s="52"/>
      <c r="CJT42" s="52"/>
      <c r="CJU42" s="52"/>
      <c r="CJV42" s="52"/>
      <c r="CJW42" s="52"/>
      <c r="CJX42" s="52"/>
      <c r="CJY42" s="52"/>
      <c r="CJZ42" s="52"/>
      <c r="CKA42" s="52"/>
      <c r="CKB42" s="52"/>
      <c r="CKC42" s="52"/>
      <c r="CKD42" s="52"/>
      <c r="CKE42" s="52"/>
      <c r="CKF42" s="52"/>
      <c r="CKG42" s="52"/>
      <c r="CKH42" s="52"/>
      <c r="CKI42" s="52"/>
      <c r="CKJ42" s="52"/>
      <c r="CKK42" s="52"/>
      <c r="CKL42" s="52"/>
      <c r="CKM42" s="52"/>
      <c r="CKN42" s="52"/>
      <c r="CKO42" s="52"/>
      <c r="CKP42" s="52"/>
      <c r="CKQ42" s="52"/>
      <c r="CKR42" s="52"/>
      <c r="CKS42" s="52"/>
      <c r="CKT42" s="52"/>
      <c r="CKU42" s="52"/>
      <c r="CKV42" s="52"/>
      <c r="CKW42" s="52"/>
      <c r="CKX42" s="52"/>
      <c r="CKY42" s="52"/>
      <c r="CKZ42" s="52"/>
      <c r="CLA42" s="52"/>
      <c r="CLB42" s="52"/>
      <c r="CLC42" s="52"/>
      <c r="CLD42" s="52"/>
      <c r="CLE42" s="52"/>
      <c r="CLF42" s="52"/>
      <c r="CLG42" s="52"/>
      <c r="CLH42" s="52"/>
      <c r="CLI42" s="52"/>
      <c r="CLJ42" s="52"/>
      <c r="CLK42" s="52"/>
      <c r="CLL42" s="52"/>
      <c r="CLM42" s="52"/>
      <c r="CLN42" s="52"/>
      <c r="CLO42" s="52"/>
      <c r="CLP42" s="52"/>
      <c r="CLQ42" s="52"/>
      <c r="CLR42" s="52"/>
      <c r="CLS42" s="52"/>
      <c r="CLT42" s="52"/>
      <c r="CLU42" s="52"/>
      <c r="CLV42" s="52"/>
      <c r="CLW42" s="52"/>
      <c r="CLX42" s="52"/>
      <c r="CLY42" s="52"/>
      <c r="CLZ42" s="52"/>
      <c r="CMA42" s="52"/>
      <c r="CMB42" s="52"/>
      <c r="CMC42" s="52"/>
      <c r="CMD42" s="52"/>
      <c r="CME42" s="52"/>
      <c r="CMF42" s="52"/>
      <c r="CMG42" s="52"/>
      <c r="CMH42" s="52"/>
      <c r="CMI42" s="52"/>
      <c r="CMJ42" s="52"/>
      <c r="CMK42" s="52"/>
      <c r="CML42" s="52"/>
      <c r="CMM42" s="52"/>
      <c r="CMN42" s="52"/>
      <c r="CMO42" s="52"/>
      <c r="CMP42" s="52"/>
      <c r="CMQ42" s="52"/>
      <c r="CMR42" s="52"/>
      <c r="CMS42" s="52"/>
      <c r="CMT42" s="52"/>
      <c r="CMU42" s="52"/>
      <c r="CMV42" s="52"/>
      <c r="CMW42" s="52"/>
      <c r="CMX42" s="52"/>
      <c r="CMY42" s="52"/>
      <c r="CMZ42" s="52"/>
      <c r="CNA42" s="52"/>
      <c r="CNB42" s="52"/>
      <c r="CNC42" s="52"/>
      <c r="CND42" s="52"/>
      <c r="CNE42" s="52"/>
      <c r="CNF42" s="52"/>
      <c r="CNG42" s="52"/>
      <c r="CNH42" s="52"/>
      <c r="CNI42" s="52"/>
      <c r="CNJ42" s="52"/>
      <c r="CNK42" s="52"/>
      <c r="CNL42" s="52"/>
      <c r="CNM42" s="52"/>
      <c r="CNN42" s="52"/>
      <c r="CNO42" s="52"/>
      <c r="CNP42" s="52"/>
      <c r="CNQ42" s="52"/>
      <c r="CNR42" s="52"/>
      <c r="CNS42" s="52"/>
      <c r="CNT42" s="52"/>
      <c r="CNU42" s="52"/>
      <c r="CNV42" s="52"/>
      <c r="CNW42" s="52"/>
      <c r="CNX42" s="52"/>
      <c r="CNY42" s="52"/>
      <c r="CNZ42" s="52"/>
      <c r="COA42" s="52"/>
      <c r="COB42" s="52"/>
      <c r="COC42" s="52"/>
      <c r="COD42" s="52"/>
      <c r="COE42" s="52"/>
      <c r="COF42" s="52"/>
      <c r="COG42" s="52"/>
      <c r="COH42" s="52"/>
      <c r="COI42" s="52"/>
      <c r="COJ42" s="52"/>
      <c r="COK42" s="52"/>
      <c r="COL42" s="52"/>
      <c r="COM42" s="52"/>
      <c r="CON42" s="52"/>
      <c r="COO42" s="52"/>
      <c r="COP42" s="52"/>
      <c r="COQ42" s="52"/>
      <c r="COR42" s="52"/>
      <c r="COS42" s="52"/>
      <c r="COT42" s="52"/>
      <c r="COU42" s="52"/>
      <c r="COV42" s="52"/>
      <c r="COW42" s="52"/>
      <c r="COX42" s="52"/>
      <c r="COY42" s="52"/>
      <c r="COZ42" s="52"/>
      <c r="CPA42" s="52"/>
      <c r="CPB42" s="52"/>
      <c r="CPC42" s="52"/>
      <c r="CPD42" s="52"/>
      <c r="CPE42" s="52"/>
      <c r="CPF42" s="52"/>
      <c r="CPG42" s="52"/>
      <c r="CPH42" s="52"/>
      <c r="CPI42" s="52"/>
      <c r="CPJ42" s="52"/>
      <c r="CPK42" s="52"/>
      <c r="CPL42" s="52"/>
      <c r="CPM42" s="52"/>
      <c r="CPN42" s="52"/>
      <c r="CPO42" s="52"/>
      <c r="CPP42" s="52"/>
      <c r="CPQ42" s="52"/>
      <c r="CPR42" s="52"/>
      <c r="CPS42" s="52"/>
      <c r="CPT42" s="52"/>
      <c r="CPU42" s="52"/>
      <c r="CPV42" s="52"/>
      <c r="CPW42" s="52"/>
      <c r="CPX42" s="52"/>
      <c r="CPY42" s="52"/>
      <c r="CPZ42" s="52"/>
      <c r="CQA42" s="52"/>
      <c r="CQB42" s="52"/>
      <c r="CQC42" s="52"/>
      <c r="CQD42" s="52"/>
      <c r="CQE42" s="52"/>
      <c r="CQF42" s="52"/>
      <c r="CQG42" s="52"/>
      <c r="CQH42" s="52"/>
      <c r="CQI42" s="52"/>
      <c r="CQJ42" s="52"/>
      <c r="CQK42" s="52"/>
      <c r="CQL42" s="52"/>
      <c r="CQM42" s="52"/>
      <c r="CQN42" s="52"/>
      <c r="CQO42" s="52"/>
      <c r="CQP42" s="52"/>
      <c r="CQQ42" s="52"/>
      <c r="CQR42" s="52"/>
      <c r="CQS42" s="52"/>
      <c r="CQT42" s="52"/>
      <c r="CQU42" s="52"/>
      <c r="CQV42" s="52"/>
      <c r="CQW42" s="52"/>
      <c r="CQX42" s="52"/>
      <c r="CQY42" s="52"/>
      <c r="CQZ42" s="52"/>
      <c r="CRA42" s="52"/>
      <c r="CRB42" s="52"/>
      <c r="CRC42" s="52"/>
      <c r="CRD42" s="52"/>
      <c r="CRE42" s="52"/>
      <c r="CRF42" s="52"/>
      <c r="CRG42" s="52"/>
      <c r="CRH42" s="52"/>
      <c r="CRI42" s="52"/>
      <c r="CRJ42" s="52"/>
      <c r="CRK42" s="52"/>
      <c r="CRL42" s="52"/>
      <c r="CRM42" s="52"/>
      <c r="CRN42" s="52"/>
      <c r="CRO42" s="52"/>
      <c r="CRP42" s="52"/>
      <c r="CRQ42" s="52"/>
      <c r="CRR42" s="52"/>
      <c r="CRS42" s="52"/>
      <c r="CRT42" s="52"/>
      <c r="CRU42" s="52"/>
      <c r="CRV42" s="52"/>
      <c r="CRW42" s="52"/>
      <c r="CRX42" s="52"/>
      <c r="CRY42" s="52"/>
      <c r="CRZ42" s="52"/>
      <c r="CSA42" s="52"/>
      <c r="CSB42" s="52"/>
      <c r="CSC42" s="52"/>
      <c r="CSD42" s="52"/>
      <c r="CSE42" s="52"/>
      <c r="CSF42" s="52"/>
      <c r="CSG42" s="52"/>
      <c r="CSH42" s="52"/>
      <c r="CSI42" s="52"/>
      <c r="CSJ42" s="52"/>
      <c r="CSK42" s="52"/>
      <c r="CSL42" s="52"/>
      <c r="CSM42" s="52"/>
      <c r="CSN42" s="52"/>
      <c r="CSO42" s="52"/>
      <c r="CSP42" s="52"/>
      <c r="CSQ42" s="52"/>
      <c r="CSR42" s="52"/>
      <c r="CSS42" s="52"/>
      <c r="CST42" s="52"/>
      <c r="CSU42" s="52"/>
      <c r="CSV42" s="52"/>
      <c r="CSW42" s="52"/>
      <c r="CSX42" s="52"/>
      <c r="CSY42" s="52"/>
      <c r="CSZ42" s="52"/>
      <c r="CTA42" s="52"/>
      <c r="CTB42" s="52"/>
      <c r="CTC42" s="52"/>
      <c r="CTD42" s="52"/>
      <c r="CTE42" s="52"/>
      <c r="CTF42" s="52"/>
      <c r="CTG42" s="52"/>
      <c r="CTH42" s="52"/>
      <c r="CTI42" s="52"/>
      <c r="CTJ42" s="52"/>
      <c r="CTK42" s="52"/>
      <c r="CTL42" s="52"/>
      <c r="CTM42" s="52"/>
      <c r="CTN42" s="52"/>
      <c r="CTO42" s="52"/>
      <c r="CTP42" s="52"/>
      <c r="CTQ42" s="52"/>
      <c r="CTR42" s="52"/>
      <c r="CTS42" s="52"/>
      <c r="CTT42" s="52"/>
      <c r="CTU42" s="52"/>
      <c r="CTV42" s="52"/>
      <c r="CTW42" s="52"/>
      <c r="CTX42" s="52"/>
      <c r="CTY42" s="52"/>
      <c r="CTZ42" s="52"/>
      <c r="CUA42" s="52"/>
      <c r="CUB42" s="52"/>
      <c r="CUC42" s="52"/>
      <c r="CUD42" s="52"/>
      <c r="CUE42" s="52"/>
      <c r="CUF42" s="52"/>
      <c r="CUG42" s="52"/>
      <c r="CUH42" s="52"/>
      <c r="CUI42" s="52"/>
      <c r="CUJ42" s="52"/>
      <c r="CUK42" s="52"/>
      <c r="CUL42" s="52"/>
      <c r="CUM42" s="52"/>
      <c r="CUN42" s="52"/>
      <c r="CUO42" s="52"/>
      <c r="CUP42" s="52"/>
      <c r="CUQ42" s="52"/>
      <c r="CUR42" s="52"/>
      <c r="CUS42" s="52"/>
      <c r="CUT42" s="52"/>
      <c r="CUU42" s="52"/>
      <c r="CUV42" s="52"/>
      <c r="CUW42" s="52"/>
      <c r="CUX42" s="52"/>
      <c r="CUY42" s="52"/>
      <c r="CUZ42" s="52"/>
      <c r="CVA42" s="52"/>
      <c r="CVB42" s="52"/>
      <c r="CVC42" s="52"/>
      <c r="CVD42" s="52"/>
      <c r="CVE42" s="52"/>
      <c r="CVF42" s="52"/>
      <c r="CVG42" s="52"/>
      <c r="CVH42" s="52"/>
      <c r="CVI42" s="52"/>
      <c r="CVJ42" s="52"/>
      <c r="CVK42" s="52"/>
      <c r="CVL42" s="52"/>
      <c r="CVM42" s="52"/>
      <c r="CVN42" s="52"/>
      <c r="CVO42" s="52"/>
      <c r="CVP42" s="52"/>
      <c r="CVQ42" s="52"/>
      <c r="CVR42" s="52"/>
      <c r="CVS42" s="52"/>
      <c r="CVT42" s="52"/>
      <c r="CVU42" s="52"/>
      <c r="CVV42" s="52"/>
      <c r="CVW42" s="52"/>
      <c r="CVX42" s="52"/>
      <c r="CVY42" s="52"/>
      <c r="CVZ42" s="52"/>
      <c r="CWA42" s="52"/>
      <c r="CWB42" s="52"/>
      <c r="CWC42" s="52"/>
      <c r="CWD42" s="52"/>
      <c r="CWE42" s="52"/>
      <c r="CWF42" s="52"/>
      <c r="CWG42" s="52"/>
      <c r="CWH42" s="52"/>
      <c r="CWI42" s="52"/>
      <c r="CWJ42" s="52"/>
      <c r="CWK42" s="52"/>
      <c r="CWL42" s="52"/>
      <c r="CWM42" s="52"/>
      <c r="CWN42" s="52"/>
      <c r="CWO42" s="52"/>
      <c r="CWP42" s="52"/>
      <c r="CWQ42" s="52"/>
      <c r="CWR42" s="52"/>
      <c r="CWS42" s="52"/>
      <c r="CWT42" s="52"/>
      <c r="CWU42" s="52"/>
      <c r="CWV42" s="52"/>
      <c r="CWW42" s="52"/>
      <c r="CWX42" s="52"/>
      <c r="CWY42" s="52"/>
      <c r="CWZ42" s="52"/>
      <c r="CXA42" s="52"/>
      <c r="CXB42" s="52"/>
      <c r="CXC42" s="52"/>
      <c r="CXD42" s="52"/>
      <c r="CXE42" s="52"/>
      <c r="CXF42" s="52"/>
      <c r="CXG42" s="52"/>
      <c r="CXH42" s="52"/>
      <c r="CXI42" s="52"/>
      <c r="CXJ42" s="52"/>
      <c r="CXK42" s="52"/>
      <c r="CXL42" s="52"/>
      <c r="CXM42" s="52"/>
      <c r="CXN42" s="52"/>
      <c r="CXO42" s="52"/>
      <c r="CXP42" s="52"/>
      <c r="CXQ42" s="52"/>
      <c r="CXR42" s="52"/>
      <c r="CXS42" s="52"/>
      <c r="CXT42" s="52"/>
      <c r="CXU42" s="52"/>
      <c r="CXV42" s="52"/>
      <c r="CXW42" s="52"/>
      <c r="CXX42" s="52"/>
      <c r="CXY42" s="52"/>
      <c r="CXZ42" s="52"/>
      <c r="CYA42" s="52"/>
      <c r="CYB42" s="52"/>
      <c r="CYC42" s="52"/>
      <c r="CYD42" s="52"/>
      <c r="CYE42" s="52"/>
      <c r="CYF42" s="52"/>
      <c r="CYG42" s="52"/>
      <c r="CYH42" s="52"/>
      <c r="CYI42" s="52"/>
      <c r="CYJ42" s="52"/>
      <c r="CYK42" s="52"/>
      <c r="CYL42" s="52"/>
      <c r="CYM42" s="52"/>
      <c r="CYN42" s="52"/>
      <c r="CYO42" s="52"/>
      <c r="CYP42" s="52"/>
      <c r="CYQ42" s="52"/>
      <c r="CYR42" s="52"/>
      <c r="CYS42" s="52"/>
      <c r="CYT42" s="52"/>
      <c r="CYU42" s="52"/>
      <c r="CYV42" s="52"/>
      <c r="CYW42" s="52"/>
      <c r="CYX42" s="52"/>
      <c r="CYY42" s="52"/>
      <c r="CYZ42" s="52"/>
      <c r="CZA42" s="52"/>
      <c r="CZB42" s="52"/>
      <c r="CZC42" s="52"/>
      <c r="CZD42" s="52"/>
      <c r="CZE42" s="52"/>
      <c r="CZF42" s="52"/>
      <c r="CZG42" s="52"/>
      <c r="CZH42" s="52"/>
      <c r="CZI42" s="52"/>
      <c r="CZJ42" s="52"/>
      <c r="CZK42" s="52"/>
      <c r="CZL42" s="52"/>
      <c r="CZM42" s="52"/>
      <c r="CZN42" s="52"/>
      <c r="CZO42" s="52"/>
      <c r="CZP42" s="52"/>
      <c r="CZQ42" s="52"/>
      <c r="CZR42" s="52"/>
      <c r="CZS42" s="52"/>
      <c r="CZT42" s="52"/>
      <c r="CZU42" s="52"/>
      <c r="CZV42" s="52"/>
      <c r="CZW42" s="52"/>
      <c r="CZX42" s="52"/>
      <c r="CZY42" s="52"/>
      <c r="CZZ42" s="52"/>
      <c r="DAA42" s="52"/>
      <c r="DAB42" s="52"/>
      <c r="DAC42" s="52"/>
      <c r="DAD42" s="52"/>
      <c r="DAE42" s="52"/>
      <c r="DAF42" s="52"/>
      <c r="DAG42" s="52"/>
      <c r="DAH42" s="52"/>
      <c r="DAI42" s="52"/>
      <c r="DAJ42" s="52"/>
      <c r="DAK42" s="52"/>
      <c r="DAL42" s="52"/>
      <c r="DAM42" s="52"/>
      <c r="DAN42" s="52"/>
      <c r="DAO42" s="52"/>
      <c r="DAP42" s="52"/>
      <c r="DAQ42" s="52"/>
      <c r="DAR42" s="52"/>
      <c r="DAS42" s="52"/>
      <c r="DAT42" s="52"/>
      <c r="DAU42" s="52"/>
      <c r="DAV42" s="52"/>
      <c r="DAW42" s="52"/>
      <c r="DAX42" s="52"/>
      <c r="DAY42" s="52"/>
      <c r="DAZ42" s="52"/>
      <c r="DBA42" s="52"/>
      <c r="DBB42" s="52"/>
      <c r="DBC42" s="52"/>
      <c r="DBD42" s="52"/>
      <c r="DBE42" s="52"/>
      <c r="DBF42" s="52"/>
      <c r="DBG42" s="52"/>
      <c r="DBH42" s="52"/>
      <c r="DBI42" s="52"/>
      <c r="DBJ42" s="52"/>
      <c r="DBK42" s="52"/>
      <c r="DBL42" s="52"/>
      <c r="DBM42" s="52"/>
      <c r="DBN42" s="52"/>
      <c r="DBO42" s="52"/>
      <c r="DBP42" s="52"/>
      <c r="DBQ42" s="52"/>
      <c r="DBR42" s="52"/>
      <c r="DBS42" s="52"/>
      <c r="DBT42" s="52"/>
      <c r="DBU42" s="52"/>
      <c r="DBV42" s="52"/>
      <c r="DBW42" s="52"/>
      <c r="DBX42" s="52"/>
      <c r="DBY42" s="52"/>
      <c r="DBZ42" s="52"/>
      <c r="DCA42" s="52"/>
      <c r="DCB42" s="52"/>
      <c r="DCC42" s="52"/>
      <c r="DCD42" s="52"/>
      <c r="DCE42" s="52"/>
      <c r="DCF42" s="52"/>
      <c r="DCG42" s="52"/>
      <c r="DCH42" s="52"/>
      <c r="DCI42" s="52"/>
      <c r="DCJ42" s="52"/>
      <c r="DCK42" s="52"/>
      <c r="DCL42" s="52"/>
      <c r="DCM42" s="52"/>
      <c r="DCN42" s="52"/>
      <c r="DCO42" s="52"/>
      <c r="DCP42" s="52"/>
      <c r="DCQ42" s="52"/>
      <c r="DCR42" s="52"/>
      <c r="DCS42" s="52"/>
      <c r="DCT42" s="52"/>
      <c r="DCU42" s="52"/>
      <c r="DCV42" s="52"/>
      <c r="DCW42" s="52"/>
      <c r="DCX42" s="52"/>
      <c r="DCY42" s="52"/>
      <c r="DCZ42" s="52"/>
      <c r="DDA42" s="52"/>
      <c r="DDB42" s="52"/>
      <c r="DDC42" s="52"/>
      <c r="DDD42" s="52"/>
      <c r="DDE42" s="52"/>
      <c r="DDF42" s="52"/>
      <c r="DDG42" s="52"/>
      <c r="DDH42" s="52"/>
      <c r="DDI42" s="52"/>
      <c r="DDJ42" s="52"/>
      <c r="DDK42" s="52"/>
      <c r="DDL42" s="52"/>
      <c r="DDM42" s="52"/>
      <c r="DDN42" s="52"/>
      <c r="DDO42" s="52"/>
      <c r="DDP42" s="52"/>
      <c r="DDQ42" s="52"/>
      <c r="DDR42" s="52"/>
      <c r="DDS42" s="52"/>
      <c r="DDT42" s="52"/>
      <c r="DDU42" s="52"/>
      <c r="DDV42" s="52"/>
      <c r="DDW42" s="52"/>
      <c r="DDX42" s="52"/>
      <c r="DDY42" s="52"/>
      <c r="DDZ42" s="52"/>
      <c r="DEA42" s="52"/>
      <c r="DEB42" s="52"/>
      <c r="DEC42" s="52"/>
      <c r="DED42" s="52"/>
      <c r="DEE42" s="52"/>
      <c r="DEF42" s="52"/>
      <c r="DEG42" s="52"/>
      <c r="DEH42" s="52"/>
      <c r="DEI42" s="52"/>
      <c r="DEJ42" s="52"/>
      <c r="DEK42" s="52"/>
      <c r="DEL42" s="52"/>
      <c r="DEM42" s="52"/>
      <c r="DEN42" s="52"/>
      <c r="DEO42" s="52"/>
      <c r="DEP42" s="52"/>
      <c r="DEQ42" s="52"/>
      <c r="DER42" s="52"/>
      <c r="DES42" s="52"/>
      <c r="DET42" s="52"/>
      <c r="DEU42" s="52"/>
      <c r="DEV42" s="52"/>
      <c r="DEW42" s="52"/>
      <c r="DEX42" s="52"/>
      <c r="DEY42" s="52"/>
      <c r="DEZ42" s="52"/>
      <c r="DFA42" s="52"/>
      <c r="DFB42" s="52"/>
      <c r="DFC42" s="52"/>
      <c r="DFD42" s="52"/>
      <c r="DFE42" s="52"/>
      <c r="DFF42" s="52"/>
      <c r="DFG42" s="52"/>
      <c r="DFH42" s="52"/>
      <c r="DFI42" s="52"/>
      <c r="DFJ42" s="52"/>
      <c r="DFK42" s="52"/>
      <c r="DFL42" s="52"/>
      <c r="DFM42" s="52"/>
      <c r="DFN42" s="52"/>
      <c r="DFO42" s="52"/>
      <c r="DFP42" s="52"/>
      <c r="DFQ42" s="52"/>
      <c r="DFR42" s="52"/>
      <c r="DFS42" s="52"/>
      <c r="DFT42" s="52"/>
      <c r="DFU42" s="52"/>
      <c r="DFV42" s="52"/>
      <c r="DFW42" s="52"/>
      <c r="DFX42" s="52"/>
      <c r="DFY42" s="52"/>
      <c r="DFZ42" s="52"/>
      <c r="DGA42" s="52"/>
      <c r="DGB42" s="52"/>
      <c r="DGC42" s="52"/>
      <c r="DGD42" s="52"/>
      <c r="DGE42" s="52"/>
      <c r="DGF42" s="52"/>
      <c r="DGG42" s="52"/>
      <c r="DGH42" s="52"/>
      <c r="DGI42" s="52"/>
      <c r="DGJ42" s="52"/>
      <c r="DGK42" s="52"/>
      <c r="DGL42" s="52"/>
      <c r="DGM42" s="52"/>
      <c r="DGN42" s="52"/>
      <c r="DGO42" s="52"/>
      <c r="DGP42" s="52"/>
      <c r="DGQ42" s="52"/>
      <c r="DGR42" s="52"/>
      <c r="DGS42" s="52"/>
      <c r="DGT42" s="52"/>
      <c r="DGU42" s="52"/>
      <c r="DGV42" s="52"/>
      <c r="DGW42" s="52"/>
      <c r="DGX42" s="52"/>
      <c r="DGY42" s="52"/>
      <c r="DGZ42" s="52"/>
      <c r="DHA42" s="52"/>
      <c r="DHB42" s="52"/>
      <c r="DHC42" s="52"/>
      <c r="DHD42" s="52"/>
      <c r="DHE42" s="52"/>
      <c r="DHF42" s="52"/>
      <c r="DHG42" s="52"/>
      <c r="DHH42" s="52"/>
      <c r="DHI42" s="52"/>
      <c r="DHJ42" s="52"/>
      <c r="DHK42" s="52"/>
      <c r="DHL42" s="52"/>
      <c r="DHM42" s="52"/>
      <c r="DHN42" s="52"/>
      <c r="DHO42" s="52"/>
      <c r="DHP42" s="52"/>
      <c r="DHQ42" s="52"/>
      <c r="DHR42" s="52"/>
      <c r="DHS42" s="52"/>
      <c r="DHT42" s="52"/>
      <c r="DHU42" s="52"/>
      <c r="DHV42" s="52"/>
      <c r="DHW42" s="52"/>
      <c r="DHX42" s="52"/>
      <c r="DHY42" s="52"/>
      <c r="DHZ42" s="52"/>
      <c r="DIA42" s="52"/>
      <c r="DIB42" s="52"/>
      <c r="DIC42" s="52"/>
      <c r="DID42" s="52"/>
      <c r="DIE42" s="52"/>
      <c r="DIF42" s="52"/>
      <c r="DIG42" s="52"/>
      <c r="DIH42" s="52"/>
      <c r="DII42" s="52"/>
      <c r="DIJ42" s="52"/>
      <c r="DIK42" s="52"/>
      <c r="DIL42" s="52"/>
      <c r="DIM42" s="52"/>
      <c r="DIN42" s="52"/>
      <c r="DIO42" s="52"/>
      <c r="DIP42" s="52"/>
      <c r="DIQ42" s="52"/>
      <c r="DIR42" s="52"/>
      <c r="DIS42" s="52"/>
      <c r="DIT42" s="52"/>
      <c r="DIU42" s="52"/>
      <c r="DIV42" s="52"/>
      <c r="DIW42" s="52"/>
      <c r="DIX42" s="52"/>
      <c r="DIY42" s="52"/>
      <c r="DIZ42" s="52"/>
      <c r="DJA42" s="52"/>
      <c r="DJB42" s="52"/>
      <c r="DJC42" s="52"/>
      <c r="DJD42" s="52"/>
      <c r="DJE42" s="52"/>
      <c r="DJF42" s="52"/>
      <c r="DJG42" s="52"/>
      <c r="DJH42" s="52"/>
      <c r="DJI42" s="52"/>
      <c r="DJJ42" s="52"/>
      <c r="DJK42" s="52"/>
      <c r="DJL42" s="52"/>
      <c r="DJM42" s="52"/>
      <c r="DJN42" s="52"/>
      <c r="DJO42" s="52"/>
      <c r="DJP42" s="52"/>
      <c r="DJQ42" s="52"/>
      <c r="DJR42" s="52"/>
      <c r="DJS42" s="52"/>
      <c r="DJT42" s="52"/>
      <c r="DJU42" s="52"/>
      <c r="DJV42" s="52"/>
      <c r="DJW42" s="52"/>
      <c r="DJX42" s="52"/>
      <c r="DJY42" s="52"/>
      <c r="DJZ42" s="52"/>
      <c r="DKA42" s="52"/>
      <c r="DKB42" s="52"/>
      <c r="DKC42" s="52"/>
      <c r="DKD42" s="52"/>
      <c r="DKE42" s="52"/>
      <c r="DKF42" s="52"/>
      <c r="DKG42" s="52"/>
      <c r="DKH42" s="52"/>
      <c r="DKI42" s="52"/>
      <c r="DKJ42" s="52"/>
      <c r="DKK42" s="52"/>
      <c r="DKL42" s="52"/>
      <c r="DKM42" s="52"/>
      <c r="DKN42" s="52"/>
      <c r="DKO42" s="52"/>
      <c r="DKP42" s="52"/>
      <c r="DKQ42" s="52"/>
      <c r="DKR42" s="52"/>
      <c r="DKS42" s="52"/>
      <c r="DKT42" s="52"/>
      <c r="DKU42" s="52"/>
      <c r="DKV42" s="52"/>
      <c r="DKW42" s="52"/>
      <c r="DKX42" s="52"/>
      <c r="DKY42" s="52"/>
      <c r="DKZ42" s="52"/>
      <c r="DLA42" s="52"/>
      <c r="DLB42" s="52"/>
      <c r="DLC42" s="52"/>
      <c r="DLD42" s="52"/>
      <c r="DLE42" s="52"/>
      <c r="DLF42" s="52"/>
      <c r="DLG42" s="52"/>
      <c r="DLH42" s="52"/>
      <c r="DLI42" s="52"/>
      <c r="DLJ42" s="52"/>
      <c r="DLK42" s="52"/>
      <c r="DLL42" s="52"/>
      <c r="DLM42" s="52"/>
      <c r="DLN42" s="52"/>
      <c r="DLO42" s="52"/>
      <c r="DLP42" s="52"/>
      <c r="DLQ42" s="52"/>
      <c r="DLR42" s="52"/>
      <c r="DLS42" s="52"/>
      <c r="DLT42" s="52"/>
      <c r="DLU42" s="52"/>
      <c r="DLV42" s="52"/>
      <c r="DLW42" s="52"/>
      <c r="DLX42" s="52"/>
      <c r="DLY42" s="52"/>
      <c r="DLZ42" s="52"/>
      <c r="DMA42" s="52"/>
      <c r="DMB42" s="52"/>
      <c r="DMC42" s="52"/>
      <c r="DMD42" s="52"/>
      <c r="DME42" s="52"/>
      <c r="DMF42" s="52"/>
      <c r="DMG42" s="52"/>
      <c r="DMH42" s="52"/>
      <c r="DMI42" s="52"/>
      <c r="DMJ42" s="52"/>
      <c r="DMK42" s="52"/>
      <c r="DML42" s="52"/>
      <c r="DMM42" s="52"/>
      <c r="DMN42" s="52"/>
      <c r="DMO42" s="52"/>
      <c r="DMP42" s="52"/>
      <c r="DMQ42" s="52"/>
      <c r="DMR42" s="52"/>
      <c r="DMS42" s="52"/>
      <c r="DMT42" s="52"/>
      <c r="DMU42" s="52"/>
      <c r="DMV42" s="52"/>
      <c r="DMW42" s="52"/>
      <c r="DMX42" s="52"/>
      <c r="DMY42" s="52"/>
      <c r="DMZ42" s="52"/>
      <c r="DNA42" s="52"/>
      <c r="DNB42" s="52"/>
      <c r="DNC42" s="52"/>
      <c r="DND42" s="52"/>
      <c r="DNE42" s="52"/>
      <c r="DNF42" s="52"/>
      <c r="DNG42" s="52"/>
      <c r="DNH42" s="52"/>
      <c r="DNI42" s="52"/>
      <c r="DNJ42" s="52"/>
      <c r="DNK42" s="52"/>
      <c r="DNL42" s="52"/>
      <c r="DNM42" s="52"/>
      <c r="DNN42" s="52"/>
      <c r="DNO42" s="52"/>
      <c r="DNP42" s="52"/>
      <c r="DNQ42" s="52"/>
      <c r="DNR42" s="52"/>
      <c r="DNS42" s="52"/>
      <c r="DNT42" s="52"/>
      <c r="DNU42" s="52"/>
      <c r="DNV42" s="52"/>
      <c r="DNW42" s="52"/>
      <c r="DNX42" s="52"/>
      <c r="DNY42" s="52"/>
      <c r="DNZ42" s="52"/>
      <c r="DOA42" s="52"/>
      <c r="DOB42" s="52"/>
      <c r="DOC42" s="52"/>
      <c r="DOD42" s="52"/>
      <c r="DOE42" s="52"/>
      <c r="DOF42" s="52"/>
      <c r="DOG42" s="52"/>
      <c r="DOH42" s="52"/>
      <c r="DOI42" s="52"/>
      <c r="DOJ42" s="52"/>
      <c r="DOK42" s="52"/>
      <c r="DOL42" s="52"/>
      <c r="DOM42" s="52"/>
      <c r="DON42" s="52"/>
      <c r="DOO42" s="52"/>
      <c r="DOP42" s="52"/>
      <c r="DOQ42" s="52"/>
      <c r="DOR42" s="52"/>
      <c r="DOS42" s="52"/>
      <c r="DOT42" s="52"/>
      <c r="DOU42" s="52"/>
      <c r="DOV42" s="52"/>
      <c r="DOW42" s="52"/>
      <c r="DOX42" s="52"/>
      <c r="DOY42" s="52"/>
      <c r="DOZ42" s="52"/>
      <c r="DPA42" s="52"/>
      <c r="DPB42" s="52"/>
      <c r="DPC42" s="52"/>
      <c r="DPD42" s="52"/>
      <c r="DPE42" s="52"/>
      <c r="DPF42" s="52"/>
      <c r="DPG42" s="52"/>
      <c r="DPH42" s="52"/>
      <c r="DPI42" s="52"/>
      <c r="DPJ42" s="52"/>
      <c r="DPK42" s="52"/>
      <c r="DPL42" s="52"/>
      <c r="DPM42" s="52"/>
      <c r="DPN42" s="52"/>
      <c r="DPO42" s="52"/>
      <c r="DPP42" s="52"/>
      <c r="DPQ42" s="52"/>
      <c r="DPR42" s="52"/>
      <c r="DPS42" s="52"/>
      <c r="DPT42" s="52"/>
      <c r="DPU42" s="52"/>
      <c r="DPV42" s="52"/>
      <c r="DPW42" s="52"/>
      <c r="DPX42" s="52"/>
      <c r="DPY42" s="52"/>
      <c r="DPZ42" s="52"/>
      <c r="DQA42" s="52"/>
      <c r="DQB42" s="52"/>
      <c r="DQC42" s="52"/>
      <c r="DQD42" s="52"/>
      <c r="DQE42" s="52"/>
      <c r="DQF42" s="52"/>
      <c r="DQG42" s="52"/>
      <c r="DQH42" s="52"/>
      <c r="DQI42" s="52"/>
      <c r="DQJ42" s="52"/>
      <c r="DQK42" s="52"/>
      <c r="DQL42" s="52"/>
      <c r="DQM42" s="52"/>
      <c r="DQN42" s="52"/>
      <c r="DQO42" s="52"/>
      <c r="DQP42" s="52"/>
      <c r="DQQ42" s="52"/>
      <c r="DQR42" s="52"/>
      <c r="DQS42" s="52"/>
      <c r="DQT42" s="52"/>
      <c r="DQU42" s="52"/>
      <c r="DQV42" s="52"/>
      <c r="DQW42" s="52"/>
      <c r="DQX42" s="52"/>
      <c r="DQY42" s="52"/>
      <c r="DQZ42" s="52"/>
      <c r="DRA42" s="52"/>
      <c r="DRB42" s="52"/>
      <c r="DRC42" s="52"/>
      <c r="DRD42" s="52"/>
      <c r="DRE42" s="52"/>
      <c r="DRF42" s="52"/>
      <c r="DRG42" s="52"/>
      <c r="DRH42" s="52"/>
      <c r="DRI42" s="52"/>
      <c r="DRJ42" s="52"/>
      <c r="DRK42" s="52"/>
      <c r="DRL42" s="52"/>
      <c r="DRM42" s="52"/>
      <c r="DRN42" s="52"/>
      <c r="DRO42" s="52"/>
      <c r="DRP42" s="52"/>
      <c r="DRQ42" s="52"/>
      <c r="DRR42" s="52"/>
      <c r="DRS42" s="52"/>
      <c r="DRT42" s="52"/>
      <c r="DRU42" s="52"/>
      <c r="DRV42" s="52"/>
      <c r="DRW42" s="52"/>
      <c r="DRX42" s="52"/>
      <c r="DRY42" s="52"/>
      <c r="DRZ42" s="52"/>
      <c r="DSA42" s="52"/>
      <c r="DSB42" s="52"/>
      <c r="DSC42" s="52"/>
      <c r="DSD42" s="52"/>
      <c r="DSE42" s="52"/>
      <c r="DSF42" s="52"/>
      <c r="DSG42" s="52"/>
      <c r="DSH42" s="52"/>
      <c r="DSI42" s="52"/>
      <c r="DSJ42" s="52"/>
      <c r="DSK42" s="52"/>
      <c r="DSL42" s="52"/>
      <c r="DSM42" s="52"/>
      <c r="DSN42" s="52"/>
      <c r="DSO42" s="52"/>
      <c r="DSP42" s="52"/>
      <c r="DSQ42" s="52"/>
      <c r="DSR42" s="52"/>
      <c r="DSS42" s="52"/>
      <c r="DST42" s="52"/>
      <c r="DSU42" s="52"/>
      <c r="DSV42" s="52"/>
      <c r="DSW42" s="52"/>
      <c r="DSX42" s="52"/>
      <c r="DSY42" s="52"/>
      <c r="DSZ42" s="52"/>
      <c r="DTA42" s="52"/>
      <c r="DTB42" s="52"/>
      <c r="DTC42" s="52"/>
      <c r="DTD42" s="52"/>
      <c r="DTE42" s="52"/>
      <c r="DTF42" s="52"/>
      <c r="DTG42" s="52"/>
      <c r="DTH42" s="52"/>
      <c r="DTI42" s="52"/>
      <c r="DTJ42" s="52"/>
      <c r="DTK42" s="52"/>
      <c r="DTL42" s="52"/>
      <c r="DTM42" s="52"/>
      <c r="DTN42" s="52"/>
      <c r="DTO42" s="52"/>
      <c r="DTP42" s="52"/>
      <c r="DTQ42" s="52"/>
      <c r="DTR42" s="52"/>
      <c r="DTS42" s="52"/>
      <c r="DTT42" s="52"/>
      <c r="DTU42" s="52"/>
      <c r="DTV42" s="52"/>
      <c r="DTW42" s="52"/>
      <c r="DTX42" s="52"/>
      <c r="DTY42" s="52"/>
      <c r="DTZ42" s="52"/>
      <c r="DUA42" s="52"/>
      <c r="DUB42" s="52"/>
      <c r="DUC42" s="52"/>
      <c r="DUD42" s="52"/>
      <c r="DUE42" s="52"/>
      <c r="DUF42" s="52"/>
      <c r="DUG42" s="52"/>
      <c r="DUH42" s="52"/>
      <c r="DUI42" s="52"/>
      <c r="DUJ42" s="52"/>
      <c r="DUK42" s="52"/>
      <c r="DUL42" s="52"/>
      <c r="DUM42" s="52"/>
      <c r="DUN42" s="52"/>
      <c r="DUO42" s="52"/>
      <c r="DUP42" s="52"/>
      <c r="DUQ42" s="52"/>
      <c r="DUR42" s="52"/>
      <c r="DUS42" s="52"/>
      <c r="DUT42" s="52"/>
      <c r="DUU42" s="52"/>
      <c r="DUV42" s="52"/>
      <c r="DUW42" s="52"/>
      <c r="DUX42" s="52"/>
      <c r="DUY42" s="52"/>
      <c r="DUZ42" s="52"/>
      <c r="DVA42" s="52"/>
      <c r="DVB42" s="52"/>
      <c r="DVC42" s="52"/>
      <c r="DVD42" s="52"/>
      <c r="DVE42" s="52"/>
      <c r="DVF42" s="52"/>
      <c r="DVG42" s="52"/>
      <c r="DVH42" s="52"/>
      <c r="DVI42" s="52"/>
      <c r="DVJ42" s="52"/>
      <c r="DVK42" s="52"/>
      <c r="DVL42" s="52"/>
      <c r="DVM42" s="52"/>
      <c r="DVN42" s="52"/>
      <c r="DVO42" s="52"/>
      <c r="DVP42" s="52"/>
      <c r="DVQ42" s="52"/>
      <c r="DVR42" s="52"/>
      <c r="DVS42" s="52"/>
      <c r="DVT42" s="52"/>
      <c r="DVU42" s="52"/>
      <c r="DVV42" s="52"/>
      <c r="DVW42" s="52"/>
      <c r="DVX42" s="52"/>
      <c r="DVY42" s="52"/>
      <c r="DVZ42" s="52"/>
      <c r="DWA42" s="52"/>
      <c r="DWB42" s="52"/>
      <c r="DWC42" s="52"/>
      <c r="DWD42" s="52"/>
      <c r="DWE42" s="52"/>
      <c r="DWF42" s="52"/>
      <c r="DWG42" s="52"/>
      <c r="DWH42" s="52"/>
      <c r="DWI42" s="52"/>
      <c r="DWJ42" s="52"/>
      <c r="DWK42" s="52"/>
      <c r="DWL42" s="52"/>
      <c r="DWM42" s="52"/>
      <c r="DWN42" s="52"/>
      <c r="DWO42" s="52"/>
      <c r="DWP42" s="52"/>
      <c r="DWQ42" s="52"/>
      <c r="DWR42" s="52"/>
      <c r="DWS42" s="52"/>
      <c r="DWT42" s="52"/>
      <c r="DWU42" s="52"/>
      <c r="DWV42" s="52"/>
      <c r="DWW42" s="52"/>
      <c r="DWX42" s="52"/>
      <c r="DWY42" s="52"/>
      <c r="DWZ42" s="52"/>
      <c r="DXA42" s="52"/>
      <c r="DXB42" s="52"/>
      <c r="DXC42" s="52"/>
      <c r="DXD42" s="52"/>
      <c r="DXE42" s="52"/>
      <c r="DXF42" s="52"/>
      <c r="DXG42" s="52"/>
      <c r="DXH42" s="52"/>
      <c r="DXI42" s="52"/>
      <c r="DXJ42" s="52"/>
      <c r="DXK42" s="52"/>
      <c r="DXL42" s="52"/>
      <c r="DXM42" s="52"/>
      <c r="DXN42" s="52"/>
      <c r="DXO42" s="52"/>
      <c r="DXP42" s="52"/>
      <c r="DXQ42" s="52"/>
      <c r="DXR42" s="52"/>
      <c r="DXS42" s="52"/>
      <c r="DXT42" s="52"/>
      <c r="DXU42" s="52"/>
      <c r="DXV42" s="52"/>
      <c r="DXW42" s="52"/>
      <c r="DXX42" s="52"/>
      <c r="DXY42" s="52"/>
      <c r="DXZ42" s="52"/>
      <c r="DYA42" s="52"/>
      <c r="DYB42" s="52"/>
      <c r="DYC42" s="52"/>
      <c r="DYD42" s="52"/>
      <c r="DYE42" s="52"/>
      <c r="DYF42" s="52"/>
      <c r="DYG42" s="52"/>
      <c r="DYH42" s="52"/>
      <c r="DYI42" s="52"/>
      <c r="DYJ42" s="52"/>
      <c r="DYK42" s="52"/>
      <c r="DYL42" s="52"/>
      <c r="DYM42" s="52"/>
      <c r="DYN42" s="52"/>
      <c r="DYO42" s="52"/>
      <c r="DYP42" s="52"/>
      <c r="DYQ42" s="52"/>
      <c r="DYR42" s="52"/>
      <c r="DYS42" s="52"/>
      <c r="DYT42" s="52"/>
      <c r="DYU42" s="52"/>
      <c r="DYV42" s="52"/>
      <c r="DYW42" s="52"/>
      <c r="DYX42" s="52"/>
      <c r="DYY42" s="52"/>
      <c r="DYZ42" s="52"/>
      <c r="DZA42" s="52"/>
      <c r="DZB42" s="52"/>
      <c r="DZC42" s="52"/>
      <c r="DZD42" s="52"/>
      <c r="DZE42" s="52"/>
      <c r="DZF42" s="52"/>
      <c r="DZG42" s="52"/>
      <c r="DZH42" s="52"/>
      <c r="DZI42" s="52"/>
      <c r="DZJ42" s="52"/>
      <c r="DZK42" s="52"/>
      <c r="DZL42" s="52"/>
      <c r="DZM42" s="52"/>
      <c r="DZN42" s="52"/>
      <c r="DZO42" s="52"/>
      <c r="DZP42" s="52"/>
      <c r="DZQ42" s="52"/>
      <c r="DZR42" s="52"/>
      <c r="DZS42" s="52"/>
      <c r="DZT42" s="52"/>
      <c r="DZU42" s="52"/>
      <c r="DZV42" s="52"/>
      <c r="DZW42" s="52"/>
      <c r="DZX42" s="52"/>
      <c r="DZY42" s="52"/>
      <c r="DZZ42" s="52"/>
      <c r="EAA42" s="52"/>
      <c r="EAB42" s="52"/>
      <c r="EAC42" s="52"/>
      <c r="EAD42" s="52"/>
      <c r="EAE42" s="52"/>
      <c r="EAF42" s="52"/>
      <c r="EAG42" s="52"/>
      <c r="EAH42" s="52"/>
      <c r="EAI42" s="52"/>
      <c r="EAJ42" s="52"/>
      <c r="EAK42" s="52"/>
      <c r="EAL42" s="52"/>
      <c r="EAM42" s="52"/>
      <c r="EAN42" s="52"/>
      <c r="EAO42" s="52"/>
      <c r="EAP42" s="52"/>
      <c r="EAQ42" s="52"/>
      <c r="EAR42" s="52"/>
      <c r="EAS42" s="52"/>
      <c r="EAT42" s="52"/>
      <c r="EAU42" s="52"/>
      <c r="EAV42" s="52"/>
      <c r="EAW42" s="52"/>
      <c r="EAX42" s="52"/>
      <c r="EAY42" s="52"/>
      <c r="EAZ42" s="52"/>
      <c r="EBA42" s="52"/>
      <c r="EBB42" s="52"/>
      <c r="EBC42" s="52"/>
      <c r="EBD42" s="52"/>
      <c r="EBE42" s="52"/>
      <c r="EBF42" s="52"/>
      <c r="EBG42" s="52"/>
      <c r="EBH42" s="52"/>
      <c r="EBI42" s="52"/>
      <c r="EBJ42" s="52"/>
      <c r="EBK42" s="52"/>
      <c r="EBL42" s="52"/>
      <c r="EBM42" s="52"/>
      <c r="EBN42" s="52"/>
      <c r="EBO42" s="52"/>
      <c r="EBP42" s="52"/>
      <c r="EBQ42" s="52"/>
      <c r="EBR42" s="52"/>
      <c r="EBS42" s="52"/>
      <c r="EBT42" s="52"/>
      <c r="EBU42" s="52"/>
      <c r="EBV42" s="52"/>
      <c r="EBW42" s="52"/>
      <c r="EBX42" s="52"/>
      <c r="EBY42" s="52"/>
      <c r="EBZ42" s="52"/>
      <c r="ECA42" s="52"/>
      <c r="ECB42" s="52"/>
      <c r="ECC42" s="52"/>
      <c r="ECD42" s="52"/>
      <c r="ECE42" s="52"/>
      <c r="ECF42" s="52"/>
      <c r="ECG42" s="52"/>
      <c r="ECH42" s="52"/>
      <c r="ECI42" s="52"/>
      <c r="ECJ42" s="52"/>
      <c r="ECK42" s="52"/>
      <c r="ECL42" s="52"/>
      <c r="ECM42" s="52"/>
      <c r="ECN42" s="52"/>
      <c r="ECO42" s="52"/>
      <c r="ECP42" s="52"/>
      <c r="ECQ42" s="52"/>
      <c r="ECR42" s="52"/>
      <c r="ECS42" s="52"/>
      <c r="ECT42" s="52"/>
      <c r="ECU42" s="52"/>
      <c r="ECV42" s="52"/>
      <c r="ECW42" s="52"/>
      <c r="ECX42" s="52"/>
      <c r="ECY42" s="52"/>
      <c r="ECZ42" s="52"/>
      <c r="EDA42" s="52"/>
      <c r="EDB42" s="52"/>
      <c r="EDC42" s="52"/>
      <c r="EDD42" s="52"/>
      <c r="EDE42" s="52"/>
      <c r="EDF42" s="52"/>
      <c r="EDG42" s="52"/>
      <c r="EDH42" s="52"/>
      <c r="EDI42" s="52"/>
      <c r="EDJ42" s="52"/>
      <c r="EDK42" s="52"/>
      <c r="EDL42" s="52"/>
      <c r="EDM42" s="52"/>
      <c r="EDN42" s="52"/>
      <c r="EDO42" s="52"/>
      <c r="EDP42" s="52"/>
      <c r="EDQ42" s="52"/>
      <c r="EDR42" s="52"/>
      <c r="EDS42" s="52"/>
      <c r="EDT42" s="52"/>
      <c r="EDU42" s="52"/>
      <c r="EDV42" s="52"/>
      <c r="EDW42" s="52"/>
      <c r="EDX42" s="52"/>
      <c r="EDY42" s="52"/>
      <c r="EDZ42" s="52"/>
      <c r="EEA42" s="52"/>
      <c r="EEB42" s="52"/>
      <c r="EEC42" s="52"/>
      <c r="EED42" s="52"/>
      <c r="EEE42" s="52"/>
      <c r="EEF42" s="52"/>
      <c r="EEG42" s="52"/>
      <c r="EEH42" s="52"/>
      <c r="EEI42" s="52"/>
      <c r="EEJ42" s="52"/>
      <c r="EEK42" s="52"/>
      <c r="EEL42" s="52"/>
      <c r="EEM42" s="52"/>
      <c r="EEN42" s="52"/>
      <c r="EEO42" s="52"/>
      <c r="EEP42" s="52"/>
      <c r="EEQ42" s="52"/>
      <c r="EER42" s="52"/>
      <c r="EES42" s="52"/>
      <c r="EET42" s="52"/>
      <c r="EEU42" s="52"/>
      <c r="EEV42" s="52"/>
      <c r="EEW42" s="52"/>
      <c r="EEX42" s="52"/>
      <c r="EEY42" s="52"/>
      <c r="EEZ42" s="52"/>
      <c r="EFA42" s="52"/>
      <c r="EFB42" s="52"/>
      <c r="EFC42" s="52"/>
      <c r="EFD42" s="52"/>
      <c r="EFE42" s="52"/>
      <c r="EFF42" s="52"/>
      <c r="EFG42" s="52"/>
      <c r="EFH42" s="52"/>
      <c r="EFI42" s="52"/>
      <c r="EFJ42" s="52"/>
      <c r="EFK42" s="52"/>
      <c r="EFL42" s="52"/>
      <c r="EFM42" s="52"/>
      <c r="EFN42" s="52"/>
      <c r="EFO42" s="52"/>
      <c r="EFP42" s="52"/>
      <c r="EFQ42" s="52"/>
      <c r="EFR42" s="52"/>
      <c r="EFS42" s="52"/>
      <c r="EFT42" s="52"/>
      <c r="EFU42" s="52"/>
      <c r="EFV42" s="52"/>
      <c r="EFW42" s="52"/>
      <c r="EFX42" s="52"/>
      <c r="EFY42" s="52"/>
      <c r="EFZ42" s="52"/>
      <c r="EGA42" s="52"/>
      <c r="EGB42" s="52"/>
      <c r="EGC42" s="52"/>
      <c r="EGD42" s="52"/>
      <c r="EGE42" s="52"/>
      <c r="EGF42" s="52"/>
      <c r="EGG42" s="52"/>
      <c r="EGH42" s="52"/>
      <c r="EGI42" s="52"/>
      <c r="EGJ42" s="52"/>
      <c r="EGK42" s="52"/>
      <c r="EGL42" s="52"/>
      <c r="EGM42" s="52"/>
      <c r="EGN42" s="52"/>
      <c r="EGO42" s="52"/>
      <c r="EGP42" s="52"/>
      <c r="EGQ42" s="52"/>
      <c r="EGR42" s="52"/>
      <c r="EGS42" s="52"/>
      <c r="EGT42" s="52"/>
      <c r="EGU42" s="52"/>
      <c r="EGV42" s="52"/>
      <c r="EGW42" s="52"/>
      <c r="EGX42" s="52"/>
      <c r="EGY42" s="52"/>
      <c r="EGZ42" s="52"/>
      <c r="EHA42" s="52"/>
      <c r="EHB42" s="52"/>
      <c r="EHC42" s="52"/>
      <c r="EHD42" s="52"/>
      <c r="EHE42" s="52"/>
      <c r="EHF42" s="52"/>
      <c r="EHG42" s="52"/>
      <c r="EHH42" s="52"/>
      <c r="EHI42" s="52"/>
      <c r="EHJ42" s="52"/>
      <c r="EHK42" s="52"/>
      <c r="EHL42" s="52"/>
      <c r="EHM42" s="52"/>
      <c r="EHN42" s="52"/>
      <c r="EHO42" s="52"/>
      <c r="EHP42" s="52"/>
      <c r="EHQ42" s="52"/>
      <c r="EHR42" s="52"/>
      <c r="EHS42" s="52"/>
      <c r="EHT42" s="52"/>
      <c r="EHU42" s="52"/>
      <c r="EHV42" s="52"/>
      <c r="EHW42" s="52"/>
      <c r="EHX42" s="52"/>
      <c r="EHY42" s="52"/>
      <c r="EHZ42" s="52"/>
      <c r="EIA42" s="52"/>
      <c r="EIB42" s="52"/>
      <c r="EIC42" s="52"/>
      <c r="EID42" s="52"/>
      <c r="EIE42" s="52"/>
      <c r="EIF42" s="52"/>
      <c r="EIG42" s="52"/>
      <c r="EIH42" s="52"/>
      <c r="EII42" s="52"/>
      <c r="EIJ42" s="52"/>
      <c r="EIK42" s="52"/>
      <c r="EIL42" s="52"/>
      <c r="EIM42" s="52"/>
      <c r="EIN42" s="52"/>
      <c r="EIO42" s="52"/>
      <c r="EIP42" s="52"/>
      <c r="EIQ42" s="52"/>
      <c r="EIR42" s="52"/>
      <c r="EIS42" s="52"/>
      <c r="EIT42" s="52"/>
      <c r="EIU42" s="52"/>
      <c r="EIV42" s="52"/>
      <c r="EIW42" s="52"/>
      <c r="EIX42" s="52"/>
      <c r="EIY42" s="52"/>
      <c r="EIZ42" s="52"/>
      <c r="EJA42" s="52"/>
      <c r="EJB42" s="52"/>
      <c r="EJC42" s="52"/>
      <c r="EJD42" s="52"/>
      <c r="EJE42" s="52"/>
      <c r="EJF42" s="52"/>
      <c r="EJG42" s="52"/>
      <c r="EJH42" s="52"/>
      <c r="EJI42" s="52"/>
      <c r="EJJ42" s="52"/>
      <c r="EJK42" s="52"/>
      <c r="EJL42" s="52"/>
      <c r="EJM42" s="52"/>
      <c r="EJN42" s="52"/>
      <c r="EJO42" s="52"/>
      <c r="EJP42" s="52"/>
      <c r="EJQ42" s="52"/>
      <c r="EJR42" s="52"/>
      <c r="EJS42" s="52"/>
      <c r="EJT42" s="52"/>
      <c r="EJU42" s="52"/>
      <c r="EJV42" s="52"/>
      <c r="EJW42" s="52"/>
      <c r="EJX42" s="52"/>
      <c r="EJY42" s="52"/>
      <c r="EJZ42" s="52"/>
      <c r="EKA42" s="52"/>
      <c r="EKB42" s="52"/>
      <c r="EKC42" s="52"/>
      <c r="EKD42" s="52"/>
      <c r="EKE42" s="52"/>
      <c r="EKF42" s="52"/>
      <c r="EKG42" s="52"/>
      <c r="EKH42" s="52"/>
      <c r="EKI42" s="52"/>
      <c r="EKJ42" s="52"/>
      <c r="EKK42" s="52"/>
      <c r="EKL42" s="52"/>
      <c r="EKM42" s="52"/>
      <c r="EKN42" s="52"/>
      <c r="EKO42" s="52"/>
      <c r="EKP42" s="52"/>
      <c r="EKQ42" s="52"/>
      <c r="EKR42" s="52"/>
      <c r="EKS42" s="52"/>
      <c r="EKT42" s="52"/>
      <c r="EKU42" s="52"/>
      <c r="EKV42" s="52"/>
      <c r="EKW42" s="52"/>
      <c r="EKX42" s="52"/>
      <c r="EKY42" s="52"/>
      <c r="EKZ42" s="52"/>
      <c r="ELA42" s="52"/>
      <c r="ELB42" s="52"/>
      <c r="ELC42" s="52"/>
      <c r="ELD42" s="52"/>
      <c r="ELE42" s="52"/>
      <c r="ELF42" s="52"/>
      <c r="ELG42" s="52"/>
      <c r="ELH42" s="52"/>
      <c r="ELI42" s="52"/>
      <c r="ELJ42" s="52"/>
      <c r="ELK42" s="52"/>
      <c r="ELL42" s="52"/>
      <c r="ELM42" s="52"/>
      <c r="ELN42" s="52"/>
      <c r="ELO42" s="52"/>
      <c r="ELP42" s="52"/>
      <c r="ELQ42" s="52"/>
      <c r="ELR42" s="52"/>
      <c r="ELS42" s="52"/>
      <c r="ELT42" s="52"/>
      <c r="ELU42" s="52"/>
      <c r="ELV42" s="52"/>
      <c r="ELW42" s="52"/>
      <c r="ELX42" s="52"/>
      <c r="ELY42" s="52"/>
      <c r="ELZ42" s="52"/>
      <c r="EMA42" s="52"/>
      <c r="EMB42" s="52"/>
      <c r="EMC42" s="52"/>
      <c r="EMD42" s="52"/>
      <c r="EME42" s="52"/>
      <c r="EMF42" s="52"/>
      <c r="EMG42" s="52"/>
      <c r="EMH42" s="52"/>
      <c r="EMI42" s="52"/>
      <c r="EMJ42" s="52"/>
      <c r="EMK42" s="52"/>
      <c r="EML42" s="52"/>
      <c r="EMM42" s="52"/>
      <c r="EMN42" s="52"/>
      <c r="EMO42" s="52"/>
      <c r="EMP42" s="52"/>
      <c r="EMQ42" s="52"/>
      <c r="EMR42" s="52"/>
      <c r="EMS42" s="52"/>
      <c r="EMT42" s="52"/>
      <c r="EMU42" s="52"/>
      <c r="EMV42" s="52"/>
      <c r="EMW42" s="52"/>
      <c r="EMX42" s="52"/>
      <c r="EMY42" s="52"/>
      <c r="EMZ42" s="52"/>
      <c r="ENA42" s="52"/>
      <c r="ENB42" s="52"/>
      <c r="ENC42" s="52"/>
      <c r="END42" s="52"/>
      <c r="ENE42" s="52"/>
      <c r="ENF42" s="52"/>
      <c r="ENG42" s="52"/>
      <c r="ENH42" s="52"/>
      <c r="ENI42" s="52"/>
      <c r="ENJ42" s="52"/>
      <c r="ENK42" s="52"/>
      <c r="ENL42" s="52"/>
      <c r="ENM42" s="52"/>
      <c r="ENN42" s="52"/>
      <c r="ENO42" s="52"/>
      <c r="ENP42" s="52"/>
      <c r="ENQ42" s="52"/>
      <c r="ENR42" s="52"/>
      <c r="ENS42" s="52"/>
      <c r="ENT42" s="52"/>
      <c r="ENU42" s="52"/>
      <c r="ENV42" s="52"/>
      <c r="ENW42" s="52"/>
      <c r="ENX42" s="52"/>
      <c r="ENY42" s="52"/>
      <c r="ENZ42" s="52"/>
      <c r="EOA42" s="52"/>
      <c r="EOB42" s="52"/>
      <c r="EOC42" s="52"/>
      <c r="EOD42" s="52"/>
      <c r="EOE42" s="52"/>
      <c r="EOF42" s="52"/>
      <c r="EOG42" s="52"/>
      <c r="EOH42" s="52"/>
      <c r="EOI42" s="52"/>
      <c r="EOJ42" s="52"/>
      <c r="EOK42" s="52"/>
      <c r="EOL42" s="52"/>
      <c r="EOM42" s="52"/>
      <c r="EON42" s="52"/>
      <c r="EOO42" s="52"/>
      <c r="EOP42" s="52"/>
      <c r="EOQ42" s="52"/>
      <c r="EOR42" s="52"/>
      <c r="EOS42" s="52"/>
      <c r="EOT42" s="52"/>
      <c r="EOU42" s="52"/>
      <c r="EOV42" s="52"/>
      <c r="EOW42" s="52"/>
      <c r="EOX42" s="52"/>
      <c r="EOY42" s="52"/>
      <c r="EOZ42" s="52"/>
      <c r="EPA42" s="52"/>
      <c r="EPB42" s="52"/>
      <c r="EPC42" s="52"/>
      <c r="EPD42" s="52"/>
      <c r="EPE42" s="52"/>
      <c r="EPF42" s="52"/>
      <c r="EPG42" s="52"/>
      <c r="EPH42" s="52"/>
      <c r="EPI42" s="52"/>
      <c r="EPJ42" s="52"/>
      <c r="EPK42" s="52"/>
      <c r="EPL42" s="52"/>
      <c r="EPM42" s="52"/>
      <c r="EPN42" s="52"/>
      <c r="EPO42" s="52"/>
      <c r="EPP42" s="52"/>
      <c r="EPQ42" s="52"/>
      <c r="EPR42" s="52"/>
      <c r="EPS42" s="52"/>
      <c r="EPT42" s="52"/>
      <c r="EPU42" s="52"/>
      <c r="EPV42" s="52"/>
      <c r="EPW42" s="52"/>
      <c r="EPX42" s="52"/>
      <c r="EPY42" s="52"/>
      <c r="EPZ42" s="52"/>
      <c r="EQA42" s="52"/>
      <c r="EQB42" s="52"/>
      <c r="EQC42" s="52"/>
      <c r="EQD42" s="52"/>
      <c r="EQE42" s="52"/>
      <c r="EQF42" s="52"/>
      <c r="EQG42" s="52"/>
      <c r="EQH42" s="52"/>
      <c r="EQI42" s="52"/>
      <c r="EQJ42" s="52"/>
      <c r="EQK42" s="52"/>
      <c r="EQL42" s="52"/>
      <c r="EQM42" s="52"/>
      <c r="EQN42" s="52"/>
      <c r="EQO42" s="52"/>
      <c r="EQP42" s="52"/>
      <c r="EQQ42" s="52"/>
      <c r="EQR42" s="52"/>
      <c r="EQS42" s="52"/>
      <c r="EQT42" s="52"/>
      <c r="EQU42" s="52"/>
      <c r="EQV42" s="52"/>
      <c r="EQW42" s="52"/>
      <c r="EQX42" s="52"/>
      <c r="EQY42" s="52"/>
      <c r="EQZ42" s="52"/>
      <c r="ERA42" s="52"/>
      <c r="ERB42" s="52"/>
      <c r="ERC42" s="52"/>
      <c r="ERD42" s="52"/>
      <c r="ERE42" s="52"/>
      <c r="ERF42" s="52"/>
      <c r="ERG42" s="52"/>
      <c r="ERH42" s="52"/>
      <c r="ERI42" s="52"/>
      <c r="ERJ42" s="52"/>
      <c r="ERK42" s="52"/>
      <c r="ERL42" s="52"/>
      <c r="ERM42" s="52"/>
      <c r="ERN42" s="52"/>
      <c r="ERO42" s="52"/>
      <c r="ERP42" s="52"/>
      <c r="ERQ42" s="52"/>
      <c r="ERR42" s="52"/>
      <c r="ERS42" s="52"/>
      <c r="ERT42" s="52"/>
      <c r="ERU42" s="52"/>
      <c r="ERV42" s="52"/>
      <c r="ERW42" s="52"/>
      <c r="ERX42" s="52"/>
      <c r="ERY42" s="52"/>
      <c r="ERZ42" s="52"/>
      <c r="ESA42" s="52"/>
      <c r="ESB42" s="52"/>
      <c r="ESC42" s="52"/>
      <c r="ESD42" s="52"/>
      <c r="ESE42" s="52"/>
      <c r="ESF42" s="52"/>
      <c r="ESG42" s="52"/>
      <c r="ESH42" s="52"/>
      <c r="ESI42" s="52"/>
      <c r="ESJ42" s="52"/>
      <c r="ESK42" s="52"/>
      <c r="ESL42" s="52"/>
      <c r="ESM42" s="52"/>
      <c r="ESN42" s="52"/>
      <c r="ESO42" s="52"/>
      <c r="ESP42" s="52"/>
      <c r="ESQ42" s="52"/>
      <c r="ESR42" s="52"/>
      <c r="ESS42" s="52"/>
      <c r="EST42" s="52"/>
      <c r="ESU42" s="52"/>
      <c r="ESV42" s="52"/>
      <c r="ESW42" s="52"/>
      <c r="ESX42" s="52"/>
      <c r="ESY42" s="52"/>
      <c r="ESZ42" s="52"/>
      <c r="ETA42" s="52"/>
      <c r="ETB42" s="52"/>
      <c r="ETC42" s="52"/>
      <c r="ETD42" s="52"/>
      <c r="ETE42" s="52"/>
      <c r="ETF42" s="52"/>
      <c r="ETG42" s="52"/>
      <c r="ETH42" s="52"/>
      <c r="ETI42" s="52"/>
      <c r="ETJ42" s="52"/>
      <c r="ETK42" s="52"/>
      <c r="ETL42" s="52"/>
      <c r="ETM42" s="52"/>
      <c r="ETN42" s="52"/>
      <c r="ETO42" s="52"/>
      <c r="ETP42" s="52"/>
      <c r="ETQ42" s="52"/>
      <c r="ETR42" s="52"/>
      <c r="ETS42" s="52"/>
      <c r="ETT42" s="52"/>
      <c r="ETU42" s="52"/>
      <c r="ETV42" s="52"/>
      <c r="ETW42" s="52"/>
      <c r="ETX42" s="52"/>
      <c r="ETY42" s="52"/>
      <c r="ETZ42" s="52"/>
      <c r="EUA42" s="52"/>
      <c r="EUB42" s="52"/>
      <c r="EUC42" s="52"/>
      <c r="EUD42" s="52"/>
      <c r="EUE42" s="52"/>
      <c r="EUF42" s="52"/>
      <c r="EUG42" s="52"/>
      <c r="EUH42" s="52"/>
      <c r="EUI42" s="52"/>
      <c r="EUJ42" s="52"/>
      <c r="EUK42" s="52"/>
      <c r="EUL42" s="52"/>
      <c r="EUM42" s="52"/>
      <c r="EUN42" s="52"/>
      <c r="EUO42" s="52"/>
      <c r="EUP42" s="52"/>
      <c r="EUQ42" s="52"/>
      <c r="EUR42" s="52"/>
      <c r="EUS42" s="52"/>
      <c r="EUT42" s="52"/>
      <c r="EUU42" s="52"/>
      <c r="EUV42" s="52"/>
      <c r="EUW42" s="52"/>
      <c r="EUX42" s="52"/>
      <c r="EUY42" s="52"/>
      <c r="EUZ42" s="52"/>
      <c r="EVA42" s="52"/>
      <c r="EVB42" s="52"/>
      <c r="EVC42" s="52"/>
      <c r="EVD42" s="52"/>
      <c r="EVE42" s="52"/>
      <c r="EVF42" s="52"/>
      <c r="EVG42" s="52"/>
      <c r="EVH42" s="52"/>
      <c r="EVI42" s="52"/>
      <c r="EVJ42" s="52"/>
      <c r="EVK42" s="52"/>
      <c r="EVL42" s="52"/>
      <c r="EVM42" s="52"/>
      <c r="EVN42" s="52"/>
      <c r="EVO42" s="52"/>
      <c r="EVP42" s="52"/>
      <c r="EVQ42" s="52"/>
      <c r="EVR42" s="52"/>
      <c r="EVS42" s="52"/>
      <c r="EVT42" s="52"/>
      <c r="EVU42" s="52"/>
      <c r="EVV42" s="52"/>
      <c r="EVW42" s="52"/>
      <c r="EVX42" s="52"/>
      <c r="EVY42" s="52"/>
      <c r="EVZ42" s="52"/>
      <c r="EWA42" s="52"/>
      <c r="EWB42" s="52"/>
      <c r="EWC42" s="52"/>
      <c r="EWD42" s="52"/>
      <c r="EWE42" s="52"/>
      <c r="EWF42" s="52"/>
      <c r="EWG42" s="52"/>
      <c r="EWH42" s="52"/>
      <c r="EWI42" s="52"/>
      <c r="EWJ42" s="52"/>
      <c r="EWK42" s="52"/>
      <c r="EWL42" s="52"/>
      <c r="EWM42" s="52"/>
      <c r="EWN42" s="52"/>
      <c r="EWO42" s="52"/>
      <c r="EWP42" s="52"/>
      <c r="EWQ42" s="52"/>
      <c r="EWR42" s="52"/>
      <c r="EWS42" s="52"/>
      <c r="EWT42" s="52"/>
      <c r="EWU42" s="52"/>
      <c r="EWV42" s="52"/>
      <c r="EWW42" s="52"/>
      <c r="EWX42" s="52"/>
      <c r="EWY42" s="52"/>
      <c r="EWZ42" s="52"/>
      <c r="EXA42" s="52"/>
      <c r="EXB42" s="52"/>
      <c r="EXC42" s="52"/>
      <c r="EXD42" s="52"/>
      <c r="EXE42" s="52"/>
      <c r="EXF42" s="52"/>
      <c r="EXG42" s="52"/>
      <c r="EXH42" s="52"/>
      <c r="EXI42" s="52"/>
      <c r="EXJ42" s="52"/>
      <c r="EXK42" s="52"/>
      <c r="EXL42" s="52"/>
      <c r="EXM42" s="52"/>
      <c r="EXN42" s="52"/>
      <c r="EXO42" s="52"/>
      <c r="EXP42" s="52"/>
      <c r="EXQ42" s="52"/>
      <c r="EXR42" s="52"/>
      <c r="EXS42" s="52"/>
      <c r="EXT42" s="52"/>
      <c r="EXU42" s="52"/>
      <c r="EXV42" s="52"/>
      <c r="EXW42" s="52"/>
      <c r="EXX42" s="52"/>
      <c r="EXY42" s="52"/>
      <c r="EXZ42" s="52"/>
      <c r="EYA42" s="52"/>
      <c r="EYB42" s="52"/>
      <c r="EYC42" s="52"/>
      <c r="EYD42" s="52"/>
      <c r="EYE42" s="52"/>
      <c r="EYF42" s="52"/>
      <c r="EYG42" s="52"/>
      <c r="EYH42" s="52"/>
      <c r="EYI42" s="52"/>
      <c r="EYJ42" s="52"/>
      <c r="EYK42" s="52"/>
      <c r="EYL42" s="52"/>
      <c r="EYM42" s="52"/>
      <c r="EYN42" s="52"/>
      <c r="EYO42" s="52"/>
      <c r="EYP42" s="52"/>
      <c r="EYQ42" s="52"/>
      <c r="EYR42" s="52"/>
      <c r="EYS42" s="52"/>
      <c r="EYT42" s="52"/>
      <c r="EYU42" s="52"/>
      <c r="EYV42" s="52"/>
      <c r="EYW42" s="52"/>
      <c r="EYX42" s="52"/>
      <c r="EYY42" s="52"/>
      <c r="EYZ42" s="52"/>
      <c r="EZA42" s="52"/>
      <c r="EZB42" s="52"/>
      <c r="EZC42" s="52"/>
      <c r="EZD42" s="52"/>
      <c r="EZE42" s="52"/>
      <c r="EZF42" s="52"/>
      <c r="EZG42" s="52"/>
      <c r="EZH42" s="52"/>
      <c r="EZI42" s="52"/>
      <c r="EZJ42" s="52"/>
      <c r="EZK42" s="52"/>
      <c r="EZL42" s="52"/>
      <c r="EZM42" s="52"/>
      <c r="EZN42" s="52"/>
      <c r="EZO42" s="52"/>
      <c r="EZP42" s="52"/>
      <c r="EZQ42" s="52"/>
      <c r="EZR42" s="52"/>
      <c r="EZS42" s="52"/>
      <c r="EZT42" s="52"/>
      <c r="EZU42" s="52"/>
      <c r="EZV42" s="52"/>
      <c r="EZW42" s="52"/>
      <c r="EZX42" s="52"/>
      <c r="EZY42" s="52"/>
      <c r="EZZ42" s="52"/>
      <c r="FAA42" s="52"/>
      <c r="FAB42" s="52"/>
      <c r="FAC42" s="52"/>
      <c r="FAD42" s="52"/>
      <c r="FAE42" s="52"/>
      <c r="FAF42" s="52"/>
      <c r="FAG42" s="52"/>
      <c r="FAH42" s="52"/>
      <c r="FAI42" s="52"/>
      <c r="FAJ42" s="52"/>
      <c r="FAK42" s="52"/>
      <c r="FAL42" s="52"/>
      <c r="FAM42" s="52"/>
      <c r="FAN42" s="52"/>
      <c r="FAO42" s="52"/>
      <c r="FAP42" s="52"/>
      <c r="FAQ42" s="52"/>
      <c r="FAR42" s="52"/>
      <c r="FAS42" s="52"/>
      <c r="FAT42" s="52"/>
      <c r="FAU42" s="52"/>
      <c r="FAV42" s="52"/>
      <c r="FAW42" s="52"/>
      <c r="FAX42" s="52"/>
      <c r="FAY42" s="52"/>
      <c r="FAZ42" s="52"/>
      <c r="FBA42" s="52"/>
      <c r="FBB42" s="52"/>
      <c r="FBC42" s="52"/>
      <c r="FBD42" s="52"/>
      <c r="FBE42" s="52"/>
      <c r="FBF42" s="52"/>
      <c r="FBG42" s="52"/>
      <c r="FBH42" s="52"/>
      <c r="FBI42" s="52"/>
      <c r="FBJ42" s="52"/>
      <c r="FBK42" s="52"/>
      <c r="FBL42" s="52"/>
      <c r="FBM42" s="52"/>
      <c r="FBN42" s="52"/>
      <c r="FBO42" s="52"/>
      <c r="FBP42" s="52"/>
      <c r="FBQ42" s="52"/>
      <c r="FBR42" s="52"/>
      <c r="FBS42" s="52"/>
      <c r="FBT42" s="52"/>
      <c r="FBU42" s="52"/>
      <c r="FBV42" s="52"/>
      <c r="FBW42" s="52"/>
      <c r="FBX42" s="52"/>
      <c r="FBY42" s="52"/>
      <c r="FBZ42" s="52"/>
      <c r="FCA42" s="52"/>
      <c r="FCB42" s="52"/>
      <c r="FCC42" s="52"/>
      <c r="FCD42" s="52"/>
      <c r="FCE42" s="52"/>
      <c r="FCF42" s="52"/>
      <c r="FCG42" s="52"/>
      <c r="FCH42" s="52"/>
      <c r="FCI42" s="52"/>
      <c r="FCJ42" s="52"/>
      <c r="FCK42" s="52"/>
      <c r="FCL42" s="52"/>
      <c r="FCM42" s="52"/>
      <c r="FCN42" s="52"/>
      <c r="FCO42" s="52"/>
      <c r="FCP42" s="52"/>
      <c r="FCQ42" s="52"/>
      <c r="FCR42" s="52"/>
      <c r="FCS42" s="52"/>
      <c r="FCT42" s="52"/>
      <c r="FCU42" s="52"/>
      <c r="FCV42" s="52"/>
      <c r="FCW42" s="52"/>
      <c r="FCX42" s="52"/>
      <c r="FCY42" s="52"/>
      <c r="FCZ42" s="52"/>
      <c r="FDA42" s="52"/>
      <c r="FDB42" s="52"/>
      <c r="FDC42" s="52"/>
      <c r="FDD42" s="52"/>
      <c r="FDE42" s="52"/>
      <c r="FDF42" s="52"/>
      <c r="FDG42" s="52"/>
      <c r="FDH42" s="52"/>
      <c r="FDI42" s="52"/>
      <c r="FDJ42" s="52"/>
      <c r="FDK42" s="52"/>
      <c r="FDL42" s="52"/>
      <c r="FDM42" s="52"/>
      <c r="FDN42" s="52"/>
      <c r="FDO42" s="52"/>
      <c r="FDP42" s="52"/>
      <c r="FDQ42" s="52"/>
      <c r="FDR42" s="52"/>
      <c r="FDS42" s="52"/>
      <c r="FDT42" s="52"/>
      <c r="FDU42" s="52"/>
      <c r="FDV42" s="52"/>
      <c r="FDW42" s="52"/>
      <c r="FDX42" s="52"/>
      <c r="FDY42" s="52"/>
      <c r="FDZ42" s="52"/>
      <c r="FEA42" s="52"/>
      <c r="FEB42" s="52"/>
      <c r="FEC42" s="52"/>
      <c r="FED42" s="52"/>
      <c r="FEE42" s="52"/>
      <c r="FEF42" s="52"/>
      <c r="FEG42" s="52"/>
      <c r="FEH42" s="52"/>
      <c r="FEI42" s="52"/>
      <c r="FEJ42" s="52"/>
      <c r="FEK42" s="52"/>
      <c r="FEL42" s="52"/>
      <c r="FEM42" s="52"/>
      <c r="FEN42" s="52"/>
      <c r="FEO42" s="52"/>
      <c r="FEP42" s="52"/>
      <c r="FEQ42" s="52"/>
      <c r="FER42" s="52"/>
      <c r="FES42" s="52"/>
      <c r="FET42" s="52"/>
      <c r="FEU42" s="52"/>
      <c r="FEV42" s="52"/>
      <c r="FEW42" s="52"/>
      <c r="FEX42" s="52"/>
      <c r="FEY42" s="52"/>
      <c r="FEZ42" s="52"/>
      <c r="FFA42" s="52"/>
      <c r="FFB42" s="52"/>
      <c r="FFC42" s="52"/>
      <c r="FFD42" s="52"/>
      <c r="FFE42" s="52"/>
      <c r="FFF42" s="52"/>
      <c r="FFG42" s="52"/>
      <c r="FFH42" s="52"/>
      <c r="FFI42" s="52"/>
      <c r="FFJ42" s="52"/>
      <c r="FFK42" s="52"/>
      <c r="FFL42" s="52"/>
      <c r="FFM42" s="52"/>
      <c r="FFN42" s="52"/>
      <c r="FFO42" s="52"/>
      <c r="FFP42" s="52"/>
      <c r="FFQ42" s="52"/>
      <c r="FFR42" s="52"/>
      <c r="FFS42" s="52"/>
      <c r="FFT42" s="52"/>
      <c r="FFU42" s="52"/>
      <c r="FFV42" s="52"/>
      <c r="FFW42" s="52"/>
      <c r="FFX42" s="52"/>
      <c r="FFY42" s="52"/>
      <c r="FFZ42" s="52"/>
      <c r="FGA42" s="52"/>
      <c r="FGB42" s="52"/>
      <c r="FGC42" s="52"/>
      <c r="FGD42" s="52"/>
      <c r="FGE42" s="52"/>
      <c r="FGF42" s="52"/>
      <c r="FGG42" s="52"/>
      <c r="FGH42" s="52"/>
      <c r="FGI42" s="52"/>
      <c r="FGJ42" s="52"/>
      <c r="FGK42" s="52"/>
      <c r="FGL42" s="52"/>
      <c r="FGM42" s="52"/>
      <c r="FGN42" s="52"/>
      <c r="FGO42" s="52"/>
      <c r="FGP42" s="52"/>
      <c r="FGQ42" s="52"/>
      <c r="FGR42" s="52"/>
      <c r="FGS42" s="52"/>
      <c r="FGT42" s="52"/>
      <c r="FGU42" s="52"/>
      <c r="FGV42" s="52"/>
      <c r="FGW42" s="52"/>
      <c r="FGX42" s="52"/>
      <c r="FGY42" s="52"/>
      <c r="FGZ42" s="52"/>
      <c r="FHA42" s="52"/>
      <c r="FHB42" s="52"/>
      <c r="FHC42" s="52"/>
      <c r="FHD42" s="52"/>
      <c r="FHE42" s="52"/>
      <c r="FHF42" s="52"/>
      <c r="FHG42" s="52"/>
      <c r="FHH42" s="52"/>
      <c r="FHI42" s="52"/>
      <c r="FHJ42" s="52"/>
      <c r="FHK42" s="52"/>
      <c r="FHL42" s="52"/>
      <c r="FHM42" s="52"/>
      <c r="FHN42" s="52"/>
      <c r="FHO42" s="52"/>
      <c r="FHP42" s="52"/>
      <c r="FHQ42" s="52"/>
      <c r="FHR42" s="52"/>
      <c r="FHS42" s="52"/>
      <c r="FHT42" s="52"/>
      <c r="FHU42" s="52"/>
      <c r="FHV42" s="52"/>
      <c r="FHW42" s="52"/>
      <c r="FHX42" s="52"/>
      <c r="FHY42" s="52"/>
      <c r="FHZ42" s="52"/>
      <c r="FIA42" s="52"/>
      <c r="FIB42" s="52"/>
      <c r="FIC42" s="52"/>
      <c r="FID42" s="52"/>
      <c r="FIE42" s="52"/>
      <c r="FIF42" s="52"/>
      <c r="FIG42" s="52"/>
      <c r="FIH42" s="52"/>
      <c r="FII42" s="52"/>
      <c r="FIJ42" s="52"/>
      <c r="FIK42" s="52"/>
      <c r="FIL42" s="52"/>
      <c r="FIM42" s="52"/>
      <c r="FIN42" s="52"/>
      <c r="FIO42" s="52"/>
      <c r="FIP42" s="52"/>
      <c r="FIQ42" s="52"/>
      <c r="FIR42" s="52"/>
      <c r="FIS42" s="52"/>
      <c r="FIT42" s="52"/>
      <c r="FIU42" s="52"/>
      <c r="FIV42" s="52"/>
      <c r="FIW42" s="52"/>
      <c r="FIX42" s="52"/>
      <c r="FIY42" s="52"/>
      <c r="FIZ42" s="52"/>
      <c r="FJA42" s="52"/>
      <c r="FJB42" s="52"/>
      <c r="FJC42" s="52"/>
      <c r="FJD42" s="52"/>
      <c r="FJE42" s="52"/>
      <c r="FJF42" s="52"/>
      <c r="FJG42" s="52"/>
      <c r="FJH42" s="52"/>
      <c r="FJI42" s="52"/>
      <c r="FJJ42" s="52"/>
      <c r="FJK42" s="52"/>
      <c r="FJL42" s="52"/>
      <c r="FJM42" s="52"/>
      <c r="FJN42" s="52"/>
      <c r="FJO42" s="52"/>
      <c r="FJP42" s="52"/>
      <c r="FJQ42" s="52"/>
      <c r="FJR42" s="52"/>
      <c r="FJS42" s="52"/>
      <c r="FJT42" s="52"/>
      <c r="FJU42" s="52"/>
      <c r="FJV42" s="52"/>
      <c r="FJW42" s="52"/>
      <c r="FJX42" s="52"/>
      <c r="FJY42" s="52"/>
      <c r="FJZ42" s="52"/>
      <c r="FKA42" s="52"/>
      <c r="FKB42" s="52"/>
      <c r="FKC42" s="52"/>
      <c r="FKD42" s="52"/>
      <c r="FKE42" s="52"/>
      <c r="FKF42" s="52"/>
      <c r="FKG42" s="52"/>
      <c r="FKH42" s="52"/>
      <c r="FKI42" s="52"/>
      <c r="FKJ42" s="52"/>
      <c r="FKK42" s="52"/>
      <c r="FKL42" s="52"/>
      <c r="FKM42" s="52"/>
      <c r="FKN42" s="52"/>
      <c r="FKO42" s="52"/>
      <c r="FKP42" s="52"/>
      <c r="FKQ42" s="52"/>
      <c r="FKR42" s="52"/>
      <c r="FKS42" s="52"/>
      <c r="FKT42" s="52"/>
      <c r="FKU42" s="52"/>
      <c r="FKV42" s="52"/>
      <c r="FKW42" s="52"/>
      <c r="FKX42" s="52"/>
      <c r="FKY42" s="52"/>
      <c r="FKZ42" s="52"/>
      <c r="FLA42" s="52"/>
      <c r="FLB42" s="52"/>
      <c r="FLC42" s="52"/>
      <c r="FLD42" s="52"/>
      <c r="FLE42" s="52"/>
      <c r="FLF42" s="52"/>
      <c r="FLG42" s="52"/>
      <c r="FLH42" s="52"/>
      <c r="FLI42" s="52"/>
      <c r="FLJ42" s="52"/>
      <c r="FLK42" s="52"/>
      <c r="FLL42" s="52"/>
      <c r="FLM42" s="52"/>
      <c r="FLN42" s="52"/>
      <c r="FLO42" s="52"/>
      <c r="FLP42" s="52"/>
      <c r="FLQ42" s="52"/>
      <c r="FLR42" s="52"/>
      <c r="FLS42" s="52"/>
      <c r="FLT42" s="52"/>
      <c r="FLU42" s="52"/>
      <c r="FLV42" s="52"/>
      <c r="FLW42" s="52"/>
      <c r="FLX42" s="52"/>
      <c r="FLY42" s="52"/>
      <c r="FLZ42" s="52"/>
      <c r="FMA42" s="52"/>
      <c r="FMB42" s="52"/>
      <c r="FMC42" s="52"/>
      <c r="FMD42" s="52"/>
      <c r="FME42" s="52"/>
      <c r="FMF42" s="52"/>
      <c r="FMG42" s="52"/>
      <c r="FMH42" s="52"/>
      <c r="FMI42" s="52"/>
      <c r="FMJ42" s="52"/>
      <c r="FMK42" s="52"/>
      <c r="FML42" s="52"/>
      <c r="FMM42" s="52"/>
      <c r="FMN42" s="52"/>
      <c r="FMO42" s="52"/>
      <c r="FMP42" s="52"/>
      <c r="FMQ42" s="52"/>
      <c r="FMR42" s="52"/>
      <c r="FMS42" s="52"/>
      <c r="FMT42" s="52"/>
      <c r="FMU42" s="52"/>
      <c r="FMV42" s="52"/>
      <c r="FMW42" s="52"/>
      <c r="FMX42" s="52"/>
      <c r="FMY42" s="52"/>
      <c r="FMZ42" s="52"/>
      <c r="FNA42" s="52"/>
      <c r="FNB42" s="52"/>
      <c r="FNC42" s="52"/>
      <c r="FND42" s="52"/>
      <c r="FNE42" s="52"/>
      <c r="FNF42" s="52"/>
      <c r="FNG42" s="52"/>
      <c r="FNH42" s="52"/>
      <c r="FNI42" s="52"/>
      <c r="FNJ42" s="52"/>
      <c r="FNK42" s="52"/>
      <c r="FNL42" s="52"/>
      <c r="FNM42" s="52"/>
      <c r="FNN42" s="52"/>
      <c r="FNO42" s="52"/>
      <c r="FNP42" s="52"/>
      <c r="FNQ42" s="52"/>
      <c r="FNR42" s="52"/>
      <c r="FNS42" s="52"/>
      <c r="FNT42" s="52"/>
      <c r="FNU42" s="52"/>
      <c r="FNV42" s="52"/>
      <c r="FNW42" s="52"/>
      <c r="FNX42" s="52"/>
      <c r="FNY42" s="52"/>
      <c r="FNZ42" s="52"/>
      <c r="FOA42" s="52"/>
      <c r="FOB42" s="52"/>
      <c r="FOC42" s="52"/>
      <c r="FOD42" s="52"/>
      <c r="FOE42" s="52"/>
      <c r="FOF42" s="52"/>
      <c r="FOG42" s="52"/>
      <c r="FOH42" s="52"/>
      <c r="FOI42" s="52"/>
      <c r="FOJ42" s="52"/>
      <c r="FOK42" s="52"/>
      <c r="FOL42" s="52"/>
      <c r="FOM42" s="52"/>
      <c r="FON42" s="52"/>
      <c r="FOO42" s="52"/>
      <c r="FOP42" s="52"/>
      <c r="FOQ42" s="52"/>
      <c r="FOR42" s="52"/>
      <c r="FOS42" s="52"/>
      <c r="FOT42" s="52"/>
      <c r="FOU42" s="52"/>
      <c r="FOV42" s="52"/>
      <c r="FOW42" s="52"/>
      <c r="FOX42" s="52"/>
      <c r="FOY42" s="52"/>
      <c r="FOZ42" s="52"/>
      <c r="FPA42" s="52"/>
      <c r="FPB42" s="52"/>
      <c r="FPC42" s="52"/>
      <c r="FPD42" s="52"/>
      <c r="FPE42" s="52"/>
      <c r="FPF42" s="52"/>
      <c r="FPG42" s="52"/>
      <c r="FPH42" s="52"/>
      <c r="FPI42" s="52"/>
      <c r="FPJ42" s="52"/>
      <c r="FPK42" s="52"/>
      <c r="FPL42" s="52"/>
      <c r="FPM42" s="52"/>
      <c r="FPN42" s="52"/>
      <c r="FPO42" s="52"/>
      <c r="FPP42" s="52"/>
      <c r="FPQ42" s="52"/>
      <c r="FPR42" s="52"/>
      <c r="FPS42" s="52"/>
      <c r="FPT42" s="52"/>
      <c r="FPU42" s="52"/>
      <c r="FPV42" s="52"/>
      <c r="FPW42" s="52"/>
      <c r="FPX42" s="52"/>
      <c r="FPY42" s="52"/>
      <c r="FPZ42" s="52"/>
      <c r="FQA42" s="52"/>
      <c r="FQB42" s="52"/>
      <c r="FQC42" s="52"/>
      <c r="FQD42" s="52"/>
      <c r="FQE42" s="52"/>
      <c r="FQF42" s="52"/>
      <c r="FQG42" s="52"/>
      <c r="FQH42" s="52"/>
      <c r="FQI42" s="52"/>
      <c r="FQJ42" s="52"/>
      <c r="FQK42" s="52"/>
      <c r="FQL42" s="52"/>
      <c r="FQM42" s="52"/>
      <c r="FQN42" s="52"/>
      <c r="FQO42" s="52"/>
      <c r="FQP42" s="52"/>
      <c r="FQQ42" s="52"/>
      <c r="FQR42" s="52"/>
      <c r="FQS42" s="52"/>
      <c r="FQT42" s="52"/>
      <c r="FQU42" s="52"/>
      <c r="FQV42" s="52"/>
      <c r="FQW42" s="52"/>
      <c r="FQX42" s="52"/>
      <c r="FQY42" s="52"/>
      <c r="FQZ42" s="52"/>
      <c r="FRA42" s="52"/>
      <c r="FRB42" s="52"/>
      <c r="FRC42" s="52"/>
      <c r="FRD42" s="52"/>
      <c r="FRE42" s="52"/>
      <c r="FRF42" s="52"/>
      <c r="FRG42" s="52"/>
      <c r="FRH42" s="52"/>
      <c r="FRI42" s="52"/>
      <c r="FRJ42" s="52"/>
      <c r="FRK42" s="52"/>
      <c r="FRL42" s="52"/>
      <c r="FRM42" s="52"/>
      <c r="FRN42" s="52"/>
      <c r="FRO42" s="52"/>
      <c r="FRP42" s="52"/>
      <c r="FRQ42" s="52"/>
      <c r="FRR42" s="52"/>
      <c r="FRS42" s="52"/>
      <c r="FRT42" s="52"/>
      <c r="FRU42" s="52"/>
      <c r="FRV42" s="52"/>
      <c r="FRW42" s="52"/>
      <c r="FRX42" s="52"/>
      <c r="FRY42" s="52"/>
      <c r="FRZ42" s="52"/>
      <c r="FSA42" s="52"/>
      <c r="FSB42" s="52"/>
      <c r="FSC42" s="52"/>
      <c r="FSD42" s="52"/>
      <c r="FSE42" s="52"/>
      <c r="FSF42" s="52"/>
      <c r="FSG42" s="52"/>
      <c r="FSH42" s="52"/>
      <c r="FSI42" s="52"/>
      <c r="FSJ42" s="52"/>
      <c r="FSK42" s="52"/>
      <c r="FSL42" s="52"/>
      <c r="FSM42" s="52"/>
      <c r="FSN42" s="52"/>
      <c r="FSO42" s="52"/>
      <c r="FSP42" s="52"/>
      <c r="FSQ42" s="52"/>
      <c r="FSR42" s="52"/>
      <c r="FSS42" s="52"/>
      <c r="FST42" s="52"/>
      <c r="FSU42" s="52"/>
      <c r="FSV42" s="52"/>
      <c r="FSW42" s="52"/>
      <c r="FSX42" s="52"/>
      <c r="FSY42" s="52"/>
      <c r="FSZ42" s="52"/>
      <c r="FTA42" s="52"/>
      <c r="FTB42" s="52"/>
      <c r="FTC42" s="52"/>
      <c r="FTD42" s="52"/>
      <c r="FTE42" s="52"/>
      <c r="FTF42" s="52"/>
      <c r="FTG42" s="52"/>
      <c r="FTH42" s="52"/>
      <c r="FTI42" s="52"/>
      <c r="FTJ42" s="52"/>
      <c r="FTK42" s="52"/>
      <c r="FTL42" s="52"/>
      <c r="FTM42" s="52"/>
      <c r="FTN42" s="52"/>
      <c r="FTO42" s="52"/>
      <c r="FTP42" s="52"/>
      <c r="FTQ42" s="52"/>
      <c r="FTR42" s="52"/>
      <c r="FTS42" s="52"/>
      <c r="FTT42" s="52"/>
      <c r="FTU42" s="52"/>
      <c r="FTV42" s="52"/>
      <c r="FTW42" s="52"/>
      <c r="FTX42" s="52"/>
      <c r="FTY42" s="52"/>
      <c r="FTZ42" s="52"/>
      <c r="FUA42" s="52"/>
      <c r="FUB42" s="52"/>
      <c r="FUC42" s="52"/>
      <c r="FUD42" s="52"/>
      <c r="FUE42" s="52"/>
      <c r="FUF42" s="52"/>
      <c r="FUG42" s="52"/>
      <c r="FUH42" s="52"/>
      <c r="FUI42" s="52"/>
      <c r="FUJ42" s="52"/>
      <c r="FUK42" s="52"/>
      <c r="FUL42" s="52"/>
      <c r="FUM42" s="52"/>
      <c r="FUN42" s="52"/>
      <c r="FUO42" s="52"/>
      <c r="FUP42" s="52"/>
      <c r="FUQ42" s="52"/>
      <c r="FUR42" s="52"/>
      <c r="FUS42" s="52"/>
      <c r="FUT42" s="52"/>
      <c r="FUU42" s="52"/>
      <c r="FUV42" s="52"/>
      <c r="FUW42" s="52"/>
      <c r="FUX42" s="52"/>
      <c r="FUY42" s="52"/>
      <c r="FUZ42" s="52"/>
      <c r="FVA42" s="52"/>
      <c r="FVB42" s="52"/>
      <c r="FVC42" s="52"/>
      <c r="FVD42" s="52"/>
      <c r="FVE42" s="52"/>
      <c r="FVF42" s="52"/>
      <c r="FVG42" s="52"/>
      <c r="FVH42" s="52"/>
      <c r="FVI42" s="52"/>
      <c r="FVJ42" s="52"/>
      <c r="FVK42" s="52"/>
      <c r="FVL42" s="52"/>
      <c r="FVM42" s="52"/>
      <c r="FVN42" s="52"/>
      <c r="FVO42" s="52"/>
      <c r="FVP42" s="52"/>
      <c r="FVQ42" s="52"/>
      <c r="FVR42" s="52"/>
      <c r="FVS42" s="52"/>
      <c r="FVT42" s="52"/>
      <c r="FVU42" s="52"/>
      <c r="FVV42" s="52"/>
      <c r="FVW42" s="52"/>
      <c r="FVX42" s="52"/>
      <c r="FVY42" s="52"/>
      <c r="FVZ42" s="52"/>
      <c r="FWA42" s="52"/>
      <c r="FWB42" s="52"/>
      <c r="FWC42" s="52"/>
      <c r="FWD42" s="52"/>
      <c r="FWE42" s="52"/>
      <c r="FWF42" s="52"/>
      <c r="FWG42" s="52"/>
      <c r="FWH42" s="52"/>
      <c r="FWI42" s="52"/>
      <c r="FWJ42" s="52"/>
      <c r="FWK42" s="52"/>
      <c r="FWL42" s="52"/>
      <c r="FWM42" s="52"/>
      <c r="FWN42" s="52"/>
      <c r="FWO42" s="52"/>
      <c r="FWP42" s="52"/>
      <c r="FWQ42" s="52"/>
      <c r="FWR42" s="52"/>
      <c r="FWS42" s="52"/>
      <c r="FWT42" s="52"/>
      <c r="FWU42" s="52"/>
      <c r="FWV42" s="52"/>
      <c r="FWW42" s="52"/>
      <c r="FWX42" s="52"/>
      <c r="FWY42" s="52"/>
      <c r="FWZ42" s="52"/>
      <c r="FXA42" s="52"/>
      <c r="FXB42" s="52"/>
      <c r="FXC42" s="52"/>
      <c r="FXD42" s="52"/>
      <c r="FXE42" s="52"/>
      <c r="FXF42" s="52"/>
      <c r="FXG42" s="52"/>
      <c r="FXH42" s="52"/>
      <c r="FXI42" s="52"/>
      <c r="FXJ42" s="52"/>
      <c r="FXK42" s="52"/>
      <c r="FXL42" s="52"/>
      <c r="FXM42" s="52"/>
      <c r="FXN42" s="52"/>
      <c r="FXO42" s="52"/>
      <c r="FXP42" s="52"/>
      <c r="FXQ42" s="52"/>
      <c r="FXR42" s="52"/>
      <c r="FXS42" s="52"/>
      <c r="FXT42" s="52"/>
      <c r="FXU42" s="52"/>
      <c r="FXV42" s="52"/>
      <c r="FXW42" s="52"/>
      <c r="FXX42" s="52"/>
      <c r="FXY42" s="52"/>
      <c r="FXZ42" s="52"/>
      <c r="FYA42" s="52"/>
      <c r="FYB42" s="52"/>
      <c r="FYC42" s="52"/>
      <c r="FYD42" s="52"/>
      <c r="FYE42" s="52"/>
      <c r="FYF42" s="52"/>
      <c r="FYG42" s="52"/>
      <c r="FYH42" s="52"/>
      <c r="FYI42" s="52"/>
      <c r="FYJ42" s="52"/>
      <c r="FYK42" s="52"/>
      <c r="FYL42" s="52"/>
      <c r="FYM42" s="52"/>
      <c r="FYN42" s="52"/>
      <c r="FYO42" s="52"/>
      <c r="FYP42" s="52"/>
      <c r="FYQ42" s="52"/>
      <c r="FYR42" s="52"/>
      <c r="FYS42" s="52"/>
      <c r="FYT42" s="52"/>
      <c r="FYU42" s="52"/>
      <c r="FYV42" s="52"/>
      <c r="FYW42" s="52"/>
      <c r="FYX42" s="52"/>
      <c r="FYY42" s="52"/>
      <c r="FYZ42" s="52"/>
      <c r="FZA42" s="52"/>
      <c r="FZB42" s="52"/>
      <c r="FZC42" s="52"/>
      <c r="FZD42" s="52"/>
      <c r="FZE42" s="52"/>
      <c r="FZF42" s="52"/>
      <c r="FZG42" s="52"/>
      <c r="FZH42" s="52"/>
      <c r="FZI42" s="52"/>
      <c r="FZJ42" s="52"/>
      <c r="FZK42" s="52"/>
      <c r="FZL42" s="52"/>
      <c r="FZM42" s="52"/>
      <c r="FZN42" s="52"/>
      <c r="FZO42" s="52"/>
      <c r="FZP42" s="52"/>
      <c r="FZQ42" s="52"/>
      <c r="FZR42" s="52"/>
      <c r="FZS42" s="52"/>
      <c r="FZT42" s="52"/>
      <c r="FZU42" s="52"/>
      <c r="FZV42" s="52"/>
      <c r="FZW42" s="52"/>
      <c r="FZX42" s="52"/>
      <c r="FZY42" s="52"/>
      <c r="FZZ42" s="52"/>
      <c r="GAA42" s="52"/>
      <c r="GAB42" s="52"/>
      <c r="GAC42" s="52"/>
      <c r="GAD42" s="52"/>
      <c r="GAE42" s="52"/>
      <c r="GAF42" s="52"/>
      <c r="GAG42" s="52"/>
      <c r="GAH42" s="52"/>
      <c r="GAI42" s="52"/>
      <c r="GAJ42" s="52"/>
      <c r="GAK42" s="52"/>
      <c r="GAL42" s="52"/>
      <c r="GAM42" s="52"/>
      <c r="GAN42" s="52"/>
      <c r="GAO42" s="52"/>
      <c r="GAP42" s="52"/>
      <c r="GAQ42" s="52"/>
      <c r="GAR42" s="52"/>
      <c r="GAS42" s="52"/>
      <c r="GAT42" s="52"/>
      <c r="GAU42" s="52"/>
      <c r="GAV42" s="52"/>
      <c r="GAW42" s="52"/>
      <c r="GAX42" s="52"/>
      <c r="GAY42" s="52"/>
      <c r="GAZ42" s="52"/>
      <c r="GBA42" s="52"/>
      <c r="GBB42" s="52"/>
      <c r="GBC42" s="52"/>
      <c r="GBD42" s="52"/>
      <c r="GBE42" s="52"/>
      <c r="GBF42" s="52"/>
      <c r="GBG42" s="52"/>
      <c r="GBH42" s="52"/>
      <c r="GBI42" s="52"/>
      <c r="GBJ42" s="52"/>
      <c r="GBK42" s="52"/>
      <c r="GBL42" s="52"/>
      <c r="GBM42" s="52"/>
      <c r="GBN42" s="52"/>
      <c r="GBO42" s="52"/>
      <c r="GBP42" s="52"/>
      <c r="GBQ42" s="52"/>
      <c r="GBR42" s="52"/>
      <c r="GBS42" s="52"/>
      <c r="GBT42" s="52"/>
      <c r="GBU42" s="52"/>
      <c r="GBV42" s="52"/>
      <c r="GBW42" s="52"/>
      <c r="GBX42" s="52"/>
      <c r="GBY42" s="52"/>
      <c r="GBZ42" s="52"/>
      <c r="GCA42" s="52"/>
      <c r="GCB42" s="52"/>
      <c r="GCC42" s="52"/>
      <c r="GCD42" s="52"/>
      <c r="GCE42" s="52"/>
      <c r="GCF42" s="52"/>
      <c r="GCG42" s="52"/>
      <c r="GCH42" s="52"/>
      <c r="GCI42" s="52"/>
      <c r="GCJ42" s="52"/>
      <c r="GCK42" s="52"/>
      <c r="GCL42" s="52"/>
      <c r="GCM42" s="52"/>
      <c r="GCN42" s="52"/>
      <c r="GCO42" s="52"/>
      <c r="GCP42" s="52"/>
      <c r="GCQ42" s="52"/>
      <c r="GCR42" s="52"/>
      <c r="GCS42" s="52"/>
      <c r="GCT42" s="52"/>
      <c r="GCU42" s="52"/>
      <c r="GCV42" s="52"/>
      <c r="GCW42" s="52"/>
      <c r="GCX42" s="52"/>
      <c r="GCY42" s="52"/>
      <c r="GCZ42" s="52"/>
      <c r="GDA42" s="52"/>
      <c r="GDB42" s="52"/>
      <c r="GDC42" s="52"/>
      <c r="GDD42" s="52"/>
      <c r="GDE42" s="52"/>
      <c r="GDF42" s="52"/>
      <c r="GDG42" s="52"/>
      <c r="GDH42" s="52"/>
      <c r="GDI42" s="52"/>
      <c r="GDJ42" s="52"/>
      <c r="GDK42" s="52"/>
      <c r="GDL42" s="52"/>
      <c r="GDM42" s="52"/>
      <c r="GDN42" s="52"/>
      <c r="GDO42" s="52"/>
      <c r="GDP42" s="52"/>
      <c r="GDQ42" s="52"/>
      <c r="GDR42" s="52"/>
      <c r="GDS42" s="52"/>
      <c r="GDT42" s="52"/>
      <c r="GDU42" s="52"/>
      <c r="GDV42" s="52"/>
      <c r="GDW42" s="52"/>
      <c r="GDX42" s="52"/>
      <c r="GDY42" s="52"/>
      <c r="GDZ42" s="52"/>
      <c r="GEA42" s="52"/>
      <c r="GEB42" s="52"/>
      <c r="GEC42" s="52"/>
      <c r="GED42" s="52"/>
      <c r="GEE42" s="52"/>
      <c r="GEF42" s="52"/>
      <c r="GEG42" s="52"/>
      <c r="GEH42" s="52"/>
      <c r="GEI42" s="52"/>
      <c r="GEJ42" s="52"/>
      <c r="GEK42" s="52"/>
      <c r="GEL42" s="52"/>
      <c r="GEM42" s="52"/>
      <c r="GEN42" s="52"/>
      <c r="GEO42" s="52"/>
      <c r="GEP42" s="52"/>
      <c r="GEQ42" s="52"/>
      <c r="GER42" s="52"/>
      <c r="GES42" s="52"/>
      <c r="GET42" s="52"/>
      <c r="GEU42" s="52"/>
      <c r="GEV42" s="52"/>
      <c r="GEW42" s="52"/>
      <c r="GEX42" s="52"/>
      <c r="GEY42" s="52"/>
      <c r="GEZ42" s="52"/>
      <c r="GFA42" s="52"/>
      <c r="GFB42" s="52"/>
      <c r="GFC42" s="52"/>
      <c r="GFD42" s="52"/>
      <c r="GFE42" s="52"/>
      <c r="GFF42" s="52"/>
      <c r="GFG42" s="52"/>
      <c r="GFH42" s="52"/>
      <c r="GFI42" s="52"/>
      <c r="GFJ42" s="52"/>
      <c r="GFK42" s="52"/>
      <c r="GFL42" s="52"/>
      <c r="GFM42" s="52"/>
      <c r="GFN42" s="52"/>
      <c r="GFO42" s="52"/>
      <c r="GFP42" s="52"/>
      <c r="GFQ42" s="52"/>
      <c r="GFR42" s="52"/>
      <c r="GFS42" s="52"/>
      <c r="GFT42" s="52"/>
      <c r="GFU42" s="52"/>
      <c r="GFV42" s="52"/>
      <c r="GFW42" s="52"/>
      <c r="GFX42" s="52"/>
      <c r="GFY42" s="52"/>
      <c r="GFZ42" s="52"/>
      <c r="GGA42" s="52"/>
      <c r="GGB42" s="52"/>
      <c r="GGC42" s="52"/>
      <c r="GGD42" s="52"/>
      <c r="GGE42" s="52"/>
      <c r="GGF42" s="52"/>
      <c r="GGG42" s="52"/>
      <c r="GGH42" s="52"/>
      <c r="GGI42" s="52"/>
      <c r="GGJ42" s="52"/>
      <c r="GGK42" s="52"/>
      <c r="GGL42" s="52"/>
      <c r="GGM42" s="52"/>
      <c r="GGN42" s="52"/>
      <c r="GGO42" s="52"/>
      <c r="GGP42" s="52"/>
      <c r="GGQ42" s="52"/>
      <c r="GGR42" s="52"/>
      <c r="GGS42" s="52"/>
      <c r="GGT42" s="52"/>
      <c r="GGU42" s="52"/>
      <c r="GGV42" s="52"/>
      <c r="GGW42" s="52"/>
      <c r="GGX42" s="52"/>
      <c r="GGY42" s="52"/>
      <c r="GGZ42" s="52"/>
      <c r="GHA42" s="52"/>
      <c r="GHB42" s="52"/>
      <c r="GHC42" s="52"/>
      <c r="GHD42" s="52"/>
      <c r="GHE42" s="52"/>
      <c r="GHF42" s="52"/>
      <c r="GHG42" s="52"/>
      <c r="GHH42" s="52"/>
      <c r="GHI42" s="52"/>
      <c r="GHJ42" s="52"/>
      <c r="GHK42" s="52"/>
      <c r="GHL42" s="52"/>
      <c r="GHM42" s="52"/>
      <c r="GHN42" s="52"/>
      <c r="GHO42" s="52"/>
      <c r="GHP42" s="52"/>
      <c r="GHQ42" s="52"/>
      <c r="GHR42" s="52"/>
      <c r="GHS42" s="52"/>
      <c r="GHT42" s="52"/>
      <c r="GHU42" s="52"/>
      <c r="GHV42" s="52"/>
      <c r="GHW42" s="52"/>
      <c r="GHX42" s="52"/>
      <c r="GHY42" s="52"/>
      <c r="GHZ42" s="52"/>
      <c r="GIA42" s="52"/>
      <c r="GIB42" s="52"/>
      <c r="GIC42" s="52"/>
      <c r="GID42" s="52"/>
      <c r="GIE42" s="52"/>
      <c r="GIF42" s="52"/>
      <c r="GIG42" s="52"/>
      <c r="GIH42" s="52"/>
      <c r="GII42" s="52"/>
      <c r="GIJ42" s="52"/>
      <c r="GIK42" s="52"/>
      <c r="GIL42" s="52"/>
      <c r="GIM42" s="52"/>
      <c r="GIN42" s="52"/>
      <c r="GIO42" s="52"/>
      <c r="GIP42" s="52"/>
      <c r="GIQ42" s="52"/>
      <c r="GIR42" s="52"/>
      <c r="GIS42" s="52"/>
      <c r="GIT42" s="52"/>
      <c r="GIU42" s="52"/>
      <c r="GIV42" s="52"/>
      <c r="GIW42" s="52"/>
      <c r="GIX42" s="52"/>
      <c r="GIY42" s="52"/>
      <c r="GIZ42" s="52"/>
      <c r="GJA42" s="52"/>
      <c r="GJB42" s="52"/>
      <c r="GJC42" s="52"/>
      <c r="GJD42" s="52"/>
      <c r="GJE42" s="52"/>
      <c r="GJF42" s="52"/>
      <c r="GJG42" s="52"/>
      <c r="GJH42" s="52"/>
      <c r="GJI42" s="52"/>
      <c r="GJJ42" s="52"/>
      <c r="GJK42" s="52"/>
      <c r="GJL42" s="52"/>
      <c r="GJM42" s="52"/>
      <c r="GJN42" s="52"/>
      <c r="GJO42" s="52"/>
      <c r="GJP42" s="52"/>
      <c r="GJQ42" s="52"/>
      <c r="GJR42" s="52"/>
      <c r="GJS42" s="52"/>
      <c r="GJT42" s="52"/>
      <c r="GJU42" s="52"/>
      <c r="GJV42" s="52"/>
      <c r="GJW42" s="52"/>
      <c r="GJX42" s="52"/>
      <c r="GJY42" s="52"/>
      <c r="GJZ42" s="52"/>
      <c r="GKA42" s="52"/>
      <c r="GKB42" s="52"/>
      <c r="GKC42" s="52"/>
      <c r="GKD42" s="52"/>
      <c r="GKE42" s="52"/>
      <c r="GKF42" s="52"/>
      <c r="GKG42" s="52"/>
      <c r="GKH42" s="52"/>
      <c r="GKI42" s="52"/>
      <c r="GKJ42" s="52"/>
      <c r="GKK42" s="52"/>
      <c r="GKL42" s="52"/>
      <c r="GKM42" s="52"/>
      <c r="GKN42" s="52"/>
      <c r="GKO42" s="52"/>
      <c r="GKP42" s="52"/>
      <c r="GKQ42" s="52"/>
      <c r="GKR42" s="52"/>
      <c r="GKS42" s="52"/>
      <c r="GKT42" s="52"/>
      <c r="GKU42" s="52"/>
      <c r="GKV42" s="52"/>
      <c r="GKW42" s="52"/>
      <c r="GKX42" s="52"/>
      <c r="GKY42" s="52"/>
      <c r="GKZ42" s="52"/>
      <c r="GLA42" s="52"/>
      <c r="GLB42" s="52"/>
      <c r="GLC42" s="52"/>
      <c r="GLD42" s="52"/>
      <c r="GLE42" s="52"/>
      <c r="GLF42" s="52"/>
      <c r="GLG42" s="52"/>
      <c r="GLH42" s="52"/>
      <c r="GLI42" s="52"/>
      <c r="GLJ42" s="52"/>
      <c r="GLK42" s="52"/>
      <c r="GLL42" s="52"/>
      <c r="GLM42" s="52"/>
      <c r="GLN42" s="52"/>
      <c r="GLO42" s="52"/>
      <c r="GLP42" s="52"/>
      <c r="GLQ42" s="52"/>
      <c r="GLR42" s="52"/>
      <c r="GLS42" s="52"/>
      <c r="GLT42" s="52"/>
      <c r="GLU42" s="52"/>
      <c r="GLV42" s="52"/>
      <c r="GLW42" s="52"/>
      <c r="GLX42" s="52"/>
      <c r="GLY42" s="52"/>
      <c r="GLZ42" s="52"/>
      <c r="GMA42" s="52"/>
      <c r="GMB42" s="52"/>
      <c r="GMC42" s="52"/>
      <c r="GMD42" s="52"/>
      <c r="GME42" s="52"/>
      <c r="GMF42" s="52"/>
      <c r="GMG42" s="52"/>
      <c r="GMH42" s="52"/>
      <c r="GMI42" s="52"/>
      <c r="GMJ42" s="52"/>
      <c r="GMK42" s="52"/>
      <c r="GML42" s="52"/>
      <c r="GMM42" s="52"/>
      <c r="GMN42" s="52"/>
      <c r="GMO42" s="52"/>
      <c r="GMP42" s="52"/>
      <c r="GMQ42" s="52"/>
      <c r="GMR42" s="52"/>
      <c r="GMS42" s="52"/>
      <c r="GMT42" s="52"/>
      <c r="GMU42" s="52"/>
      <c r="GMV42" s="52"/>
      <c r="GMW42" s="52"/>
      <c r="GMX42" s="52"/>
      <c r="GMY42" s="52"/>
      <c r="GMZ42" s="52"/>
      <c r="GNA42" s="52"/>
      <c r="GNB42" s="52"/>
      <c r="GNC42" s="52"/>
      <c r="GND42" s="52"/>
      <c r="GNE42" s="52"/>
      <c r="GNF42" s="52"/>
      <c r="GNG42" s="52"/>
      <c r="GNH42" s="52"/>
      <c r="GNI42" s="52"/>
      <c r="GNJ42" s="52"/>
      <c r="GNK42" s="52"/>
      <c r="GNL42" s="52"/>
      <c r="GNM42" s="52"/>
      <c r="GNN42" s="52"/>
      <c r="GNO42" s="52"/>
      <c r="GNP42" s="52"/>
      <c r="GNQ42" s="52"/>
      <c r="GNR42" s="52"/>
      <c r="GNS42" s="52"/>
      <c r="GNT42" s="52"/>
      <c r="GNU42" s="52"/>
      <c r="GNV42" s="52"/>
      <c r="GNW42" s="52"/>
      <c r="GNX42" s="52"/>
      <c r="GNY42" s="52"/>
      <c r="GNZ42" s="52"/>
      <c r="GOA42" s="52"/>
      <c r="GOB42" s="52"/>
      <c r="GOC42" s="52"/>
      <c r="GOD42" s="52"/>
      <c r="GOE42" s="52"/>
      <c r="GOF42" s="52"/>
      <c r="GOG42" s="52"/>
      <c r="GOH42" s="52"/>
      <c r="GOI42" s="52"/>
      <c r="GOJ42" s="52"/>
      <c r="GOK42" s="52"/>
      <c r="GOL42" s="52"/>
      <c r="GOM42" s="52"/>
      <c r="GON42" s="52"/>
      <c r="GOO42" s="52"/>
      <c r="GOP42" s="52"/>
      <c r="GOQ42" s="52"/>
      <c r="GOR42" s="52"/>
      <c r="GOS42" s="52"/>
      <c r="GOT42" s="52"/>
      <c r="GOU42" s="52"/>
      <c r="GOV42" s="52"/>
      <c r="GOW42" s="52"/>
      <c r="GOX42" s="52"/>
      <c r="GOY42" s="52"/>
      <c r="GOZ42" s="52"/>
      <c r="GPA42" s="52"/>
      <c r="GPB42" s="52"/>
      <c r="GPC42" s="52"/>
      <c r="GPD42" s="52"/>
      <c r="GPE42" s="52"/>
      <c r="GPF42" s="52"/>
      <c r="GPG42" s="52"/>
      <c r="GPH42" s="52"/>
      <c r="GPI42" s="52"/>
      <c r="GPJ42" s="52"/>
      <c r="GPK42" s="52"/>
      <c r="GPL42" s="52"/>
      <c r="GPM42" s="52"/>
      <c r="GPN42" s="52"/>
      <c r="GPO42" s="52"/>
      <c r="GPP42" s="52"/>
      <c r="GPQ42" s="52"/>
      <c r="GPR42" s="52"/>
      <c r="GPS42" s="52"/>
      <c r="GPT42" s="52"/>
      <c r="GPU42" s="52"/>
      <c r="GPV42" s="52"/>
      <c r="GPW42" s="52"/>
      <c r="GPX42" s="52"/>
      <c r="GPY42" s="52"/>
      <c r="GPZ42" s="52"/>
      <c r="GQA42" s="52"/>
      <c r="GQB42" s="52"/>
      <c r="GQC42" s="52"/>
      <c r="GQD42" s="52"/>
      <c r="GQE42" s="52"/>
      <c r="GQF42" s="52"/>
      <c r="GQG42" s="52"/>
      <c r="GQH42" s="52"/>
      <c r="GQI42" s="52"/>
      <c r="GQJ42" s="52"/>
      <c r="GQK42" s="52"/>
      <c r="GQL42" s="52"/>
      <c r="GQM42" s="52"/>
      <c r="GQN42" s="52"/>
      <c r="GQO42" s="52"/>
      <c r="GQP42" s="52"/>
      <c r="GQQ42" s="52"/>
      <c r="GQR42" s="52"/>
      <c r="GQS42" s="52"/>
      <c r="GQT42" s="52"/>
      <c r="GQU42" s="52"/>
      <c r="GQV42" s="52"/>
      <c r="GQW42" s="52"/>
      <c r="GQX42" s="52"/>
      <c r="GQY42" s="52"/>
      <c r="GQZ42" s="52"/>
      <c r="GRA42" s="52"/>
      <c r="GRB42" s="52"/>
      <c r="GRC42" s="52"/>
      <c r="GRD42" s="52"/>
      <c r="GRE42" s="52"/>
      <c r="GRF42" s="52"/>
      <c r="GRG42" s="52"/>
      <c r="GRH42" s="52"/>
      <c r="GRI42" s="52"/>
      <c r="GRJ42" s="52"/>
      <c r="GRK42" s="52"/>
      <c r="GRL42" s="52"/>
      <c r="GRM42" s="52"/>
      <c r="GRN42" s="52"/>
      <c r="GRO42" s="52"/>
      <c r="GRP42" s="52"/>
      <c r="GRQ42" s="52"/>
      <c r="GRR42" s="52"/>
      <c r="GRS42" s="52"/>
      <c r="GRT42" s="52"/>
      <c r="GRU42" s="52"/>
      <c r="GRV42" s="52"/>
      <c r="GRW42" s="52"/>
      <c r="GRX42" s="52"/>
      <c r="GRY42" s="52"/>
      <c r="GRZ42" s="52"/>
      <c r="GSA42" s="52"/>
      <c r="GSB42" s="52"/>
      <c r="GSC42" s="52"/>
      <c r="GSD42" s="52"/>
      <c r="GSE42" s="52"/>
      <c r="GSF42" s="52"/>
      <c r="GSG42" s="52"/>
      <c r="GSH42" s="52"/>
      <c r="GSI42" s="52"/>
      <c r="GSJ42" s="52"/>
      <c r="GSK42" s="52"/>
      <c r="GSL42" s="52"/>
      <c r="GSM42" s="52"/>
      <c r="GSN42" s="52"/>
      <c r="GSO42" s="52"/>
      <c r="GSP42" s="52"/>
      <c r="GSQ42" s="52"/>
      <c r="GSR42" s="52"/>
      <c r="GSS42" s="52"/>
      <c r="GST42" s="52"/>
      <c r="GSU42" s="52"/>
      <c r="GSV42" s="52"/>
      <c r="GSW42" s="52"/>
      <c r="GSX42" s="52"/>
      <c r="GSY42" s="52"/>
      <c r="GSZ42" s="52"/>
      <c r="GTA42" s="52"/>
      <c r="GTB42" s="52"/>
      <c r="GTC42" s="52"/>
      <c r="GTD42" s="52"/>
      <c r="GTE42" s="52"/>
      <c r="GTF42" s="52"/>
      <c r="GTG42" s="52"/>
      <c r="GTH42" s="52"/>
      <c r="GTI42" s="52"/>
      <c r="GTJ42" s="52"/>
      <c r="GTK42" s="52"/>
      <c r="GTL42" s="52"/>
      <c r="GTM42" s="52"/>
      <c r="GTN42" s="52"/>
      <c r="GTO42" s="52"/>
      <c r="GTP42" s="52"/>
      <c r="GTQ42" s="52"/>
      <c r="GTR42" s="52"/>
      <c r="GTS42" s="52"/>
      <c r="GTT42" s="52"/>
      <c r="GTU42" s="52"/>
      <c r="GTV42" s="52"/>
      <c r="GTW42" s="52"/>
      <c r="GTX42" s="52"/>
      <c r="GTY42" s="52"/>
      <c r="GTZ42" s="52"/>
      <c r="GUA42" s="52"/>
      <c r="GUB42" s="52"/>
      <c r="GUC42" s="52"/>
      <c r="GUD42" s="52"/>
      <c r="GUE42" s="52"/>
      <c r="GUF42" s="52"/>
      <c r="GUG42" s="52"/>
      <c r="GUH42" s="52"/>
      <c r="GUI42" s="52"/>
      <c r="GUJ42" s="52"/>
      <c r="GUK42" s="52"/>
      <c r="GUL42" s="52"/>
      <c r="GUM42" s="52"/>
      <c r="GUN42" s="52"/>
      <c r="GUO42" s="52"/>
      <c r="GUP42" s="52"/>
      <c r="GUQ42" s="52"/>
      <c r="GUR42" s="52"/>
      <c r="GUS42" s="52"/>
      <c r="GUT42" s="52"/>
      <c r="GUU42" s="52"/>
      <c r="GUV42" s="52"/>
      <c r="GUW42" s="52"/>
      <c r="GUX42" s="52"/>
      <c r="GUY42" s="52"/>
      <c r="GUZ42" s="52"/>
      <c r="GVA42" s="52"/>
      <c r="GVB42" s="52"/>
      <c r="GVC42" s="52"/>
      <c r="GVD42" s="52"/>
      <c r="GVE42" s="52"/>
      <c r="GVF42" s="52"/>
      <c r="GVG42" s="52"/>
      <c r="GVH42" s="52"/>
      <c r="GVI42" s="52"/>
      <c r="GVJ42" s="52"/>
      <c r="GVK42" s="52"/>
      <c r="GVL42" s="52"/>
      <c r="GVM42" s="52"/>
      <c r="GVN42" s="52"/>
      <c r="GVO42" s="52"/>
      <c r="GVP42" s="52"/>
      <c r="GVQ42" s="52"/>
      <c r="GVR42" s="52"/>
      <c r="GVS42" s="52"/>
      <c r="GVT42" s="52"/>
      <c r="GVU42" s="52"/>
      <c r="GVV42" s="52"/>
      <c r="GVW42" s="52"/>
      <c r="GVX42" s="52"/>
      <c r="GVY42" s="52"/>
      <c r="GVZ42" s="52"/>
      <c r="GWA42" s="52"/>
      <c r="GWB42" s="52"/>
      <c r="GWC42" s="52"/>
      <c r="GWD42" s="52"/>
      <c r="GWE42" s="52"/>
      <c r="GWF42" s="52"/>
      <c r="GWG42" s="52"/>
      <c r="GWH42" s="52"/>
      <c r="GWI42" s="52"/>
      <c r="GWJ42" s="52"/>
      <c r="GWK42" s="52"/>
      <c r="GWL42" s="52"/>
      <c r="GWM42" s="52"/>
      <c r="GWN42" s="52"/>
      <c r="GWO42" s="52"/>
      <c r="GWP42" s="52"/>
      <c r="GWQ42" s="52"/>
      <c r="GWR42" s="52"/>
      <c r="GWS42" s="52"/>
      <c r="GWT42" s="52"/>
      <c r="GWU42" s="52"/>
      <c r="GWV42" s="52"/>
      <c r="GWW42" s="52"/>
      <c r="GWX42" s="52"/>
      <c r="GWY42" s="52"/>
      <c r="GWZ42" s="52"/>
      <c r="GXA42" s="52"/>
      <c r="GXB42" s="52"/>
      <c r="GXC42" s="52"/>
      <c r="GXD42" s="52"/>
      <c r="GXE42" s="52"/>
      <c r="GXF42" s="52"/>
      <c r="GXG42" s="52"/>
      <c r="GXH42" s="52"/>
      <c r="GXI42" s="52"/>
      <c r="GXJ42" s="52"/>
      <c r="GXK42" s="52"/>
      <c r="GXL42" s="52"/>
      <c r="GXM42" s="52"/>
      <c r="GXN42" s="52"/>
      <c r="GXO42" s="52"/>
      <c r="GXP42" s="52"/>
      <c r="GXQ42" s="52"/>
      <c r="GXR42" s="52"/>
      <c r="GXS42" s="52"/>
      <c r="GXT42" s="52"/>
      <c r="GXU42" s="52"/>
      <c r="GXV42" s="52"/>
      <c r="GXW42" s="52"/>
      <c r="GXX42" s="52"/>
      <c r="GXY42" s="52"/>
      <c r="GXZ42" s="52"/>
      <c r="GYA42" s="52"/>
      <c r="GYB42" s="52"/>
      <c r="GYC42" s="52"/>
      <c r="GYD42" s="52"/>
      <c r="GYE42" s="52"/>
      <c r="GYF42" s="52"/>
      <c r="GYG42" s="52"/>
      <c r="GYH42" s="52"/>
      <c r="GYI42" s="52"/>
      <c r="GYJ42" s="52"/>
      <c r="GYK42" s="52"/>
      <c r="GYL42" s="52"/>
      <c r="GYM42" s="52"/>
      <c r="GYN42" s="52"/>
      <c r="GYO42" s="52"/>
      <c r="GYP42" s="52"/>
      <c r="GYQ42" s="52"/>
      <c r="GYR42" s="52"/>
      <c r="GYS42" s="52"/>
      <c r="GYT42" s="52"/>
      <c r="GYU42" s="52"/>
      <c r="GYV42" s="52"/>
      <c r="GYW42" s="52"/>
      <c r="GYX42" s="52"/>
      <c r="GYY42" s="52"/>
      <c r="GYZ42" s="52"/>
      <c r="GZA42" s="52"/>
      <c r="GZB42" s="52"/>
      <c r="GZC42" s="52"/>
      <c r="GZD42" s="52"/>
      <c r="GZE42" s="52"/>
      <c r="GZF42" s="52"/>
      <c r="GZG42" s="52"/>
      <c r="GZH42" s="52"/>
      <c r="GZI42" s="52"/>
      <c r="GZJ42" s="52"/>
      <c r="GZK42" s="52"/>
      <c r="GZL42" s="52"/>
      <c r="GZM42" s="52"/>
      <c r="GZN42" s="52"/>
      <c r="GZO42" s="52"/>
      <c r="GZP42" s="52"/>
      <c r="GZQ42" s="52"/>
      <c r="GZR42" s="52"/>
      <c r="GZS42" s="52"/>
      <c r="GZT42" s="52"/>
      <c r="GZU42" s="52"/>
      <c r="GZV42" s="52"/>
      <c r="GZW42" s="52"/>
      <c r="GZX42" s="52"/>
      <c r="GZY42" s="52"/>
      <c r="GZZ42" s="52"/>
      <c r="HAA42" s="52"/>
      <c r="HAB42" s="52"/>
      <c r="HAC42" s="52"/>
      <c r="HAD42" s="52"/>
      <c r="HAE42" s="52"/>
      <c r="HAF42" s="52"/>
      <c r="HAG42" s="52"/>
      <c r="HAH42" s="52"/>
      <c r="HAI42" s="52"/>
      <c r="HAJ42" s="52"/>
      <c r="HAK42" s="52"/>
      <c r="HAL42" s="52"/>
      <c r="HAM42" s="52"/>
      <c r="HAN42" s="52"/>
      <c r="HAO42" s="52"/>
      <c r="HAP42" s="52"/>
      <c r="HAQ42" s="52"/>
      <c r="HAR42" s="52"/>
      <c r="HAS42" s="52"/>
      <c r="HAT42" s="52"/>
      <c r="HAU42" s="52"/>
      <c r="HAV42" s="52"/>
      <c r="HAW42" s="52"/>
      <c r="HAX42" s="52"/>
      <c r="HAY42" s="52"/>
      <c r="HAZ42" s="52"/>
      <c r="HBA42" s="52"/>
      <c r="HBB42" s="52"/>
      <c r="HBC42" s="52"/>
      <c r="HBD42" s="52"/>
      <c r="HBE42" s="52"/>
      <c r="HBF42" s="52"/>
      <c r="HBG42" s="52"/>
      <c r="HBH42" s="52"/>
      <c r="HBI42" s="52"/>
      <c r="HBJ42" s="52"/>
      <c r="HBK42" s="52"/>
      <c r="HBL42" s="52"/>
      <c r="HBM42" s="52"/>
      <c r="HBN42" s="52"/>
      <c r="HBO42" s="52"/>
      <c r="HBP42" s="52"/>
      <c r="HBQ42" s="52"/>
      <c r="HBR42" s="52"/>
      <c r="HBS42" s="52"/>
      <c r="HBT42" s="52"/>
      <c r="HBU42" s="52"/>
      <c r="HBV42" s="52"/>
      <c r="HBW42" s="52"/>
      <c r="HBX42" s="52"/>
      <c r="HBY42" s="52"/>
      <c r="HBZ42" s="52"/>
      <c r="HCA42" s="52"/>
      <c r="HCB42" s="52"/>
      <c r="HCC42" s="52"/>
      <c r="HCD42" s="52"/>
      <c r="HCE42" s="52"/>
      <c r="HCF42" s="52"/>
      <c r="HCG42" s="52"/>
      <c r="HCH42" s="52"/>
      <c r="HCI42" s="52"/>
      <c r="HCJ42" s="52"/>
      <c r="HCK42" s="52"/>
      <c r="HCL42" s="52"/>
      <c r="HCM42" s="52"/>
      <c r="HCN42" s="52"/>
      <c r="HCO42" s="52"/>
      <c r="HCP42" s="52"/>
      <c r="HCQ42" s="52"/>
      <c r="HCR42" s="52"/>
      <c r="HCS42" s="52"/>
      <c r="HCT42" s="52"/>
      <c r="HCU42" s="52"/>
      <c r="HCV42" s="52"/>
      <c r="HCW42" s="52"/>
      <c r="HCX42" s="52"/>
      <c r="HCY42" s="52"/>
      <c r="HCZ42" s="52"/>
      <c r="HDA42" s="52"/>
      <c r="HDB42" s="52"/>
      <c r="HDC42" s="52"/>
      <c r="HDD42" s="52"/>
      <c r="HDE42" s="52"/>
      <c r="HDF42" s="52"/>
      <c r="HDG42" s="52"/>
      <c r="HDH42" s="52"/>
      <c r="HDI42" s="52"/>
      <c r="HDJ42" s="52"/>
      <c r="HDK42" s="52"/>
      <c r="HDL42" s="52"/>
      <c r="HDM42" s="52"/>
      <c r="HDN42" s="52"/>
      <c r="HDO42" s="52"/>
      <c r="HDP42" s="52"/>
      <c r="HDQ42" s="52"/>
      <c r="HDR42" s="52"/>
      <c r="HDS42" s="52"/>
      <c r="HDT42" s="52"/>
      <c r="HDU42" s="52"/>
      <c r="HDV42" s="52"/>
      <c r="HDW42" s="52"/>
      <c r="HDX42" s="52"/>
      <c r="HDY42" s="52"/>
      <c r="HDZ42" s="52"/>
      <c r="HEA42" s="52"/>
      <c r="HEB42" s="52"/>
      <c r="HEC42" s="52"/>
      <c r="HED42" s="52"/>
      <c r="HEE42" s="52"/>
      <c r="HEF42" s="52"/>
      <c r="HEG42" s="52"/>
      <c r="HEH42" s="52"/>
      <c r="HEI42" s="52"/>
      <c r="HEJ42" s="52"/>
      <c r="HEK42" s="52"/>
      <c r="HEL42" s="52"/>
      <c r="HEM42" s="52"/>
      <c r="HEN42" s="52"/>
      <c r="HEO42" s="52"/>
      <c r="HEP42" s="52"/>
      <c r="HEQ42" s="52"/>
      <c r="HER42" s="52"/>
      <c r="HES42" s="52"/>
      <c r="HET42" s="52"/>
      <c r="HEU42" s="52"/>
      <c r="HEV42" s="52"/>
      <c r="HEW42" s="52"/>
      <c r="HEX42" s="52"/>
      <c r="HEY42" s="52"/>
      <c r="HEZ42" s="52"/>
      <c r="HFA42" s="52"/>
      <c r="HFB42" s="52"/>
      <c r="HFC42" s="52"/>
      <c r="HFD42" s="52"/>
      <c r="HFE42" s="52"/>
      <c r="HFF42" s="52"/>
      <c r="HFG42" s="52"/>
      <c r="HFH42" s="52"/>
      <c r="HFI42" s="52"/>
      <c r="HFJ42" s="52"/>
      <c r="HFK42" s="52"/>
      <c r="HFL42" s="52"/>
      <c r="HFM42" s="52"/>
      <c r="HFN42" s="52"/>
      <c r="HFO42" s="52"/>
      <c r="HFP42" s="52"/>
      <c r="HFQ42" s="52"/>
      <c r="HFR42" s="52"/>
      <c r="HFS42" s="52"/>
      <c r="HFT42" s="52"/>
      <c r="HFU42" s="52"/>
      <c r="HFV42" s="52"/>
      <c r="HFW42" s="52"/>
      <c r="HFX42" s="52"/>
      <c r="HFY42" s="52"/>
      <c r="HFZ42" s="52"/>
      <c r="HGA42" s="52"/>
      <c r="HGB42" s="52"/>
      <c r="HGC42" s="52"/>
      <c r="HGD42" s="52"/>
      <c r="HGE42" s="52"/>
      <c r="HGF42" s="52"/>
      <c r="HGG42" s="52"/>
      <c r="HGH42" s="52"/>
      <c r="HGI42" s="52"/>
      <c r="HGJ42" s="52"/>
      <c r="HGK42" s="52"/>
      <c r="HGL42" s="52"/>
      <c r="HGM42" s="52"/>
      <c r="HGN42" s="52"/>
      <c r="HGO42" s="52"/>
      <c r="HGP42" s="52"/>
      <c r="HGQ42" s="52"/>
      <c r="HGR42" s="52"/>
      <c r="HGS42" s="52"/>
      <c r="HGT42" s="52"/>
      <c r="HGU42" s="52"/>
      <c r="HGV42" s="52"/>
      <c r="HGW42" s="52"/>
      <c r="HGX42" s="52"/>
      <c r="HGY42" s="52"/>
      <c r="HGZ42" s="52"/>
      <c r="HHA42" s="52"/>
      <c r="HHB42" s="52"/>
      <c r="HHC42" s="52"/>
      <c r="HHD42" s="52"/>
      <c r="HHE42" s="52"/>
      <c r="HHF42" s="52"/>
      <c r="HHG42" s="52"/>
      <c r="HHH42" s="52"/>
      <c r="HHI42" s="52"/>
      <c r="HHJ42" s="52"/>
      <c r="HHK42" s="52"/>
      <c r="HHL42" s="52"/>
      <c r="HHM42" s="52"/>
      <c r="HHN42" s="52"/>
      <c r="HHO42" s="52"/>
      <c r="HHP42" s="52"/>
      <c r="HHQ42" s="52"/>
      <c r="HHR42" s="52"/>
      <c r="HHS42" s="52"/>
      <c r="HHT42" s="52"/>
      <c r="HHU42" s="52"/>
      <c r="HHV42" s="52"/>
      <c r="HHW42" s="52"/>
      <c r="HHX42" s="52"/>
      <c r="HHY42" s="52"/>
      <c r="HHZ42" s="52"/>
      <c r="HIA42" s="52"/>
      <c r="HIB42" s="52"/>
      <c r="HIC42" s="52"/>
      <c r="HID42" s="52"/>
      <c r="HIE42" s="52"/>
      <c r="HIF42" s="52"/>
      <c r="HIG42" s="52"/>
      <c r="HIH42" s="52"/>
      <c r="HII42" s="52"/>
      <c r="HIJ42" s="52"/>
      <c r="HIK42" s="52"/>
      <c r="HIL42" s="52"/>
      <c r="HIM42" s="52"/>
      <c r="HIN42" s="52"/>
      <c r="HIO42" s="52"/>
      <c r="HIP42" s="52"/>
      <c r="HIQ42" s="52"/>
      <c r="HIR42" s="52"/>
      <c r="HIS42" s="52"/>
      <c r="HIT42" s="52"/>
      <c r="HIU42" s="52"/>
      <c r="HIV42" s="52"/>
      <c r="HIW42" s="52"/>
      <c r="HIX42" s="52"/>
      <c r="HIY42" s="52"/>
      <c r="HIZ42" s="52"/>
      <c r="HJA42" s="52"/>
      <c r="HJB42" s="52"/>
      <c r="HJC42" s="52"/>
      <c r="HJD42" s="52"/>
      <c r="HJE42" s="52"/>
      <c r="HJF42" s="52"/>
      <c r="HJG42" s="52"/>
      <c r="HJH42" s="52"/>
      <c r="HJI42" s="52"/>
      <c r="HJJ42" s="52"/>
      <c r="HJK42" s="52"/>
      <c r="HJL42" s="52"/>
      <c r="HJM42" s="52"/>
      <c r="HJN42" s="52"/>
      <c r="HJO42" s="52"/>
      <c r="HJP42" s="52"/>
      <c r="HJQ42" s="52"/>
      <c r="HJR42" s="52"/>
      <c r="HJS42" s="52"/>
      <c r="HJT42" s="52"/>
      <c r="HJU42" s="52"/>
      <c r="HJV42" s="52"/>
      <c r="HJW42" s="52"/>
      <c r="HJX42" s="52"/>
      <c r="HJY42" s="52"/>
      <c r="HJZ42" s="52"/>
      <c r="HKA42" s="52"/>
      <c r="HKB42" s="52"/>
      <c r="HKC42" s="52"/>
      <c r="HKD42" s="52"/>
      <c r="HKE42" s="52"/>
      <c r="HKF42" s="52"/>
      <c r="HKG42" s="52"/>
      <c r="HKH42" s="52"/>
      <c r="HKI42" s="52"/>
      <c r="HKJ42" s="52"/>
      <c r="HKK42" s="52"/>
      <c r="HKL42" s="52"/>
      <c r="HKM42" s="52"/>
      <c r="HKN42" s="52"/>
      <c r="HKO42" s="52"/>
      <c r="HKP42" s="52"/>
      <c r="HKQ42" s="52"/>
      <c r="HKR42" s="52"/>
      <c r="HKS42" s="52"/>
      <c r="HKT42" s="52"/>
      <c r="HKU42" s="52"/>
      <c r="HKV42" s="52"/>
      <c r="HKW42" s="52"/>
      <c r="HKX42" s="52"/>
      <c r="HKY42" s="52"/>
      <c r="HKZ42" s="52"/>
      <c r="HLA42" s="52"/>
      <c r="HLB42" s="52"/>
      <c r="HLC42" s="52"/>
      <c r="HLD42" s="52"/>
      <c r="HLE42" s="52"/>
      <c r="HLF42" s="52"/>
      <c r="HLG42" s="52"/>
      <c r="HLH42" s="52"/>
      <c r="HLI42" s="52"/>
      <c r="HLJ42" s="52"/>
      <c r="HLK42" s="52"/>
      <c r="HLL42" s="52"/>
      <c r="HLM42" s="52"/>
      <c r="HLN42" s="52"/>
      <c r="HLO42" s="52"/>
      <c r="HLP42" s="52"/>
      <c r="HLQ42" s="52"/>
      <c r="HLR42" s="52"/>
      <c r="HLS42" s="52"/>
      <c r="HLT42" s="52"/>
      <c r="HLU42" s="52"/>
      <c r="HLV42" s="52"/>
      <c r="HLW42" s="52"/>
      <c r="HLX42" s="52"/>
      <c r="HLY42" s="52"/>
      <c r="HLZ42" s="52"/>
      <c r="HMA42" s="52"/>
      <c r="HMB42" s="52"/>
      <c r="HMC42" s="52"/>
      <c r="HMD42" s="52"/>
      <c r="HME42" s="52"/>
      <c r="HMF42" s="52"/>
      <c r="HMG42" s="52"/>
      <c r="HMH42" s="52"/>
      <c r="HMI42" s="52"/>
      <c r="HMJ42" s="52"/>
      <c r="HMK42" s="52"/>
      <c r="HML42" s="52"/>
      <c r="HMM42" s="52"/>
      <c r="HMN42" s="52"/>
      <c r="HMO42" s="52"/>
      <c r="HMP42" s="52"/>
      <c r="HMQ42" s="52"/>
      <c r="HMR42" s="52"/>
      <c r="HMS42" s="52"/>
      <c r="HMT42" s="52"/>
      <c r="HMU42" s="52"/>
      <c r="HMV42" s="52"/>
      <c r="HMW42" s="52"/>
      <c r="HMX42" s="52"/>
      <c r="HMY42" s="52"/>
      <c r="HMZ42" s="52"/>
      <c r="HNA42" s="52"/>
      <c r="HNB42" s="52"/>
      <c r="HNC42" s="52"/>
      <c r="HND42" s="52"/>
      <c r="HNE42" s="52"/>
      <c r="HNF42" s="52"/>
      <c r="HNG42" s="52"/>
      <c r="HNH42" s="52"/>
      <c r="HNI42" s="52"/>
      <c r="HNJ42" s="52"/>
      <c r="HNK42" s="52"/>
      <c r="HNL42" s="52"/>
      <c r="HNM42" s="52"/>
      <c r="HNN42" s="52"/>
      <c r="HNO42" s="52"/>
      <c r="HNP42" s="52"/>
      <c r="HNQ42" s="52"/>
      <c r="HNR42" s="52"/>
      <c r="HNS42" s="52"/>
      <c r="HNT42" s="52"/>
      <c r="HNU42" s="52"/>
      <c r="HNV42" s="52"/>
      <c r="HNW42" s="52"/>
      <c r="HNX42" s="52"/>
      <c r="HNY42" s="52"/>
      <c r="HNZ42" s="52"/>
      <c r="HOA42" s="52"/>
      <c r="HOB42" s="52"/>
      <c r="HOC42" s="52"/>
      <c r="HOD42" s="52"/>
      <c r="HOE42" s="52"/>
      <c r="HOF42" s="52"/>
      <c r="HOG42" s="52"/>
      <c r="HOH42" s="52"/>
      <c r="HOI42" s="52"/>
      <c r="HOJ42" s="52"/>
      <c r="HOK42" s="52"/>
      <c r="HOL42" s="52"/>
      <c r="HOM42" s="52"/>
      <c r="HON42" s="52"/>
      <c r="HOO42" s="52"/>
      <c r="HOP42" s="52"/>
      <c r="HOQ42" s="52"/>
      <c r="HOR42" s="52"/>
      <c r="HOS42" s="52"/>
      <c r="HOT42" s="52"/>
      <c r="HOU42" s="52"/>
      <c r="HOV42" s="52"/>
      <c r="HOW42" s="52"/>
      <c r="HOX42" s="52"/>
      <c r="HOY42" s="52"/>
      <c r="HOZ42" s="52"/>
      <c r="HPA42" s="52"/>
      <c r="HPB42" s="52"/>
      <c r="HPC42" s="52"/>
      <c r="HPD42" s="52"/>
      <c r="HPE42" s="52"/>
      <c r="HPF42" s="52"/>
      <c r="HPG42" s="52"/>
      <c r="HPH42" s="52"/>
      <c r="HPI42" s="52"/>
      <c r="HPJ42" s="52"/>
      <c r="HPK42" s="52"/>
      <c r="HPL42" s="52"/>
      <c r="HPM42" s="52"/>
      <c r="HPN42" s="52"/>
      <c r="HPO42" s="52"/>
      <c r="HPP42" s="52"/>
      <c r="HPQ42" s="52"/>
      <c r="HPR42" s="52"/>
      <c r="HPS42" s="52"/>
      <c r="HPT42" s="52"/>
      <c r="HPU42" s="52"/>
      <c r="HPV42" s="52"/>
      <c r="HPW42" s="52"/>
      <c r="HPX42" s="52"/>
      <c r="HPY42" s="52"/>
      <c r="HPZ42" s="52"/>
      <c r="HQA42" s="52"/>
      <c r="HQB42" s="52"/>
      <c r="HQC42" s="52"/>
      <c r="HQD42" s="52"/>
      <c r="HQE42" s="52"/>
      <c r="HQF42" s="52"/>
      <c r="HQG42" s="52"/>
      <c r="HQH42" s="52"/>
      <c r="HQI42" s="52"/>
      <c r="HQJ42" s="52"/>
      <c r="HQK42" s="52"/>
      <c r="HQL42" s="52"/>
      <c r="HQM42" s="52"/>
      <c r="HQN42" s="52"/>
      <c r="HQO42" s="52"/>
      <c r="HQP42" s="52"/>
      <c r="HQQ42" s="52"/>
      <c r="HQR42" s="52"/>
      <c r="HQS42" s="52"/>
      <c r="HQT42" s="52"/>
      <c r="HQU42" s="52"/>
      <c r="HQV42" s="52"/>
      <c r="HQW42" s="52"/>
      <c r="HQX42" s="52"/>
      <c r="HQY42" s="52"/>
      <c r="HQZ42" s="52"/>
      <c r="HRA42" s="52"/>
      <c r="HRB42" s="52"/>
      <c r="HRC42" s="52"/>
      <c r="HRD42" s="52"/>
      <c r="HRE42" s="52"/>
      <c r="HRF42" s="52"/>
      <c r="HRG42" s="52"/>
      <c r="HRH42" s="52"/>
      <c r="HRI42" s="52"/>
      <c r="HRJ42" s="52"/>
      <c r="HRK42" s="52"/>
      <c r="HRL42" s="52"/>
      <c r="HRM42" s="52"/>
      <c r="HRN42" s="52"/>
      <c r="HRO42" s="52"/>
      <c r="HRP42" s="52"/>
      <c r="HRQ42" s="52"/>
      <c r="HRR42" s="52"/>
      <c r="HRS42" s="52"/>
      <c r="HRT42" s="52"/>
      <c r="HRU42" s="52"/>
      <c r="HRV42" s="52"/>
      <c r="HRW42" s="52"/>
      <c r="HRX42" s="52"/>
      <c r="HRY42" s="52"/>
      <c r="HRZ42" s="52"/>
      <c r="HSA42" s="52"/>
      <c r="HSB42" s="52"/>
      <c r="HSC42" s="52"/>
      <c r="HSD42" s="52"/>
      <c r="HSE42" s="52"/>
      <c r="HSF42" s="52"/>
      <c r="HSG42" s="52"/>
      <c r="HSH42" s="52"/>
      <c r="HSI42" s="52"/>
      <c r="HSJ42" s="52"/>
      <c r="HSK42" s="52"/>
      <c r="HSL42" s="52"/>
      <c r="HSM42" s="52"/>
      <c r="HSN42" s="52"/>
      <c r="HSO42" s="52"/>
      <c r="HSP42" s="52"/>
      <c r="HSQ42" s="52"/>
      <c r="HSR42" s="52"/>
      <c r="HSS42" s="52"/>
      <c r="HST42" s="52"/>
      <c r="HSU42" s="52"/>
      <c r="HSV42" s="52"/>
      <c r="HSW42" s="52"/>
      <c r="HSX42" s="52"/>
      <c r="HSY42" s="52"/>
      <c r="HSZ42" s="52"/>
      <c r="HTA42" s="52"/>
      <c r="HTB42" s="52"/>
      <c r="HTC42" s="52"/>
      <c r="HTD42" s="52"/>
      <c r="HTE42" s="52"/>
      <c r="HTF42" s="52"/>
      <c r="HTG42" s="52"/>
      <c r="HTH42" s="52"/>
      <c r="HTI42" s="52"/>
      <c r="HTJ42" s="52"/>
      <c r="HTK42" s="52"/>
      <c r="HTL42" s="52"/>
      <c r="HTM42" s="52"/>
      <c r="HTN42" s="52"/>
      <c r="HTO42" s="52"/>
      <c r="HTP42" s="52"/>
      <c r="HTQ42" s="52"/>
      <c r="HTR42" s="52"/>
      <c r="HTS42" s="52"/>
      <c r="HTT42" s="52"/>
      <c r="HTU42" s="52"/>
      <c r="HTV42" s="52"/>
      <c r="HTW42" s="52"/>
      <c r="HTX42" s="52"/>
      <c r="HTY42" s="52"/>
      <c r="HTZ42" s="52"/>
      <c r="HUA42" s="52"/>
      <c r="HUB42" s="52"/>
      <c r="HUC42" s="52"/>
      <c r="HUD42" s="52"/>
      <c r="HUE42" s="52"/>
      <c r="HUF42" s="52"/>
      <c r="HUG42" s="52"/>
      <c r="HUH42" s="52"/>
      <c r="HUI42" s="52"/>
      <c r="HUJ42" s="52"/>
      <c r="HUK42" s="52"/>
      <c r="HUL42" s="52"/>
      <c r="HUM42" s="52"/>
      <c r="HUN42" s="52"/>
      <c r="HUO42" s="52"/>
      <c r="HUP42" s="52"/>
      <c r="HUQ42" s="52"/>
      <c r="HUR42" s="52"/>
      <c r="HUS42" s="52"/>
      <c r="HUT42" s="52"/>
      <c r="HUU42" s="52"/>
      <c r="HUV42" s="52"/>
      <c r="HUW42" s="52"/>
      <c r="HUX42" s="52"/>
      <c r="HUY42" s="52"/>
      <c r="HUZ42" s="52"/>
      <c r="HVA42" s="52"/>
      <c r="HVB42" s="52"/>
      <c r="HVC42" s="52"/>
      <c r="HVD42" s="52"/>
      <c r="HVE42" s="52"/>
      <c r="HVF42" s="52"/>
      <c r="HVG42" s="52"/>
      <c r="HVH42" s="52"/>
      <c r="HVI42" s="52"/>
      <c r="HVJ42" s="52"/>
      <c r="HVK42" s="52"/>
      <c r="HVL42" s="52"/>
      <c r="HVM42" s="52"/>
      <c r="HVN42" s="52"/>
      <c r="HVO42" s="52"/>
      <c r="HVP42" s="52"/>
      <c r="HVQ42" s="52"/>
      <c r="HVR42" s="52"/>
      <c r="HVS42" s="52"/>
      <c r="HVT42" s="52"/>
      <c r="HVU42" s="52"/>
      <c r="HVV42" s="52"/>
      <c r="HVW42" s="52"/>
      <c r="HVX42" s="52"/>
      <c r="HVY42" s="52"/>
      <c r="HVZ42" s="52"/>
      <c r="HWA42" s="52"/>
      <c r="HWB42" s="52"/>
      <c r="HWC42" s="52"/>
      <c r="HWD42" s="52"/>
      <c r="HWE42" s="52"/>
      <c r="HWF42" s="52"/>
      <c r="HWG42" s="52"/>
      <c r="HWH42" s="52"/>
      <c r="HWI42" s="52"/>
      <c r="HWJ42" s="52"/>
      <c r="HWK42" s="52"/>
      <c r="HWL42" s="52"/>
      <c r="HWM42" s="52"/>
      <c r="HWN42" s="52"/>
      <c r="HWO42" s="52"/>
      <c r="HWP42" s="52"/>
      <c r="HWQ42" s="52"/>
      <c r="HWR42" s="52"/>
      <c r="HWS42" s="52"/>
      <c r="HWT42" s="52"/>
      <c r="HWU42" s="52"/>
      <c r="HWV42" s="52"/>
      <c r="HWW42" s="52"/>
      <c r="HWX42" s="52"/>
      <c r="HWY42" s="52"/>
      <c r="HWZ42" s="52"/>
      <c r="HXA42" s="52"/>
      <c r="HXB42" s="52"/>
      <c r="HXC42" s="52"/>
      <c r="HXD42" s="52"/>
      <c r="HXE42" s="52"/>
      <c r="HXF42" s="52"/>
      <c r="HXG42" s="52"/>
      <c r="HXH42" s="52"/>
      <c r="HXI42" s="52"/>
      <c r="HXJ42" s="52"/>
      <c r="HXK42" s="52"/>
      <c r="HXL42" s="52"/>
      <c r="HXM42" s="52"/>
      <c r="HXN42" s="52"/>
      <c r="HXO42" s="52"/>
      <c r="HXP42" s="52"/>
      <c r="HXQ42" s="52"/>
      <c r="HXR42" s="52"/>
      <c r="HXS42" s="52"/>
      <c r="HXT42" s="52"/>
      <c r="HXU42" s="52"/>
      <c r="HXV42" s="52"/>
      <c r="HXW42" s="52"/>
      <c r="HXX42" s="52"/>
      <c r="HXY42" s="52"/>
      <c r="HXZ42" s="52"/>
      <c r="HYA42" s="52"/>
      <c r="HYB42" s="52"/>
      <c r="HYC42" s="52"/>
      <c r="HYD42" s="52"/>
      <c r="HYE42" s="52"/>
      <c r="HYF42" s="52"/>
      <c r="HYG42" s="52"/>
      <c r="HYH42" s="52"/>
      <c r="HYI42" s="52"/>
      <c r="HYJ42" s="52"/>
      <c r="HYK42" s="52"/>
      <c r="HYL42" s="52"/>
      <c r="HYM42" s="52"/>
      <c r="HYN42" s="52"/>
      <c r="HYO42" s="52"/>
      <c r="HYP42" s="52"/>
      <c r="HYQ42" s="52"/>
      <c r="HYR42" s="52"/>
      <c r="HYS42" s="52"/>
      <c r="HYT42" s="52"/>
      <c r="HYU42" s="52"/>
      <c r="HYV42" s="52"/>
      <c r="HYW42" s="52"/>
      <c r="HYX42" s="52"/>
      <c r="HYY42" s="52"/>
      <c r="HYZ42" s="52"/>
      <c r="HZA42" s="52"/>
      <c r="HZB42" s="52"/>
      <c r="HZC42" s="52"/>
      <c r="HZD42" s="52"/>
      <c r="HZE42" s="52"/>
      <c r="HZF42" s="52"/>
      <c r="HZG42" s="52"/>
      <c r="HZH42" s="52"/>
      <c r="HZI42" s="52"/>
      <c r="HZJ42" s="52"/>
      <c r="HZK42" s="52"/>
      <c r="HZL42" s="52"/>
      <c r="HZM42" s="52"/>
      <c r="HZN42" s="52"/>
      <c r="HZO42" s="52"/>
      <c r="HZP42" s="52"/>
      <c r="HZQ42" s="52"/>
      <c r="HZR42" s="52"/>
      <c r="HZS42" s="52"/>
      <c r="HZT42" s="52"/>
      <c r="HZU42" s="52"/>
      <c r="HZV42" s="52"/>
      <c r="HZW42" s="52"/>
      <c r="HZX42" s="52"/>
      <c r="HZY42" s="52"/>
      <c r="HZZ42" s="52"/>
      <c r="IAA42" s="52"/>
      <c r="IAB42" s="52"/>
      <c r="IAC42" s="52"/>
      <c r="IAD42" s="52"/>
      <c r="IAE42" s="52"/>
      <c r="IAF42" s="52"/>
      <c r="IAG42" s="52"/>
      <c r="IAH42" s="52"/>
      <c r="IAI42" s="52"/>
      <c r="IAJ42" s="52"/>
      <c r="IAK42" s="52"/>
      <c r="IAL42" s="52"/>
      <c r="IAM42" s="52"/>
      <c r="IAN42" s="52"/>
      <c r="IAO42" s="52"/>
      <c r="IAP42" s="52"/>
      <c r="IAQ42" s="52"/>
      <c r="IAR42" s="52"/>
      <c r="IAS42" s="52"/>
      <c r="IAT42" s="52"/>
      <c r="IAU42" s="52"/>
      <c r="IAV42" s="52"/>
      <c r="IAW42" s="52"/>
      <c r="IAX42" s="52"/>
      <c r="IAY42" s="52"/>
      <c r="IAZ42" s="52"/>
      <c r="IBA42" s="52"/>
      <c r="IBB42" s="52"/>
      <c r="IBC42" s="52"/>
      <c r="IBD42" s="52"/>
      <c r="IBE42" s="52"/>
      <c r="IBF42" s="52"/>
      <c r="IBG42" s="52"/>
      <c r="IBH42" s="52"/>
      <c r="IBI42" s="52"/>
      <c r="IBJ42" s="52"/>
      <c r="IBK42" s="52"/>
      <c r="IBL42" s="52"/>
      <c r="IBM42" s="52"/>
      <c r="IBN42" s="52"/>
      <c r="IBO42" s="52"/>
      <c r="IBP42" s="52"/>
      <c r="IBQ42" s="52"/>
      <c r="IBR42" s="52"/>
      <c r="IBS42" s="52"/>
      <c r="IBT42" s="52"/>
      <c r="IBU42" s="52"/>
      <c r="IBV42" s="52"/>
      <c r="IBW42" s="52"/>
      <c r="IBX42" s="52"/>
      <c r="IBY42" s="52"/>
      <c r="IBZ42" s="52"/>
      <c r="ICA42" s="52"/>
      <c r="ICB42" s="52"/>
      <c r="ICC42" s="52"/>
      <c r="ICD42" s="52"/>
      <c r="ICE42" s="52"/>
      <c r="ICF42" s="52"/>
      <c r="ICG42" s="52"/>
      <c r="ICH42" s="52"/>
      <c r="ICI42" s="52"/>
      <c r="ICJ42" s="52"/>
      <c r="ICK42" s="52"/>
      <c r="ICL42" s="52"/>
      <c r="ICM42" s="52"/>
      <c r="ICN42" s="52"/>
      <c r="ICO42" s="52"/>
      <c r="ICP42" s="52"/>
      <c r="ICQ42" s="52"/>
      <c r="ICR42" s="52"/>
      <c r="ICS42" s="52"/>
      <c r="ICT42" s="52"/>
      <c r="ICU42" s="52"/>
      <c r="ICV42" s="52"/>
      <c r="ICW42" s="52"/>
      <c r="ICX42" s="52"/>
      <c r="ICY42" s="52"/>
      <c r="ICZ42" s="52"/>
      <c r="IDA42" s="52"/>
      <c r="IDB42" s="52"/>
      <c r="IDC42" s="52"/>
      <c r="IDD42" s="52"/>
      <c r="IDE42" s="52"/>
      <c r="IDF42" s="52"/>
      <c r="IDG42" s="52"/>
      <c r="IDH42" s="52"/>
      <c r="IDI42" s="52"/>
      <c r="IDJ42" s="52"/>
      <c r="IDK42" s="52"/>
      <c r="IDL42" s="52"/>
      <c r="IDM42" s="52"/>
      <c r="IDN42" s="52"/>
      <c r="IDO42" s="52"/>
      <c r="IDP42" s="52"/>
      <c r="IDQ42" s="52"/>
      <c r="IDR42" s="52"/>
      <c r="IDS42" s="52"/>
      <c r="IDT42" s="52"/>
      <c r="IDU42" s="52"/>
      <c r="IDV42" s="52"/>
      <c r="IDW42" s="52"/>
      <c r="IDX42" s="52"/>
      <c r="IDY42" s="52"/>
      <c r="IDZ42" s="52"/>
      <c r="IEA42" s="52"/>
      <c r="IEB42" s="52"/>
      <c r="IEC42" s="52"/>
      <c r="IED42" s="52"/>
      <c r="IEE42" s="52"/>
      <c r="IEF42" s="52"/>
      <c r="IEG42" s="52"/>
      <c r="IEH42" s="52"/>
      <c r="IEI42" s="52"/>
      <c r="IEJ42" s="52"/>
      <c r="IEK42" s="52"/>
      <c r="IEL42" s="52"/>
      <c r="IEM42" s="52"/>
      <c r="IEN42" s="52"/>
      <c r="IEO42" s="52"/>
      <c r="IEP42" s="52"/>
      <c r="IEQ42" s="52"/>
      <c r="IER42" s="52"/>
      <c r="IES42" s="52"/>
      <c r="IET42" s="52"/>
      <c r="IEU42" s="52"/>
      <c r="IEV42" s="52"/>
      <c r="IEW42" s="52"/>
      <c r="IEX42" s="52"/>
      <c r="IEY42" s="52"/>
      <c r="IEZ42" s="52"/>
      <c r="IFA42" s="52"/>
      <c r="IFB42" s="52"/>
      <c r="IFC42" s="52"/>
      <c r="IFD42" s="52"/>
      <c r="IFE42" s="52"/>
      <c r="IFF42" s="52"/>
      <c r="IFG42" s="52"/>
      <c r="IFH42" s="52"/>
      <c r="IFI42" s="52"/>
      <c r="IFJ42" s="52"/>
      <c r="IFK42" s="52"/>
      <c r="IFL42" s="52"/>
      <c r="IFM42" s="52"/>
      <c r="IFN42" s="52"/>
      <c r="IFO42" s="52"/>
      <c r="IFP42" s="52"/>
      <c r="IFQ42" s="52"/>
      <c r="IFR42" s="52"/>
      <c r="IFS42" s="52"/>
      <c r="IFT42" s="52"/>
      <c r="IFU42" s="52"/>
      <c r="IFV42" s="52"/>
      <c r="IFW42" s="52"/>
      <c r="IFX42" s="52"/>
      <c r="IFY42" s="52"/>
      <c r="IFZ42" s="52"/>
      <c r="IGA42" s="52"/>
      <c r="IGB42" s="52"/>
      <c r="IGC42" s="52"/>
      <c r="IGD42" s="52"/>
      <c r="IGE42" s="52"/>
      <c r="IGF42" s="52"/>
      <c r="IGG42" s="52"/>
      <c r="IGH42" s="52"/>
      <c r="IGI42" s="52"/>
      <c r="IGJ42" s="52"/>
      <c r="IGK42" s="52"/>
      <c r="IGL42" s="52"/>
      <c r="IGM42" s="52"/>
      <c r="IGN42" s="52"/>
      <c r="IGO42" s="52"/>
      <c r="IGP42" s="52"/>
      <c r="IGQ42" s="52"/>
      <c r="IGR42" s="52"/>
      <c r="IGS42" s="52"/>
      <c r="IGT42" s="52"/>
      <c r="IGU42" s="52"/>
      <c r="IGV42" s="52"/>
      <c r="IGW42" s="52"/>
      <c r="IGX42" s="52"/>
      <c r="IGY42" s="52"/>
      <c r="IGZ42" s="52"/>
      <c r="IHA42" s="52"/>
      <c r="IHB42" s="52"/>
      <c r="IHC42" s="52"/>
      <c r="IHD42" s="52"/>
      <c r="IHE42" s="52"/>
      <c r="IHF42" s="52"/>
      <c r="IHG42" s="52"/>
      <c r="IHH42" s="52"/>
      <c r="IHI42" s="52"/>
      <c r="IHJ42" s="52"/>
      <c r="IHK42" s="52"/>
      <c r="IHL42" s="52"/>
      <c r="IHM42" s="52"/>
      <c r="IHN42" s="52"/>
      <c r="IHO42" s="52"/>
      <c r="IHP42" s="52"/>
      <c r="IHQ42" s="52"/>
      <c r="IHR42" s="52"/>
      <c r="IHS42" s="52"/>
      <c r="IHT42" s="52"/>
      <c r="IHU42" s="52"/>
      <c r="IHV42" s="52"/>
      <c r="IHW42" s="52"/>
      <c r="IHX42" s="52"/>
      <c r="IHY42" s="52"/>
      <c r="IHZ42" s="52"/>
      <c r="IIA42" s="52"/>
      <c r="IIB42" s="52"/>
      <c r="IIC42" s="52"/>
      <c r="IID42" s="52"/>
      <c r="IIE42" s="52"/>
      <c r="IIF42" s="52"/>
      <c r="IIG42" s="52"/>
      <c r="IIH42" s="52"/>
      <c r="III42" s="52"/>
      <c r="IIJ42" s="52"/>
      <c r="IIK42" s="52"/>
      <c r="IIL42" s="52"/>
      <c r="IIM42" s="52"/>
      <c r="IIN42" s="52"/>
      <c r="IIO42" s="52"/>
      <c r="IIP42" s="52"/>
      <c r="IIQ42" s="52"/>
      <c r="IIR42" s="52"/>
      <c r="IIS42" s="52"/>
      <c r="IIT42" s="52"/>
      <c r="IIU42" s="52"/>
      <c r="IIV42" s="52"/>
      <c r="IIW42" s="52"/>
      <c r="IIX42" s="52"/>
      <c r="IIY42" s="52"/>
      <c r="IIZ42" s="52"/>
      <c r="IJA42" s="52"/>
      <c r="IJB42" s="52"/>
      <c r="IJC42" s="52"/>
      <c r="IJD42" s="52"/>
      <c r="IJE42" s="52"/>
      <c r="IJF42" s="52"/>
      <c r="IJG42" s="52"/>
      <c r="IJH42" s="52"/>
      <c r="IJI42" s="52"/>
      <c r="IJJ42" s="52"/>
      <c r="IJK42" s="52"/>
      <c r="IJL42" s="52"/>
      <c r="IJM42" s="52"/>
      <c r="IJN42" s="52"/>
      <c r="IJO42" s="52"/>
      <c r="IJP42" s="52"/>
      <c r="IJQ42" s="52"/>
      <c r="IJR42" s="52"/>
      <c r="IJS42" s="52"/>
      <c r="IJT42" s="52"/>
      <c r="IJU42" s="52"/>
      <c r="IJV42" s="52"/>
      <c r="IJW42" s="52"/>
      <c r="IJX42" s="52"/>
      <c r="IJY42" s="52"/>
      <c r="IJZ42" s="52"/>
      <c r="IKA42" s="52"/>
      <c r="IKB42" s="52"/>
      <c r="IKC42" s="52"/>
      <c r="IKD42" s="52"/>
      <c r="IKE42" s="52"/>
      <c r="IKF42" s="52"/>
      <c r="IKG42" s="52"/>
      <c r="IKH42" s="52"/>
      <c r="IKI42" s="52"/>
      <c r="IKJ42" s="52"/>
      <c r="IKK42" s="52"/>
      <c r="IKL42" s="52"/>
      <c r="IKM42" s="52"/>
      <c r="IKN42" s="52"/>
      <c r="IKO42" s="52"/>
      <c r="IKP42" s="52"/>
      <c r="IKQ42" s="52"/>
      <c r="IKR42" s="52"/>
      <c r="IKS42" s="52"/>
      <c r="IKT42" s="52"/>
      <c r="IKU42" s="52"/>
      <c r="IKV42" s="52"/>
      <c r="IKW42" s="52"/>
      <c r="IKX42" s="52"/>
      <c r="IKY42" s="52"/>
      <c r="IKZ42" s="52"/>
      <c r="ILA42" s="52"/>
      <c r="ILB42" s="52"/>
      <c r="ILC42" s="52"/>
      <c r="ILD42" s="52"/>
      <c r="ILE42" s="52"/>
      <c r="ILF42" s="52"/>
      <c r="ILG42" s="52"/>
      <c r="ILH42" s="52"/>
      <c r="ILI42" s="52"/>
      <c r="ILJ42" s="52"/>
      <c r="ILK42" s="52"/>
      <c r="ILL42" s="52"/>
      <c r="ILM42" s="52"/>
      <c r="ILN42" s="52"/>
      <c r="ILO42" s="52"/>
      <c r="ILP42" s="52"/>
      <c r="ILQ42" s="52"/>
      <c r="ILR42" s="52"/>
      <c r="ILS42" s="52"/>
      <c r="ILT42" s="52"/>
      <c r="ILU42" s="52"/>
      <c r="ILV42" s="52"/>
      <c r="ILW42" s="52"/>
      <c r="ILX42" s="52"/>
      <c r="ILY42" s="52"/>
      <c r="ILZ42" s="52"/>
      <c r="IMA42" s="52"/>
      <c r="IMB42" s="52"/>
      <c r="IMC42" s="52"/>
      <c r="IMD42" s="52"/>
      <c r="IME42" s="52"/>
      <c r="IMF42" s="52"/>
      <c r="IMG42" s="52"/>
      <c r="IMH42" s="52"/>
      <c r="IMI42" s="52"/>
      <c r="IMJ42" s="52"/>
      <c r="IMK42" s="52"/>
      <c r="IML42" s="52"/>
      <c r="IMM42" s="52"/>
      <c r="IMN42" s="52"/>
      <c r="IMO42" s="52"/>
      <c r="IMP42" s="52"/>
      <c r="IMQ42" s="52"/>
      <c r="IMR42" s="52"/>
      <c r="IMS42" s="52"/>
      <c r="IMT42" s="52"/>
      <c r="IMU42" s="52"/>
      <c r="IMV42" s="52"/>
      <c r="IMW42" s="52"/>
      <c r="IMX42" s="52"/>
      <c r="IMY42" s="52"/>
      <c r="IMZ42" s="52"/>
      <c r="INA42" s="52"/>
      <c r="INB42" s="52"/>
      <c r="INC42" s="52"/>
      <c r="IND42" s="52"/>
      <c r="INE42" s="52"/>
      <c r="INF42" s="52"/>
      <c r="ING42" s="52"/>
      <c r="INH42" s="52"/>
      <c r="INI42" s="52"/>
      <c r="INJ42" s="52"/>
      <c r="INK42" s="52"/>
      <c r="INL42" s="52"/>
      <c r="INM42" s="52"/>
      <c r="INN42" s="52"/>
      <c r="INO42" s="52"/>
      <c r="INP42" s="52"/>
      <c r="INQ42" s="52"/>
      <c r="INR42" s="52"/>
      <c r="INS42" s="52"/>
      <c r="INT42" s="52"/>
      <c r="INU42" s="52"/>
      <c r="INV42" s="52"/>
      <c r="INW42" s="52"/>
      <c r="INX42" s="52"/>
      <c r="INY42" s="52"/>
      <c r="INZ42" s="52"/>
      <c r="IOA42" s="52"/>
      <c r="IOB42" s="52"/>
      <c r="IOC42" s="52"/>
      <c r="IOD42" s="52"/>
      <c r="IOE42" s="52"/>
      <c r="IOF42" s="52"/>
      <c r="IOG42" s="52"/>
      <c r="IOH42" s="52"/>
      <c r="IOI42" s="52"/>
      <c r="IOJ42" s="52"/>
      <c r="IOK42" s="52"/>
      <c r="IOL42" s="52"/>
      <c r="IOM42" s="52"/>
      <c r="ION42" s="52"/>
      <c r="IOO42" s="52"/>
      <c r="IOP42" s="52"/>
      <c r="IOQ42" s="52"/>
      <c r="IOR42" s="52"/>
      <c r="IOS42" s="52"/>
      <c r="IOT42" s="52"/>
      <c r="IOU42" s="52"/>
      <c r="IOV42" s="52"/>
      <c r="IOW42" s="52"/>
      <c r="IOX42" s="52"/>
      <c r="IOY42" s="52"/>
      <c r="IOZ42" s="52"/>
      <c r="IPA42" s="52"/>
      <c r="IPB42" s="52"/>
      <c r="IPC42" s="52"/>
      <c r="IPD42" s="52"/>
      <c r="IPE42" s="52"/>
      <c r="IPF42" s="52"/>
      <c r="IPG42" s="52"/>
      <c r="IPH42" s="52"/>
      <c r="IPI42" s="52"/>
      <c r="IPJ42" s="52"/>
      <c r="IPK42" s="52"/>
      <c r="IPL42" s="52"/>
      <c r="IPM42" s="52"/>
      <c r="IPN42" s="52"/>
      <c r="IPO42" s="52"/>
      <c r="IPP42" s="52"/>
      <c r="IPQ42" s="52"/>
      <c r="IPR42" s="52"/>
      <c r="IPS42" s="52"/>
      <c r="IPT42" s="52"/>
      <c r="IPU42" s="52"/>
      <c r="IPV42" s="52"/>
      <c r="IPW42" s="52"/>
      <c r="IPX42" s="52"/>
      <c r="IPY42" s="52"/>
      <c r="IPZ42" s="52"/>
      <c r="IQA42" s="52"/>
      <c r="IQB42" s="52"/>
      <c r="IQC42" s="52"/>
      <c r="IQD42" s="52"/>
      <c r="IQE42" s="52"/>
      <c r="IQF42" s="52"/>
      <c r="IQG42" s="52"/>
      <c r="IQH42" s="52"/>
      <c r="IQI42" s="52"/>
      <c r="IQJ42" s="52"/>
      <c r="IQK42" s="52"/>
      <c r="IQL42" s="52"/>
      <c r="IQM42" s="52"/>
      <c r="IQN42" s="52"/>
      <c r="IQO42" s="52"/>
      <c r="IQP42" s="52"/>
      <c r="IQQ42" s="52"/>
      <c r="IQR42" s="52"/>
      <c r="IQS42" s="52"/>
      <c r="IQT42" s="52"/>
      <c r="IQU42" s="52"/>
      <c r="IQV42" s="52"/>
      <c r="IQW42" s="52"/>
      <c r="IQX42" s="52"/>
      <c r="IQY42" s="52"/>
      <c r="IQZ42" s="52"/>
      <c r="IRA42" s="52"/>
      <c r="IRB42" s="52"/>
      <c r="IRC42" s="52"/>
      <c r="IRD42" s="52"/>
      <c r="IRE42" s="52"/>
      <c r="IRF42" s="52"/>
      <c r="IRG42" s="52"/>
      <c r="IRH42" s="52"/>
      <c r="IRI42" s="52"/>
      <c r="IRJ42" s="52"/>
      <c r="IRK42" s="52"/>
      <c r="IRL42" s="52"/>
      <c r="IRM42" s="52"/>
      <c r="IRN42" s="52"/>
      <c r="IRO42" s="52"/>
      <c r="IRP42" s="52"/>
      <c r="IRQ42" s="52"/>
      <c r="IRR42" s="52"/>
      <c r="IRS42" s="52"/>
      <c r="IRT42" s="52"/>
      <c r="IRU42" s="52"/>
      <c r="IRV42" s="52"/>
      <c r="IRW42" s="52"/>
      <c r="IRX42" s="52"/>
      <c r="IRY42" s="52"/>
      <c r="IRZ42" s="52"/>
      <c r="ISA42" s="52"/>
      <c r="ISB42" s="52"/>
      <c r="ISC42" s="52"/>
      <c r="ISD42" s="52"/>
      <c r="ISE42" s="52"/>
      <c r="ISF42" s="52"/>
      <c r="ISG42" s="52"/>
      <c r="ISH42" s="52"/>
      <c r="ISI42" s="52"/>
      <c r="ISJ42" s="52"/>
      <c r="ISK42" s="52"/>
      <c r="ISL42" s="52"/>
      <c r="ISM42" s="52"/>
      <c r="ISN42" s="52"/>
      <c r="ISO42" s="52"/>
      <c r="ISP42" s="52"/>
      <c r="ISQ42" s="52"/>
      <c r="ISR42" s="52"/>
      <c r="ISS42" s="52"/>
      <c r="IST42" s="52"/>
      <c r="ISU42" s="52"/>
      <c r="ISV42" s="52"/>
      <c r="ISW42" s="52"/>
      <c r="ISX42" s="52"/>
      <c r="ISY42" s="52"/>
      <c r="ISZ42" s="52"/>
      <c r="ITA42" s="52"/>
      <c r="ITB42" s="52"/>
      <c r="ITC42" s="52"/>
      <c r="ITD42" s="52"/>
      <c r="ITE42" s="52"/>
      <c r="ITF42" s="52"/>
      <c r="ITG42" s="52"/>
      <c r="ITH42" s="52"/>
      <c r="ITI42" s="52"/>
      <c r="ITJ42" s="52"/>
      <c r="ITK42" s="52"/>
      <c r="ITL42" s="52"/>
      <c r="ITM42" s="52"/>
      <c r="ITN42" s="52"/>
      <c r="ITO42" s="52"/>
      <c r="ITP42" s="52"/>
      <c r="ITQ42" s="52"/>
      <c r="ITR42" s="52"/>
      <c r="ITS42" s="52"/>
      <c r="ITT42" s="52"/>
      <c r="ITU42" s="52"/>
      <c r="ITV42" s="52"/>
      <c r="ITW42" s="52"/>
      <c r="ITX42" s="52"/>
      <c r="ITY42" s="52"/>
      <c r="ITZ42" s="52"/>
      <c r="IUA42" s="52"/>
      <c r="IUB42" s="52"/>
      <c r="IUC42" s="52"/>
      <c r="IUD42" s="52"/>
      <c r="IUE42" s="52"/>
      <c r="IUF42" s="52"/>
      <c r="IUG42" s="52"/>
      <c r="IUH42" s="52"/>
      <c r="IUI42" s="52"/>
      <c r="IUJ42" s="52"/>
      <c r="IUK42" s="52"/>
      <c r="IUL42" s="52"/>
      <c r="IUM42" s="52"/>
      <c r="IUN42" s="52"/>
      <c r="IUO42" s="52"/>
      <c r="IUP42" s="52"/>
      <c r="IUQ42" s="52"/>
      <c r="IUR42" s="52"/>
      <c r="IUS42" s="52"/>
      <c r="IUT42" s="52"/>
      <c r="IUU42" s="52"/>
      <c r="IUV42" s="52"/>
      <c r="IUW42" s="52"/>
      <c r="IUX42" s="52"/>
      <c r="IUY42" s="52"/>
      <c r="IUZ42" s="52"/>
      <c r="IVA42" s="52"/>
      <c r="IVB42" s="52"/>
      <c r="IVC42" s="52"/>
      <c r="IVD42" s="52"/>
      <c r="IVE42" s="52"/>
      <c r="IVF42" s="52"/>
      <c r="IVG42" s="52"/>
      <c r="IVH42" s="52"/>
      <c r="IVI42" s="52"/>
      <c r="IVJ42" s="52"/>
      <c r="IVK42" s="52"/>
      <c r="IVL42" s="52"/>
      <c r="IVM42" s="52"/>
      <c r="IVN42" s="52"/>
      <c r="IVO42" s="52"/>
      <c r="IVP42" s="52"/>
      <c r="IVQ42" s="52"/>
      <c r="IVR42" s="52"/>
      <c r="IVS42" s="52"/>
      <c r="IVT42" s="52"/>
      <c r="IVU42" s="52"/>
      <c r="IVV42" s="52"/>
      <c r="IVW42" s="52"/>
      <c r="IVX42" s="52"/>
      <c r="IVY42" s="52"/>
      <c r="IVZ42" s="52"/>
      <c r="IWA42" s="52"/>
      <c r="IWB42" s="52"/>
      <c r="IWC42" s="52"/>
      <c r="IWD42" s="52"/>
      <c r="IWE42" s="52"/>
      <c r="IWF42" s="52"/>
      <c r="IWG42" s="52"/>
      <c r="IWH42" s="52"/>
      <c r="IWI42" s="52"/>
      <c r="IWJ42" s="52"/>
      <c r="IWK42" s="52"/>
      <c r="IWL42" s="52"/>
      <c r="IWM42" s="52"/>
      <c r="IWN42" s="52"/>
      <c r="IWO42" s="52"/>
      <c r="IWP42" s="52"/>
      <c r="IWQ42" s="52"/>
      <c r="IWR42" s="52"/>
      <c r="IWS42" s="52"/>
      <c r="IWT42" s="52"/>
      <c r="IWU42" s="52"/>
      <c r="IWV42" s="52"/>
      <c r="IWW42" s="52"/>
      <c r="IWX42" s="52"/>
      <c r="IWY42" s="52"/>
      <c r="IWZ42" s="52"/>
      <c r="IXA42" s="52"/>
      <c r="IXB42" s="52"/>
      <c r="IXC42" s="52"/>
      <c r="IXD42" s="52"/>
      <c r="IXE42" s="52"/>
      <c r="IXF42" s="52"/>
      <c r="IXG42" s="52"/>
      <c r="IXH42" s="52"/>
      <c r="IXI42" s="52"/>
      <c r="IXJ42" s="52"/>
      <c r="IXK42" s="52"/>
      <c r="IXL42" s="52"/>
      <c r="IXM42" s="52"/>
      <c r="IXN42" s="52"/>
      <c r="IXO42" s="52"/>
      <c r="IXP42" s="52"/>
      <c r="IXQ42" s="52"/>
      <c r="IXR42" s="52"/>
      <c r="IXS42" s="52"/>
      <c r="IXT42" s="52"/>
      <c r="IXU42" s="52"/>
      <c r="IXV42" s="52"/>
      <c r="IXW42" s="52"/>
      <c r="IXX42" s="52"/>
      <c r="IXY42" s="52"/>
      <c r="IXZ42" s="52"/>
      <c r="IYA42" s="52"/>
      <c r="IYB42" s="52"/>
      <c r="IYC42" s="52"/>
      <c r="IYD42" s="52"/>
      <c r="IYE42" s="52"/>
      <c r="IYF42" s="52"/>
      <c r="IYG42" s="52"/>
      <c r="IYH42" s="52"/>
      <c r="IYI42" s="52"/>
      <c r="IYJ42" s="52"/>
      <c r="IYK42" s="52"/>
      <c r="IYL42" s="52"/>
      <c r="IYM42" s="52"/>
      <c r="IYN42" s="52"/>
      <c r="IYO42" s="52"/>
      <c r="IYP42" s="52"/>
      <c r="IYQ42" s="52"/>
      <c r="IYR42" s="52"/>
      <c r="IYS42" s="52"/>
      <c r="IYT42" s="52"/>
      <c r="IYU42" s="52"/>
      <c r="IYV42" s="52"/>
      <c r="IYW42" s="52"/>
      <c r="IYX42" s="52"/>
      <c r="IYY42" s="52"/>
      <c r="IYZ42" s="52"/>
      <c r="IZA42" s="52"/>
      <c r="IZB42" s="52"/>
      <c r="IZC42" s="52"/>
      <c r="IZD42" s="52"/>
      <c r="IZE42" s="52"/>
      <c r="IZF42" s="52"/>
      <c r="IZG42" s="52"/>
      <c r="IZH42" s="52"/>
      <c r="IZI42" s="52"/>
      <c r="IZJ42" s="52"/>
      <c r="IZK42" s="52"/>
      <c r="IZL42" s="52"/>
      <c r="IZM42" s="52"/>
      <c r="IZN42" s="52"/>
      <c r="IZO42" s="52"/>
      <c r="IZP42" s="52"/>
      <c r="IZQ42" s="52"/>
      <c r="IZR42" s="52"/>
      <c r="IZS42" s="52"/>
      <c r="IZT42" s="52"/>
      <c r="IZU42" s="52"/>
      <c r="IZV42" s="52"/>
      <c r="IZW42" s="52"/>
      <c r="IZX42" s="52"/>
      <c r="IZY42" s="52"/>
      <c r="IZZ42" s="52"/>
      <c r="JAA42" s="52"/>
      <c r="JAB42" s="52"/>
      <c r="JAC42" s="52"/>
      <c r="JAD42" s="52"/>
      <c r="JAE42" s="52"/>
      <c r="JAF42" s="52"/>
      <c r="JAG42" s="52"/>
      <c r="JAH42" s="52"/>
      <c r="JAI42" s="52"/>
      <c r="JAJ42" s="52"/>
      <c r="JAK42" s="52"/>
      <c r="JAL42" s="52"/>
      <c r="JAM42" s="52"/>
      <c r="JAN42" s="52"/>
      <c r="JAO42" s="52"/>
      <c r="JAP42" s="52"/>
      <c r="JAQ42" s="52"/>
      <c r="JAR42" s="52"/>
      <c r="JAS42" s="52"/>
      <c r="JAT42" s="52"/>
      <c r="JAU42" s="52"/>
      <c r="JAV42" s="52"/>
      <c r="JAW42" s="52"/>
      <c r="JAX42" s="52"/>
      <c r="JAY42" s="52"/>
      <c r="JAZ42" s="52"/>
      <c r="JBA42" s="52"/>
      <c r="JBB42" s="52"/>
      <c r="JBC42" s="52"/>
      <c r="JBD42" s="52"/>
      <c r="JBE42" s="52"/>
      <c r="JBF42" s="52"/>
      <c r="JBG42" s="52"/>
      <c r="JBH42" s="52"/>
      <c r="JBI42" s="52"/>
      <c r="JBJ42" s="52"/>
      <c r="JBK42" s="52"/>
      <c r="JBL42" s="52"/>
      <c r="JBM42" s="52"/>
      <c r="JBN42" s="52"/>
      <c r="JBO42" s="52"/>
      <c r="JBP42" s="52"/>
      <c r="JBQ42" s="52"/>
      <c r="JBR42" s="52"/>
      <c r="JBS42" s="52"/>
      <c r="JBT42" s="52"/>
      <c r="JBU42" s="52"/>
      <c r="JBV42" s="52"/>
      <c r="JBW42" s="52"/>
      <c r="JBX42" s="52"/>
      <c r="JBY42" s="52"/>
      <c r="JBZ42" s="52"/>
      <c r="JCA42" s="52"/>
      <c r="JCB42" s="52"/>
      <c r="JCC42" s="52"/>
      <c r="JCD42" s="52"/>
      <c r="JCE42" s="52"/>
      <c r="JCF42" s="52"/>
      <c r="JCG42" s="52"/>
      <c r="JCH42" s="52"/>
      <c r="JCI42" s="52"/>
      <c r="JCJ42" s="52"/>
      <c r="JCK42" s="52"/>
      <c r="JCL42" s="52"/>
      <c r="JCM42" s="52"/>
      <c r="JCN42" s="52"/>
      <c r="JCO42" s="52"/>
      <c r="JCP42" s="52"/>
      <c r="JCQ42" s="52"/>
      <c r="JCR42" s="52"/>
      <c r="JCS42" s="52"/>
      <c r="JCT42" s="52"/>
      <c r="JCU42" s="52"/>
      <c r="JCV42" s="52"/>
      <c r="JCW42" s="52"/>
      <c r="JCX42" s="52"/>
      <c r="JCY42" s="52"/>
      <c r="JCZ42" s="52"/>
      <c r="JDA42" s="52"/>
      <c r="JDB42" s="52"/>
      <c r="JDC42" s="52"/>
      <c r="JDD42" s="52"/>
      <c r="JDE42" s="52"/>
      <c r="JDF42" s="52"/>
      <c r="JDG42" s="52"/>
      <c r="JDH42" s="52"/>
      <c r="JDI42" s="52"/>
      <c r="JDJ42" s="52"/>
      <c r="JDK42" s="52"/>
      <c r="JDL42" s="52"/>
      <c r="JDM42" s="52"/>
      <c r="JDN42" s="52"/>
      <c r="JDO42" s="52"/>
      <c r="JDP42" s="52"/>
      <c r="JDQ42" s="52"/>
      <c r="JDR42" s="52"/>
      <c r="JDS42" s="52"/>
      <c r="JDT42" s="52"/>
      <c r="JDU42" s="52"/>
      <c r="JDV42" s="52"/>
      <c r="JDW42" s="52"/>
      <c r="JDX42" s="52"/>
      <c r="JDY42" s="52"/>
      <c r="JDZ42" s="52"/>
      <c r="JEA42" s="52"/>
      <c r="JEB42" s="52"/>
      <c r="JEC42" s="52"/>
      <c r="JED42" s="52"/>
      <c r="JEE42" s="52"/>
      <c r="JEF42" s="52"/>
      <c r="JEG42" s="52"/>
      <c r="JEH42" s="52"/>
      <c r="JEI42" s="52"/>
      <c r="JEJ42" s="52"/>
      <c r="JEK42" s="52"/>
      <c r="JEL42" s="52"/>
      <c r="JEM42" s="52"/>
      <c r="JEN42" s="52"/>
      <c r="JEO42" s="52"/>
      <c r="JEP42" s="52"/>
      <c r="JEQ42" s="52"/>
      <c r="JER42" s="52"/>
      <c r="JES42" s="52"/>
      <c r="JET42" s="52"/>
      <c r="JEU42" s="52"/>
      <c r="JEV42" s="52"/>
      <c r="JEW42" s="52"/>
      <c r="JEX42" s="52"/>
      <c r="JEY42" s="52"/>
      <c r="JEZ42" s="52"/>
      <c r="JFA42" s="52"/>
      <c r="JFB42" s="52"/>
      <c r="JFC42" s="52"/>
      <c r="JFD42" s="52"/>
      <c r="JFE42" s="52"/>
      <c r="JFF42" s="52"/>
      <c r="JFG42" s="52"/>
      <c r="JFH42" s="52"/>
      <c r="JFI42" s="52"/>
      <c r="JFJ42" s="52"/>
      <c r="JFK42" s="52"/>
      <c r="JFL42" s="52"/>
      <c r="JFM42" s="52"/>
      <c r="JFN42" s="52"/>
      <c r="JFO42" s="52"/>
      <c r="JFP42" s="52"/>
      <c r="JFQ42" s="52"/>
      <c r="JFR42" s="52"/>
      <c r="JFS42" s="52"/>
      <c r="JFT42" s="52"/>
      <c r="JFU42" s="52"/>
      <c r="JFV42" s="52"/>
      <c r="JFW42" s="52"/>
      <c r="JFX42" s="52"/>
      <c r="JFY42" s="52"/>
      <c r="JFZ42" s="52"/>
      <c r="JGA42" s="52"/>
      <c r="JGB42" s="52"/>
      <c r="JGC42" s="52"/>
      <c r="JGD42" s="52"/>
      <c r="JGE42" s="52"/>
      <c r="JGF42" s="52"/>
      <c r="JGG42" s="52"/>
      <c r="JGH42" s="52"/>
      <c r="JGI42" s="52"/>
      <c r="JGJ42" s="52"/>
      <c r="JGK42" s="52"/>
      <c r="JGL42" s="52"/>
      <c r="JGM42" s="52"/>
      <c r="JGN42" s="52"/>
      <c r="JGO42" s="52"/>
      <c r="JGP42" s="52"/>
      <c r="JGQ42" s="52"/>
      <c r="JGR42" s="52"/>
      <c r="JGS42" s="52"/>
      <c r="JGT42" s="52"/>
      <c r="JGU42" s="52"/>
      <c r="JGV42" s="52"/>
      <c r="JGW42" s="52"/>
      <c r="JGX42" s="52"/>
      <c r="JGY42" s="52"/>
      <c r="JGZ42" s="52"/>
      <c r="JHA42" s="52"/>
      <c r="JHB42" s="52"/>
      <c r="JHC42" s="52"/>
      <c r="JHD42" s="52"/>
      <c r="JHE42" s="52"/>
      <c r="JHF42" s="52"/>
      <c r="JHG42" s="52"/>
      <c r="JHH42" s="52"/>
      <c r="JHI42" s="52"/>
      <c r="JHJ42" s="52"/>
      <c r="JHK42" s="52"/>
      <c r="JHL42" s="52"/>
      <c r="JHM42" s="52"/>
      <c r="JHN42" s="52"/>
      <c r="JHO42" s="52"/>
      <c r="JHP42" s="52"/>
      <c r="JHQ42" s="52"/>
      <c r="JHR42" s="52"/>
      <c r="JHS42" s="52"/>
      <c r="JHT42" s="52"/>
      <c r="JHU42" s="52"/>
      <c r="JHV42" s="52"/>
      <c r="JHW42" s="52"/>
      <c r="JHX42" s="52"/>
      <c r="JHY42" s="52"/>
      <c r="JHZ42" s="52"/>
      <c r="JIA42" s="52"/>
      <c r="JIB42" s="52"/>
      <c r="JIC42" s="52"/>
      <c r="JID42" s="52"/>
      <c r="JIE42" s="52"/>
      <c r="JIF42" s="52"/>
      <c r="JIG42" s="52"/>
      <c r="JIH42" s="52"/>
      <c r="JII42" s="52"/>
      <c r="JIJ42" s="52"/>
      <c r="JIK42" s="52"/>
      <c r="JIL42" s="52"/>
      <c r="JIM42" s="52"/>
      <c r="JIN42" s="52"/>
      <c r="JIO42" s="52"/>
      <c r="JIP42" s="52"/>
      <c r="JIQ42" s="52"/>
      <c r="JIR42" s="52"/>
      <c r="JIS42" s="52"/>
      <c r="JIT42" s="52"/>
      <c r="JIU42" s="52"/>
      <c r="JIV42" s="52"/>
      <c r="JIW42" s="52"/>
      <c r="JIX42" s="52"/>
      <c r="JIY42" s="52"/>
      <c r="JIZ42" s="52"/>
      <c r="JJA42" s="52"/>
      <c r="JJB42" s="52"/>
      <c r="JJC42" s="52"/>
      <c r="JJD42" s="52"/>
      <c r="JJE42" s="52"/>
      <c r="JJF42" s="52"/>
      <c r="JJG42" s="52"/>
      <c r="JJH42" s="52"/>
      <c r="JJI42" s="52"/>
      <c r="JJJ42" s="52"/>
      <c r="JJK42" s="52"/>
      <c r="JJL42" s="52"/>
      <c r="JJM42" s="52"/>
      <c r="JJN42" s="52"/>
      <c r="JJO42" s="52"/>
      <c r="JJP42" s="52"/>
      <c r="JJQ42" s="52"/>
      <c r="JJR42" s="52"/>
      <c r="JJS42" s="52"/>
      <c r="JJT42" s="52"/>
      <c r="JJU42" s="52"/>
      <c r="JJV42" s="52"/>
      <c r="JJW42" s="52"/>
      <c r="JJX42" s="52"/>
      <c r="JJY42" s="52"/>
      <c r="JJZ42" s="52"/>
      <c r="JKA42" s="52"/>
      <c r="JKB42" s="52"/>
      <c r="JKC42" s="52"/>
      <c r="JKD42" s="52"/>
      <c r="JKE42" s="52"/>
      <c r="JKF42" s="52"/>
      <c r="JKG42" s="52"/>
      <c r="JKH42" s="52"/>
      <c r="JKI42" s="52"/>
      <c r="JKJ42" s="52"/>
      <c r="JKK42" s="52"/>
      <c r="JKL42" s="52"/>
      <c r="JKM42" s="52"/>
      <c r="JKN42" s="52"/>
      <c r="JKO42" s="52"/>
      <c r="JKP42" s="52"/>
      <c r="JKQ42" s="52"/>
      <c r="JKR42" s="52"/>
      <c r="JKS42" s="52"/>
      <c r="JKT42" s="52"/>
      <c r="JKU42" s="52"/>
      <c r="JKV42" s="52"/>
      <c r="JKW42" s="52"/>
      <c r="JKX42" s="52"/>
      <c r="JKY42" s="52"/>
      <c r="JKZ42" s="52"/>
      <c r="JLA42" s="52"/>
      <c r="JLB42" s="52"/>
      <c r="JLC42" s="52"/>
      <c r="JLD42" s="52"/>
      <c r="JLE42" s="52"/>
      <c r="JLF42" s="52"/>
      <c r="JLG42" s="52"/>
      <c r="JLH42" s="52"/>
      <c r="JLI42" s="52"/>
      <c r="JLJ42" s="52"/>
      <c r="JLK42" s="52"/>
      <c r="JLL42" s="52"/>
      <c r="JLM42" s="52"/>
      <c r="JLN42" s="52"/>
      <c r="JLO42" s="52"/>
      <c r="JLP42" s="52"/>
      <c r="JLQ42" s="52"/>
      <c r="JLR42" s="52"/>
      <c r="JLS42" s="52"/>
      <c r="JLT42" s="52"/>
      <c r="JLU42" s="52"/>
      <c r="JLV42" s="52"/>
      <c r="JLW42" s="52"/>
      <c r="JLX42" s="52"/>
      <c r="JLY42" s="52"/>
      <c r="JLZ42" s="52"/>
      <c r="JMA42" s="52"/>
      <c r="JMB42" s="52"/>
      <c r="JMC42" s="52"/>
      <c r="JMD42" s="52"/>
      <c r="JME42" s="52"/>
      <c r="JMF42" s="52"/>
      <c r="JMG42" s="52"/>
      <c r="JMH42" s="52"/>
      <c r="JMI42" s="52"/>
      <c r="JMJ42" s="52"/>
      <c r="JMK42" s="52"/>
      <c r="JML42" s="52"/>
      <c r="JMM42" s="52"/>
      <c r="JMN42" s="52"/>
      <c r="JMO42" s="52"/>
      <c r="JMP42" s="52"/>
      <c r="JMQ42" s="52"/>
      <c r="JMR42" s="52"/>
      <c r="JMS42" s="52"/>
      <c r="JMT42" s="52"/>
      <c r="JMU42" s="52"/>
      <c r="JMV42" s="52"/>
      <c r="JMW42" s="52"/>
      <c r="JMX42" s="52"/>
      <c r="JMY42" s="52"/>
      <c r="JMZ42" s="52"/>
      <c r="JNA42" s="52"/>
      <c r="JNB42" s="52"/>
      <c r="JNC42" s="52"/>
      <c r="JND42" s="52"/>
      <c r="JNE42" s="52"/>
      <c r="JNF42" s="52"/>
      <c r="JNG42" s="52"/>
      <c r="JNH42" s="52"/>
      <c r="JNI42" s="52"/>
      <c r="JNJ42" s="52"/>
      <c r="JNK42" s="52"/>
      <c r="JNL42" s="52"/>
      <c r="JNM42" s="52"/>
      <c r="JNN42" s="52"/>
      <c r="JNO42" s="52"/>
      <c r="JNP42" s="52"/>
      <c r="JNQ42" s="52"/>
      <c r="JNR42" s="52"/>
      <c r="JNS42" s="52"/>
      <c r="JNT42" s="52"/>
      <c r="JNU42" s="52"/>
      <c r="JNV42" s="52"/>
      <c r="JNW42" s="52"/>
      <c r="JNX42" s="52"/>
      <c r="JNY42" s="52"/>
      <c r="JNZ42" s="52"/>
      <c r="JOA42" s="52"/>
      <c r="JOB42" s="52"/>
      <c r="JOC42" s="52"/>
      <c r="JOD42" s="52"/>
      <c r="JOE42" s="52"/>
      <c r="JOF42" s="52"/>
      <c r="JOG42" s="52"/>
      <c r="JOH42" s="52"/>
      <c r="JOI42" s="52"/>
      <c r="JOJ42" s="52"/>
      <c r="JOK42" s="52"/>
      <c r="JOL42" s="52"/>
      <c r="JOM42" s="52"/>
      <c r="JON42" s="52"/>
      <c r="JOO42" s="52"/>
      <c r="JOP42" s="52"/>
      <c r="JOQ42" s="52"/>
      <c r="JOR42" s="52"/>
      <c r="JOS42" s="52"/>
      <c r="JOT42" s="52"/>
      <c r="JOU42" s="52"/>
      <c r="JOV42" s="52"/>
      <c r="JOW42" s="52"/>
      <c r="JOX42" s="52"/>
      <c r="JOY42" s="52"/>
      <c r="JOZ42" s="52"/>
      <c r="JPA42" s="52"/>
      <c r="JPB42" s="52"/>
      <c r="JPC42" s="52"/>
      <c r="JPD42" s="52"/>
      <c r="JPE42" s="52"/>
      <c r="JPF42" s="52"/>
      <c r="JPG42" s="52"/>
      <c r="JPH42" s="52"/>
      <c r="JPI42" s="52"/>
      <c r="JPJ42" s="52"/>
      <c r="JPK42" s="52"/>
      <c r="JPL42" s="52"/>
      <c r="JPM42" s="52"/>
      <c r="JPN42" s="52"/>
      <c r="JPO42" s="52"/>
      <c r="JPP42" s="52"/>
      <c r="JPQ42" s="52"/>
      <c r="JPR42" s="52"/>
      <c r="JPS42" s="52"/>
      <c r="JPT42" s="52"/>
      <c r="JPU42" s="52"/>
      <c r="JPV42" s="52"/>
      <c r="JPW42" s="52"/>
      <c r="JPX42" s="52"/>
      <c r="JPY42" s="52"/>
      <c r="JPZ42" s="52"/>
      <c r="JQA42" s="52"/>
      <c r="JQB42" s="52"/>
      <c r="JQC42" s="52"/>
      <c r="JQD42" s="52"/>
      <c r="JQE42" s="52"/>
      <c r="JQF42" s="52"/>
      <c r="JQG42" s="52"/>
      <c r="JQH42" s="52"/>
      <c r="JQI42" s="52"/>
      <c r="JQJ42" s="52"/>
      <c r="JQK42" s="52"/>
      <c r="JQL42" s="52"/>
      <c r="JQM42" s="52"/>
      <c r="JQN42" s="52"/>
      <c r="JQO42" s="52"/>
      <c r="JQP42" s="52"/>
      <c r="JQQ42" s="52"/>
      <c r="JQR42" s="52"/>
      <c r="JQS42" s="52"/>
      <c r="JQT42" s="52"/>
      <c r="JQU42" s="52"/>
      <c r="JQV42" s="52"/>
      <c r="JQW42" s="52"/>
      <c r="JQX42" s="52"/>
      <c r="JQY42" s="52"/>
      <c r="JQZ42" s="52"/>
      <c r="JRA42" s="52"/>
      <c r="JRB42" s="52"/>
      <c r="JRC42" s="52"/>
      <c r="JRD42" s="52"/>
      <c r="JRE42" s="52"/>
      <c r="JRF42" s="52"/>
      <c r="JRG42" s="52"/>
      <c r="JRH42" s="52"/>
      <c r="JRI42" s="52"/>
      <c r="JRJ42" s="52"/>
      <c r="JRK42" s="52"/>
      <c r="JRL42" s="52"/>
      <c r="JRM42" s="52"/>
      <c r="JRN42" s="52"/>
      <c r="JRO42" s="52"/>
      <c r="JRP42" s="52"/>
      <c r="JRQ42" s="52"/>
      <c r="JRR42" s="52"/>
      <c r="JRS42" s="52"/>
      <c r="JRT42" s="52"/>
      <c r="JRU42" s="52"/>
      <c r="JRV42" s="52"/>
      <c r="JRW42" s="52"/>
      <c r="JRX42" s="52"/>
      <c r="JRY42" s="52"/>
      <c r="JRZ42" s="52"/>
      <c r="JSA42" s="52"/>
      <c r="JSB42" s="52"/>
      <c r="JSC42" s="52"/>
      <c r="JSD42" s="52"/>
      <c r="JSE42" s="52"/>
      <c r="JSF42" s="52"/>
      <c r="JSG42" s="52"/>
      <c r="JSH42" s="52"/>
      <c r="JSI42" s="52"/>
      <c r="JSJ42" s="52"/>
      <c r="JSK42" s="52"/>
      <c r="JSL42" s="52"/>
      <c r="JSM42" s="52"/>
      <c r="JSN42" s="52"/>
      <c r="JSO42" s="52"/>
      <c r="JSP42" s="52"/>
      <c r="JSQ42" s="52"/>
      <c r="JSR42" s="52"/>
      <c r="JSS42" s="52"/>
      <c r="JST42" s="52"/>
      <c r="JSU42" s="52"/>
      <c r="JSV42" s="52"/>
      <c r="JSW42" s="52"/>
      <c r="JSX42" s="52"/>
      <c r="JSY42" s="52"/>
      <c r="JSZ42" s="52"/>
      <c r="JTA42" s="52"/>
      <c r="JTB42" s="52"/>
      <c r="JTC42" s="52"/>
      <c r="JTD42" s="52"/>
      <c r="JTE42" s="52"/>
      <c r="JTF42" s="52"/>
      <c r="JTG42" s="52"/>
      <c r="JTH42" s="52"/>
      <c r="JTI42" s="52"/>
      <c r="JTJ42" s="52"/>
      <c r="JTK42" s="52"/>
      <c r="JTL42" s="52"/>
      <c r="JTM42" s="52"/>
      <c r="JTN42" s="52"/>
      <c r="JTO42" s="52"/>
      <c r="JTP42" s="52"/>
      <c r="JTQ42" s="52"/>
      <c r="JTR42" s="52"/>
      <c r="JTS42" s="52"/>
      <c r="JTT42" s="52"/>
      <c r="JTU42" s="52"/>
      <c r="JTV42" s="52"/>
      <c r="JTW42" s="52"/>
      <c r="JTX42" s="52"/>
      <c r="JTY42" s="52"/>
      <c r="JTZ42" s="52"/>
      <c r="JUA42" s="52"/>
      <c r="JUB42" s="52"/>
      <c r="JUC42" s="52"/>
      <c r="JUD42" s="52"/>
      <c r="JUE42" s="52"/>
      <c r="JUF42" s="52"/>
      <c r="JUG42" s="52"/>
      <c r="JUH42" s="52"/>
      <c r="JUI42" s="52"/>
      <c r="JUJ42" s="52"/>
      <c r="JUK42" s="52"/>
      <c r="JUL42" s="52"/>
      <c r="JUM42" s="52"/>
      <c r="JUN42" s="52"/>
      <c r="JUO42" s="52"/>
      <c r="JUP42" s="52"/>
      <c r="JUQ42" s="52"/>
      <c r="JUR42" s="52"/>
      <c r="JUS42" s="52"/>
      <c r="JUT42" s="52"/>
      <c r="JUU42" s="52"/>
      <c r="JUV42" s="52"/>
      <c r="JUW42" s="52"/>
      <c r="JUX42" s="52"/>
      <c r="JUY42" s="52"/>
      <c r="JUZ42" s="52"/>
      <c r="JVA42" s="52"/>
      <c r="JVB42" s="52"/>
      <c r="JVC42" s="52"/>
      <c r="JVD42" s="52"/>
      <c r="JVE42" s="52"/>
      <c r="JVF42" s="52"/>
      <c r="JVG42" s="52"/>
      <c r="JVH42" s="52"/>
      <c r="JVI42" s="52"/>
      <c r="JVJ42" s="52"/>
      <c r="JVK42" s="52"/>
      <c r="JVL42" s="52"/>
      <c r="JVM42" s="52"/>
      <c r="JVN42" s="52"/>
      <c r="JVO42" s="52"/>
      <c r="JVP42" s="52"/>
      <c r="JVQ42" s="52"/>
      <c r="JVR42" s="52"/>
      <c r="JVS42" s="52"/>
      <c r="JVT42" s="52"/>
      <c r="JVU42" s="52"/>
      <c r="JVV42" s="52"/>
      <c r="JVW42" s="52"/>
      <c r="JVX42" s="52"/>
      <c r="JVY42" s="52"/>
      <c r="JVZ42" s="52"/>
      <c r="JWA42" s="52"/>
      <c r="JWB42" s="52"/>
      <c r="JWC42" s="52"/>
      <c r="JWD42" s="52"/>
      <c r="JWE42" s="52"/>
      <c r="JWF42" s="52"/>
      <c r="JWG42" s="52"/>
      <c r="JWH42" s="52"/>
      <c r="JWI42" s="52"/>
      <c r="JWJ42" s="52"/>
      <c r="JWK42" s="52"/>
      <c r="JWL42" s="52"/>
      <c r="JWM42" s="52"/>
      <c r="JWN42" s="52"/>
      <c r="JWO42" s="52"/>
      <c r="JWP42" s="52"/>
      <c r="JWQ42" s="52"/>
      <c r="JWR42" s="52"/>
      <c r="JWS42" s="52"/>
      <c r="JWT42" s="52"/>
      <c r="JWU42" s="52"/>
      <c r="JWV42" s="52"/>
      <c r="JWW42" s="52"/>
      <c r="JWX42" s="52"/>
      <c r="JWY42" s="52"/>
      <c r="JWZ42" s="52"/>
      <c r="JXA42" s="52"/>
      <c r="JXB42" s="52"/>
      <c r="JXC42" s="52"/>
      <c r="JXD42" s="52"/>
      <c r="JXE42" s="52"/>
      <c r="JXF42" s="52"/>
      <c r="JXG42" s="52"/>
      <c r="JXH42" s="52"/>
      <c r="JXI42" s="52"/>
      <c r="JXJ42" s="52"/>
      <c r="JXK42" s="52"/>
      <c r="JXL42" s="52"/>
      <c r="JXM42" s="52"/>
      <c r="JXN42" s="52"/>
      <c r="JXO42" s="52"/>
      <c r="JXP42" s="52"/>
      <c r="JXQ42" s="52"/>
      <c r="JXR42" s="52"/>
      <c r="JXS42" s="52"/>
      <c r="JXT42" s="52"/>
      <c r="JXU42" s="52"/>
      <c r="JXV42" s="52"/>
      <c r="JXW42" s="52"/>
      <c r="JXX42" s="52"/>
      <c r="JXY42" s="52"/>
      <c r="JXZ42" s="52"/>
      <c r="JYA42" s="52"/>
      <c r="JYB42" s="52"/>
      <c r="JYC42" s="52"/>
      <c r="JYD42" s="52"/>
      <c r="JYE42" s="52"/>
      <c r="JYF42" s="52"/>
      <c r="JYG42" s="52"/>
      <c r="JYH42" s="52"/>
      <c r="JYI42" s="52"/>
      <c r="JYJ42" s="52"/>
      <c r="JYK42" s="52"/>
      <c r="JYL42" s="52"/>
      <c r="JYM42" s="52"/>
      <c r="JYN42" s="52"/>
      <c r="JYO42" s="52"/>
      <c r="JYP42" s="52"/>
      <c r="JYQ42" s="52"/>
      <c r="JYR42" s="52"/>
      <c r="JYS42" s="52"/>
      <c r="JYT42" s="52"/>
      <c r="JYU42" s="52"/>
      <c r="JYV42" s="52"/>
      <c r="JYW42" s="52"/>
      <c r="JYX42" s="52"/>
      <c r="JYY42" s="52"/>
      <c r="JYZ42" s="52"/>
      <c r="JZA42" s="52"/>
      <c r="JZB42" s="52"/>
      <c r="JZC42" s="52"/>
      <c r="JZD42" s="52"/>
      <c r="JZE42" s="52"/>
      <c r="JZF42" s="52"/>
      <c r="JZG42" s="52"/>
      <c r="JZH42" s="52"/>
      <c r="JZI42" s="52"/>
      <c r="JZJ42" s="52"/>
      <c r="JZK42" s="52"/>
      <c r="JZL42" s="52"/>
      <c r="JZM42" s="52"/>
      <c r="JZN42" s="52"/>
      <c r="JZO42" s="52"/>
      <c r="JZP42" s="52"/>
      <c r="JZQ42" s="52"/>
      <c r="JZR42" s="52"/>
      <c r="JZS42" s="52"/>
      <c r="JZT42" s="52"/>
      <c r="JZU42" s="52"/>
      <c r="JZV42" s="52"/>
      <c r="JZW42" s="52"/>
      <c r="JZX42" s="52"/>
      <c r="JZY42" s="52"/>
      <c r="JZZ42" s="52"/>
      <c r="KAA42" s="52"/>
      <c r="KAB42" s="52"/>
      <c r="KAC42" s="52"/>
      <c r="KAD42" s="52"/>
      <c r="KAE42" s="52"/>
      <c r="KAF42" s="52"/>
      <c r="KAG42" s="52"/>
      <c r="KAH42" s="52"/>
      <c r="KAI42" s="52"/>
      <c r="KAJ42" s="52"/>
      <c r="KAK42" s="52"/>
      <c r="KAL42" s="52"/>
      <c r="KAM42" s="52"/>
      <c r="KAN42" s="52"/>
      <c r="KAO42" s="52"/>
      <c r="KAP42" s="52"/>
      <c r="KAQ42" s="52"/>
      <c r="KAR42" s="52"/>
      <c r="KAS42" s="52"/>
      <c r="KAT42" s="52"/>
      <c r="KAU42" s="52"/>
      <c r="KAV42" s="52"/>
      <c r="KAW42" s="52"/>
      <c r="KAX42" s="52"/>
      <c r="KAY42" s="52"/>
      <c r="KAZ42" s="52"/>
      <c r="KBA42" s="52"/>
      <c r="KBB42" s="52"/>
      <c r="KBC42" s="52"/>
      <c r="KBD42" s="52"/>
      <c r="KBE42" s="52"/>
      <c r="KBF42" s="52"/>
      <c r="KBG42" s="52"/>
      <c r="KBH42" s="52"/>
      <c r="KBI42" s="52"/>
      <c r="KBJ42" s="52"/>
      <c r="KBK42" s="52"/>
      <c r="KBL42" s="52"/>
      <c r="KBM42" s="52"/>
      <c r="KBN42" s="52"/>
      <c r="KBO42" s="52"/>
      <c r="KBP42" s="52"/>
      <c r="KBQ42" s="52"/>
      <c r="KBR42" s="52"/>
      <c r="KBS42" s="52"/>
      <c r="KBT42" s="52"/>
      <c r="KBU42" s="52"/>
      <c r="KBV42" s="52"/>
      <c r="KBW42" s="52"/>
      <c r="KBX42" s="52"/>
      <c r="KBY42" s="52"/>
      <c r="KBZ42" s="52"/>
      <c r="KCA42" s="52"/>
      <c r="KCB42" s="52"/>
      <c r="KCC42" s="52"/>
      <c r="KCD42" s="52"/>
      <c r="KCE42" s="52"/>
      <c r="KCF42" s="52"/>
      <c r="KCG42" s="52"/>
      <c r="KCH42" s="52"/>
      <c r="KCI42" s="52"/>
      <c r="KCJ42" s="52"/>
      <c r="KCK42" s="52"/>
      <c r="KCL42" s="52"/>
      <c r="KCM42" s="52"/>
      <c r="KCN42" s="52"/>
      <c r="KCO42" s="52"/>
      <c r="KCP42" s="52"/>
      <c r="KCQ42" s="52"/>
      <c r="KCR42" s="52"/>
      <c r="KCS42" s="52"/>
      <c r="KCT42" s="52"/>
      <c r="KCU42" s="52"/>
      <c r="KCV42" s="52"/>
      <c r="KCW42" s="52"/>
      <c r="KCX42" s="52"/>
      <c r="KCY42" s="52"/>
      <c r="KCZ42" s="52"/>
      <c r="KDA42" s="52"/>
      <c r="KDB42" s="52"/>
      <c r="KDC42" s="52"/>
      <c r="KDD42" s="52"/>
      <c r="KDE42" s="52"/>
      <c r="KDF42" s="52"/>
      <c r="KDG42" s="52"/>
      <c r="KDH42" s="52"/>
      <c r="KDI42" s="52"/>
      <c r="KDJ42" s="52"/>
      <c r="KDK42" s="52"/>
      <c r="KDL42" s="52"/>
      <c r="KDM42" s="52"/>
      <c r="KDN42" s="52"/>
      <c r="KDO42" s="52"/>
      <c r="KDP42" s="52"/>
      <c r="KDQ42" s="52"/>
      <c r="KDR42" s="52"/>
      <c r="KDS42" s="52"/>
      <c r="KDT42" s="52"/>
      <c r="KDU42" s="52"/>
      <c r="KDV42" s="52"/>
      <c r="KDW42" s="52"/>
      <c r="KDX42" s="52"/>
      <c r="KDY42" s="52"/>
      <c r="KDZ42" s="52"/>
      <c r="KEA42" s="52"/>
      <c r="KEB42" s="52"/>
      <c r="KEC42" s="52"/>
      <c r="KED42" s="52"/>
      <c r="KEE42" s="52"/>
      <c r="KEF42" s="52"/>
      <c r="KEG42" s="52"/>
      <c r="KEH42" s="52"/>
      <c r="KEI42" s="52"/>
      <c r="KEJ42" s="52"/>
      <c r="KEK42" s="52"/>
      <c r="KEL42" s="52"/>
      <c r="KEM42" s="52"/>
      <c r="KEN42" s="52"/>
      <c r="KEO42" s="52"/>
      <c r="KEP42" s="52"/>
      <c r="KEQ42" s="52"/>
      <c r="KER42" s="52"/>
      <c r="KES42" s="52"/>
      <c r="KET42" s="52"/>
      <c r="KEU42" s="52"/>
      <c r="KEV42" s="52"/>
      <c r="KEW42" s="52"/>
      <c r="KEX42" s="52"/>
      <c r="KEY42" s="52"/>
      <c r="KEZ42" s="52"/>
      <c r="KFA42" s="52"/>
      <c r="KFB42" s="52"/>
      <c r="KFC42" s="52"/>
      <c r="KFD42" s="52"/>
      <c r="KFE42" s="52"/>
      <c r="KFF42" s="52"/>
      <c r="KFG42" s="52"/>
      <c r="KFH42" s="52"/>
      <c r="KFI42" s="52"/>
      <c r="KFJ42" s="52"/>
      <c r="KFK42" s="52"/>
      <c r="KFL42" s="52"/>
      <c r="KFM42" s="52"/>
      <c r="KFN42" s="52"/>
      <c r="KFO42" s="52"/>
      <c r="KFP42" s="52"/>
      <c r="KFQ42" s="52"/>
      <c r="KFR42" s="52"/>
      <c r="KFS42" s="52"/>
      <c r="KFT42" s="52"/>
      <c r="KFU42" s="52"/>
      <c r="KFV42" s="52"/>
      <c r="KFW42" s="52"/>
      <c r="KFX42" s="52"/>
      <c r="KFY42" s="52"/>
      <c r="KFZ42" s="52"/>
      <c r="KGA42" s="52"/>
      <c r="KGB42" s="52"/>
      <c r="KGC42" s="52"/>
      <c r="KGD42" s="52"/>
      <c r="KGE42" s="52"/>
      <c r="KGF42" s="52"/>
      <c r="KGG42" s="52"/>
      <c r="KGH42" s="52"/>
      <c r="KGI42" s="52"/>
      <c r="KGJ42" s="52"/>
      <c r="KGK42" s="52"/>
      <c r="KGL42" s="52"/>
      <c r="KGM42" s="52"/>
      <c r="KGN42" s="52"/>
      <c r="KGO42" s="52"/>
      <c r="KGP42" s="52"/>
      <c r="KGQ42" s="52"/>
      <c r="KGR42" s="52"/>
      <c r="KGS42" s="52"/>
      <c r="KGT42" s="52"/>
      <c r="KGU42" s="52"/>
      <c r="KGV42" s="52"/>
      <c r="KGW42" s="52"/>
      <c r="KGX42" s="52"/>
      <c r="KGY42" s="52"/>
      <c r="KGZ42" s="52"/>
      <c r="KHA42" s="52"/>
      <c r="KHB42" s="52"/>
      <c r="KHC42" s="52"/>
      <c r="KHD42" s="52"/>
      <c r="KHE42" s="52"/>
      <c r="KHF42" s="52"/>
      <c r="KHG42" s="52"/>
      <c r="KHH42" s="52"/>
      <c r="KHI42" s="52"/>
      <c r="KHJ42" s="52"/>
      <c r="KHK42" s="52"/>
      <c r="KHL42" s="52"/>
      <c r="KHM42" s="52"/>
      <c r="KHN42" s="52"/>
      <c r="KHO42" s="52"/>
      <c r="KHP42" s="52"/>
      <c r="KHQ42" s="52"/>
      <c r="KHR42" s="52"/>
      <c r="KHS42" s="52"/>
      <c r="KHT42" s="52"/>
      <c r="KHU42" s="52"/>
      <c r="KHV42" s="52"/>
      <c r="KHW42" s="52"/>
      <c r="KHX42" s="52"/>
      <c r="KHY42" s="52"/>
      <c r="KHZ42" s="52"/>
      <c r="KIA42" s="52"/>
      <c r="KIB42" s="52"/>
      <c r="KIC42" s="52"/>
      <c r="KID42" s="52"/>
      <c r="KIE42" s="52"/>
      <c r="KIF42" s="52"/>
      <c r="KIG42" s="52"/>
      <c r="KIH42" s="52"/>
      <c r="KII42" s="52"/>
      <c r="KIJ42" s="52"/>
      <c r="KIK42" s="52"/>
      <c r="KIL42" s="52"/>
      <c r="KIM42" s="52"/>
      <c r="KIN42" s="52"/>
      <c r="KIO42" s="52"/>
      <c r="KIP42" s="52"/>
      <c r="KIQ42" s="52"/>
      <c r="KIR42" s="52"/>
      <c r="KIS42" s="52"/>
      <c r="KIT42" s="52"/>
      <c r="KIU42" s="52"/>
      <c r="KIV42" s="52"/>
      <c r="KIW42" s="52"/>
      <c r="KIX42" s="52"/>
      <c r="KIY42" s="52"/>
      <c r="KIZ42" s="52"/>
      <c r="KJA42" s="52"/>
      <c r="KJB42" s="52"/>
      <c r="KJC42" s="52"/>
      <c r="KJD42" s="52"/>
      <c r="KJE42" s="52"/>
      <c r="KJF42" s="52"/>
      <c r="KJG42" s="52"/>
      <c r="KJH42" s="52"/>
      <c r="KJI42" s="52"/>
      <c r="KJJ42" s="52"/>
      <c r="KJK42" s="52"/>
      <c r="KJL42" s="52"/>
      <c r="KJM42" s="52"/>
      <c r="KJN42" s="52"/>
      <c r="KJO42" s="52"/>
      <c r="KJP42" s="52"/>
      <c r="KJQ42" s="52"/>
      <c r="KJR42" s="52"/>
      <c r="KJS42" s="52"/>
      <c r="KJT42" s="52"/>
      <c r="KJU42" s="52"/>
      <c r="KJV42" s="52"/>
      <c r="KJW42" s="52"/>
      <c r="KJX42" s="52"/>
      <c r="KJY42" s="52"/>
      <c r="KJZ42" s="52"/>
      <c r="KKA42" s="52"/>
      <c r="KKB42" s="52"/>
      <c r="KKC42" s="52"/>
      <c r="KKD42" s="52"/>
      <c r="KKE42" s="52"/>
      <c r="KKF42" s="52"/>
      <c r="KKG42" s="52"/>
      <c r="KKH42" s="52"/>
      <c r="KKI42" s="52"/>
      <c r="KKJ42" s="52"/>
      <c r="KKK42" s="52"/>
      <c r="KKL42" s="52"/>
      <c r="KKM42" s="52"/>
      <c r="KKN42" s="52"/>
      <c r="KKO42" s="52"/>
      <c r="KKP42" s="52"/>
      <c r="KKQ42" s="52"/>
      <c r="KKR42" s="52"/>
      <c r="KKS42" s="52"/>
      <c r="KKT42" s="52"/>
      <c r="KKU42" s="52"/>
      <c r="KKV42" s="52"/>
      <c r="KKW42" s="52"/>
      <c r="KKX42" s="52"/>
      <c r="KKY42" s="52"/>
      <c r="KKZ42" s="52"/>
      <c r="KLA42" s="52"/>
      <c r="KLB42" s="52"/>
      <c r="KLC42" s="52"/>
      <c r="KLD42" s="52"/>
      <c r="KLE42" s="52"/>
      <c r="KLF42" s="52"/>
      <c r="KLG42" s="52"/>
      <c r="KLH42" s="52"/>
      <c r="KLI42" s="52"/>
      <c r="KLJ42" s="52"/>
      <c r="KLK42" s="52"/>
      <c r="KLL42" s="52"/>
      <c r="KLM42" s="52"/>
      <c r="KLN42" s="52"/>
      <c r="KLO42" s="52"/>
      <c r="KLP42" s="52"/>
      <c r="KLQ42" s="52"/>
      <c r="KLR42" s="52"/>
      <c r="KLS42" s="52"/>
      <c r="KLT42" s="52"/>
      <c r="KLU42" s="52"/>
      <c r="KLV42" s="52"/>
      <c r="KLW42" s="52"/>
      <c r="KLX42" s="52"/>
      <c r="KLY42" s="52"/>
      <c r="KLZ42" s="52"/>
      <c r="KMA42" s="52"/>
      <c r="KMB42" s="52"/>
      <c r="KMC42" s="52"/>
      <c r="KMD42" s="52"/>
      <c r="KME42" s="52"/>
      <c r="KMF42" s="52"/>
      <c r="KMG42" s="52"/>
      <c r="KMH42" s="52"/>
      <c r="KMI42" s="52"/>
      <c r="KMJ42" s="52"/>
      <c r="KMK42" s="52"/>
      <c r="KML42" s="52"/>
      <c r="KMM42" s="52"/>
      <c r="KMN42" s="52"/>
      <c r="KMO42" s="52"/>
      <c r="KMP42" s="52"/>
      <c r="KMQ42" s="52"/>
      <c r="KMR42" s="52"/>
      <c r="KMS42" s="52"/>
      <c r="KMT42" s="52"/>
      <c r="KMU42" s="52"/>
      <c r="KMV42" s="52"/>
      <c r="KMW42" s="52"/>
      <c r="KMX42" s="52"/>
      <c r="KMY42" s="52"/>
      <c r="KMZ42" s="52"/>
      <c r="KNA42" s="52"/>
      <c r="KNB42" s="52"/>
      <c r="KNC42" s="52"/>
      <c r="KND42" s="52"/>
      <c r="KNE42" s="52"/>
      <c r="KNF42" s="52"/>
      <c r="KNG42" s="52"/>
      <c r="KNH42" s="52"/>
      <c r="KNI42" s="52"/>
      <c r="KNJ42" s="52"/>
      <c r="KNK42" s="52"/>
      <c r="KNL42" s="52"/>
      <c r="KNM42" s="52"/>
      <c r="KNN42" s="52"/>
      <c r="KNO42" s="52"/>
      <c r="KNP42" s="52"/>
      <c r="KNQ42" s="52"/>
      <c r="KNR42" s="52"/>
      <c r="KNS42" s="52"/>
      <c r="KNT42" s="52"/>
      <c r="KNU42" s="52"/>
      <c r="KNV42" s="52"/>
      <c r="KNW42" s="52"/>
      <c r="KNX42" s="52"/>
      <c r="KNY42" s="52"/>
      <c r="KNZ42" s="52"/>
      <c r="KOA42" s="52"/>
      <c r="KOB42" s="52"/>
      <c r="KOC42" s="52"/>
      <c r="KOD42" s="52"/>
      <c r="KOE42" s="52"/>
      <c r="KOF42" s="52"/>
      <c r="KOG42" s="52"/>
      <c r="KOH42" s="52"/>
      <c r="KOI42" s="52"/>
      <c r="KOJ42" s="52"/>
      <c r="KOK42" s="52"/>
      <c r="KOL42" s="52"/>
      <c r="KOM42" s="52"/>
      <c r="KON42" s="52"/>
      <c r="KOO42" s="52"/>
      <c r="KOP42" s="52"/>
      <c r="KOQ42" s="52"/>
      <c r="KOR42" s="52"/>
      <c r="KOS42" s="52"/>
      <c r="KOT42" s="52"/>
      <c r="KOU42" s="52"/>
      <c r="KOV42" s="52"/>
      <c r="KOW42" s="52"/>
      <c r="KOX42" s="52"/>
      <c r="KOY42" s="52"/>
      <c r="KOZ42" s="52"/>
      <c r="KPA42" s="52"/>
      <c r="KPB42" s="52"/>
      <c r="KPC42" s="52"/>
      <c r="KPD42" s="52"/>
      <c r="KPE42" s="52"/>
      <c r="KPF42" s="52"/>
      <c r="KPG42" s="52"/>
      <c r="KPH42" s="52"/>
      <c r="KPI42" s="52"/>
      <c r="KPJ42" s="52"/>
      <c r="KPK42" s="52"/>
      <c r="KPL42" s="52"/>
      <c r="KPM42" s="52"/>
      <c r="KPN42" s="52"/>
      <c r="KPO42" s="52"/>
      <c r="KPP42" s="52"/>
      <c r="KPQ42" s="52"/>
      <c r="KPR42" s="52"/>
      <c r="KPS42" s="52"/>
      <c r="KPT42" s="52"/>
      <c r="KPU42" s="52"/>
      <c r="KPV42" s="52"/>
      <c r="KPW42" s="52"/>
      <c r="KPX42" s="52"/>
      <c r="KPY42" s="52"/>
      <c r="KPZ42" s="52"/>
      <c r="KQA42" s="52"/>
      <c r="KQB42" s="52"/>
      <c r="KQC42" s="52"/>
      <c r="KQD42" s="52"/>
      <c r="KQE42" s="52"/>
      <c r="KQF42" s="52"/>
      <c r="KQG42" s="52"/>
      <c r="KQH42" s="52"/>
      <c r="KQI42" s="52"/>
      <c r="KQJ42" s="52"/>
      <c r="KQK42" s="52"/>
      <c r="KQL42" s="52"/>
      <c r="KQM42" s="52"/>
      <c r="KQN42" s="52"/>
      <c r="KQO42" s="52"/>
      <c r="KQP42" s="52"/>
      <c r="KQQ42" s="52"/>
      <c r="KQR42" s="52"/>
      <c r="KQS42" s="52"/>
      <c r="KQT42" s="52"/>
      <c r="KQU42" s="52"/>
      <c r="KQV42" s="52"/>
      <c r="KQW42" s="52"/>
      <c r="KQX42" s="52"/>
      <c r="KQY42" s="52"/>
      <c r="KQZ42" s="52"/>
      <c r="KRA42" s="52"/>
      <c r="KRB42" s="52"/>
      <c r="KRC42" s="52"/>
      <c r="KRD42" s="52"/>
      <c r="KRE42" s="52"/>
      <c r="KRF42" s="52"/>
      <c r="KRG42" s="52"/>
      <c r="KRH42" s="52"/>
      <c r="KRI42" s="52"/>
      <c r="KRJ42" s="52"/>
      <c r="KRK42" s="52"/>
      <c r="KRL42" s="52"/>
      <c r="KRM42" s="52"/>
      <c r="KRN42" s="52"/>
      <c r="KRO42" s="52"/>
      <c r="KRP42" s="52"/>
      <c r="KRQ42" s="52"/>
      <c r="KRR42" s="52"/>
      <c r="KRS42" s="52"/>
      <c r="KRT42" s="52"/>
      <c r="KRU42" s="52"/>
      <c r="KRV42" s="52"/>
      <c r="KRW42" s="52"/>
      <c r="KRX42" s="52"/>
      <c r="KRY42" s="52"/>
      <c r="KRZ42" s="52"/>
      <c r="KSA42" s="52"/>
      <c r="KSB42" s="52"/>
      <c r="KSC42" s="52"/>
      <c r="KSD42" s="52"/>
      <c r="KSE42" s="52"/>
      <c r="KSF42" s="52"/>
      <c r="KSG42" s="52"/>
      <c r="KSH42" s="52"/>
      <c r="KSI42" s="52"/>
      <c r="KSJ42" s="52"/>
      <c r="KSK42" s="52"/>
      <c r="KSL42" s="52"/>
      <c r="KSM42" s="52"/>
      <c r="KSN42" s="52"/>
      <c r="KSO42" s="52"/>
      <c r="KSP42" s="52"/>
      <c r="KSQ42" s="52"/>
      <c r="KSR42" s="52"/>
      <c r="KSS42" s="52"/>
      <c r="KST42" s="52"/>
      <c r="KSU42" s="52"/>
      <c r="KSV42" s="52"/>
      <c r="KSW42" s="52"/>
      <c r="KSX42" s="52"/>
      <c r="KSY42" s="52"/>
      <c r="KSZ42" s="52"/>
      <c r="KTA42" s="52"/>
      <c r="KTB42" s="52"/>
      <c r="KTC42" s="52"/>
      <c r="KTD42" s="52"/>
      <c r="KTE42" s="52"/>
      <c r="KTF42" s="52"/>
      <c r="KTG42" s="52"/>
      <c r="KTH42" s="52"/>
      <c r="KTI42" s="52"/>
      <c r="KTJ42" s="52"/>
      <c r="KTK42" s="52"/>
      <c r="KTL42" s="52"/>
      <c r="KTM42" s="52"/>
      <c r="KTN42" s="52"/>
      <c r="KTO42" s="52"/>
      <c r="KTP42" s="52"/>
      <c r="KTQ42" s="52"/>
      <c r="KTR42" s="52"/>
      <c r="KTS42" s="52"/>
      <c r="KTT42" s="52"/>
      <c r="KTU42" s="52"/>
      <c r="KTV42" s="52"/>
      <c r="KTW42" s="52"/>
      <c r="KTX42" s="52"/>
      <c r="KTY42" s="52"/>
      <c r="KTZ42" s="52"/>
      <c r="KUA42" s="52"/>
      <c r="KUB42" s="52"/>
      <c r="KUC42" s="52"/>
      <c r="KUD42" s="52"/>
      <c r="KUE42" s="52"/>
      <c r="KUF42" s="52"/>
      <c r="KUG42" s="52"/>
      <c r="KUH42" s="52"/>
      <c r="KUI42" s="52"/>
      <c r="KUJ42" s="52"/>
      <c r="KUK42" s="52"/>
      <c r="KUL42" s="52"/>
      <c r="KUM42" s="52"/>
      <c r="KUN42" s="52"/>
      <c r="KUO42" s="52"/>
      <c r="KUP42" s="52"/>
      <c r="KUQ42" s="52"/>
      <c r="KUR42" s="52"/>
      <c r="KUS42" s="52"/>
      <c r="KUT42" s="52"/>
      <c r="KUU42" s="52"/>
      <c r="KUV42" s="52"/>
      <c r="KUW42" s="52"/>
      <c r="KUX42" s="52"/>
      <c r="KUY42" s="52"/>
      <c r="KUZ42" s="52"/>
      <c r="KVA42" s="52"/>
      <c r="KVB42" s="52"/>
      <c r="KVC42" s="52"/>
      <c r="KVD42" s="52"/>
      <c r="KVE42" s="52"/>
      <c r="KVF42" s="52"/>
      <c r="KVG42" s="52"/>
      <c r="KVH42" s="52"/>
      <c r="KVI42" s="52"/>
      <c r="KVJ42" s="52"/>
      <c r="KVK42" s="52"/>
      <c r="KVL42" s="52"/>
      <c r="KVM42" s="52"/>
      <c r="KVN42" s="52"/>
      <c r="KVO42" s="52"/>
      <c r="KVP42" s="52"/>
      <c r="KVQ42" s="52"/>
      <c r="KVR42" s="52"/>
      <c r="KVS42" s="52"/>
      <c r="KVT42" s="52"/>
      <c r="KVU42" s="52"/>
      <c r="KVV42" s="52"/>
      <c r="KVW42" s="52"/>
      <c r="KVX42" s="52"/>
      <c r="KVY42" s="52"/>
      <c r="KVZ42" s="52"/>
      <c r="KWA42" s="52"/>
      <c r="KWB42" s="52"/>
      <c r="KWC42" s="52"/>
      <c r="KWD42" s="52"/>
      <c r="KWE42" s="52"/>
      <c r="KWF42" s="52"/>
      <c r="KWG42" s="52"/>
      <c r="KWH42" s="52"/>
      <c r="KWI42" s="52"/>
      <c r="KWJ42" s="52"/>
      <c r="KWK42" s="52"/>
      <c r="KWL42" s="52"/>
      <c r="KWM42" s="52"/>
      <c r="KWN42" s="52"/>
      <c r="KWO42" s="52"/>
      <c r="KWP42" s="52"/>
      <c r="KWQ42" s="52"/>
      <c r="KWR42" s="52"/>
      <c r="KWS42" s="52"/>
      <c r="KWT42" s="52"/>
      <c r="KWU42" s="52"/>
      <c r="KWV42" s="52"/>
      <c r="KWW42" s="52"/>
      <c r="KWX42" s="52"/>
      <c r="KWY42" s="52"/>
      <c r="KWZ42" s="52"/>
      <c r="KXA42" s="52"/>
      <c r="KXB42" s="52"/>
      <c r="KXC42" s="52"/>
      <c r="KXD42" s="52"/>
      <c r="KXE42" s="52"/>
      <c r="KXF42" s="52"/>
      <c r="KXG42" s="52"/>
      <c r="KXH42" s="52"/>
      <c r="KXI42" s="52"/>
      <c r="KXJ42" s="52"/>
      <c r="KXK42" s="52"/>
      <c r="KXL42" s="52"/>
      <c r="KXM42" s="52"/>
      <c r="KXN42" s="52"/>
      <c r="KXO42" s="52"/>
      <c r="KXP42" s="52"/>
      <c r="KXQ42" s="52"/>
      <c r="KXR42" s="52"/>
      <c r="KXS42" s="52"/>
      <c r="KXT42" s="52"/>
      <c r="KXU42" s="52"/>
      <c r="KXV42" s="52"/>
      <c r="KXW42" s="52"/>
      <c r="KXX42" s="52"/>
      <c r="KXY42" s="52"/>
      <c r="KXZ42" s="52"/>
      <c r="KYA42" s="52"/>
      <c r="KYB42" s="52"/>
      <c r="KYC42" s="52"/>
      <c r="KYD42" s="52"/>
      <c r="KYE42" s="52"/>
      <c r="KYF42" s="52"/>
      <c r="KYG42" s="52"/>
      <c r="KYH42" s="52"/>
      <c r="KYI42" s="52"/>
      <c r="KYJ42" s="52"/>
      <c r="KYK42" s="52"/>
      <c r="KYL42" s="52"/>
      <c r="KYM42" s="52"/>
      <c r="KYN42" s="52"/>
      <c r="KYO42" s="52"/>
      <c r="KYP42" s="52"/>
      <c r="KYQ42" s="52"/>
      <c r="KYR42" s="52"/>
      <c r="KYS42" s="52"/>
      <c r="KYT42" s="52"/>
      <c r="KYU42" s="52"/>
      <c r="KYV42" s="52"/>
      <c r="KYW42" s="52"/>
      <c r="KYX42" s="52"/>
      <c r="KYY42" s="52"/>
      <c r="KYZ42" s="52"/>
      <c r="KZA42" s="52"/>
      <c r="KZB42" s="52"/>
      <c r="KZC42" s="52"/>
      <c r="KZD42" s="52"/>
      <c r="KZE42" s="52"/>
      <c r="KZF42" s="52"/>
      <c r="KZG42" s="52"/>
      <c r="KZH42" s="52"/>
      <c r="KZI42" s="52"/>
      <c r="KZJ42" s="52"/>
      <c r="KZK42" s="52"/>
      <c r="KZL42" s="52"/>
      <c r="KZM42" s="52"/>
      <c r="KZN42" s="52"/>
      <c r="KZO42" s="52"/>
      <c r="KZP42" s="52"/>
      <c r="KZQ42" s="52"/>
      <c r="KZR42" s="52"/>
      <c r="KZS42" s="52"/>
      <c r="KZT42" s="52"/>
      <c r="KZU42" s="52"/>
      <c r="KZV42" s="52"/>
      <c r="KZW42" s="52"/>
      <c r="KZX42" s="52"/>
      <c r="KZY42" s="52"/>
      <c r="KZZ42" s="52"/>
      <c r="LAA42" s="52"/>
      <c r="LAB42" s="52"/>
      <c r="LAC42" s="52"/>
      <c r="LAD42" s="52"/>
      <c r="LAE42" s="52"/>
      <c r="LAF42" s="52"/>
      <c r="LAG42" s="52"/>
      <c r="LAH42" s="52"/>
      <c r="LAI42" s="52"/>
      <c r="LAJ42" s="52"/>
      <c r="LAK42" s="52"/>
      <c r="LAL42" s="52"/>
      <c r="LAM42" s="52"/>
      <c r="LAN42" s="52"/>
      <c r="LAO42" s="52"/>
      <c r="LAP42" s="52"/>
      <c r="LAQ42" s="52"/>
      <c r="LAR42" s="52"/>
      <c r="LAS42" s="52"/>
      <c r="LAT42" s="52"/>
      <c r="LAU42" s="52"/>
      <c r="LAV42" s="52"/>
      <c r="LAW42" s="52"/>
      <c r="LAX42" s="52"/>
      <c r="LAY42" s="52"/>
      <c r="LAZ42" s="52"/>
      <c r="LBA42" s="52"/>
      <c r="LBB42" s="52"/>
      <c r="LBC42" s="52"/>
      <c r="LBD42" s="52"/>
      <c r="LBE42" s="52"/>
      <c r="LBF42" s="52"/>
      <c r="LBG42" s="52"/>
      <c r="LBH42" s="52"/>
      <c r="LBI42" s="52"/>
      <c r="LBJ42" s="52"/>
      <c r="LBK42" s="52"/>
      <c r="LBL42" s="52"/>
      <c r="LBM42" s="52"/>
      <c r="LBN42" s="52"/>
      <c r="LBO42" s="52"/>
      <c r="LBP42" s="52"/>
      <c r="LBQ42" s="52"/>
      <c r="LBR42" s="52"/>
      <c r="LBS42" s="52"/>
      <c r="LBT42" s="52"/>
      <c r="LBU42" s="52"/>
      <c r="LBV42" s="52"/>
      <c r="LBW42" s="52"/>
      <c r="LBX42" s="52"/>
      <c r="LBY42" s="52"/>
      <c r="LBZ42" s="52"/>
      <c r="LCA42" s="52"/>
      <c r="LCB42" s="52"/>
      <c r="LCC42" s="52"/>
      <c r="LCD42" s="52"/>
      <c r="LCE42" s="52"/>
      <c r="LCF42" s="52"/>
      <c r="LCG42" s="52"/>
      <c r="LCH42" s="52"/>
      <c r="LCI42" s="52"/>
      <c r="LCJ42" s="52"/>
      <c r="LCK42" s="52"/>
      <c r="LCL42" s="52"/>
      <c r="LCM42" s="52"/>
      <c r="LCN42" s="52"/>
      <c r="LCO42" s="52"/>
      <c r="LCP42" s="52"/>
      <c r="LCQ42" s="52"/>
      <c r="LCR42" s="52"/>
      <c r="LCS42" s="52"/>
      <c r="LCT42" s="52"/>
      <c r="LCU42" s="52"/>
      <c r="LCV42" s="52"/>
      <c r="LCW42" s="52"/>
      <c r="LCX42" s="52"/>
      <c r="LCY42" s="52"/>
      <c r="LCZ42" s="52"/>
      <c r="LDA42" s="52"/>
      <c r="LDB42" s="52"/>
      <c r="LDC42" s="52"/>
      <c r="LDD42" s="52"/>
      <c r="LDE42" s="52"/>
      <c r="LDF42" s="52"/>
      <c r="LDG42" s="52"/>
      <c r="LDH42" s="52"/>
      <c r="LDI42" s="52"/>
      <c r="LDJ42" s="52"/>
      <c r="LDK42" s="52"/>
      <c r="LDL42" s="52"/>
      <c r="LDM42" s="52"/>
      <c r="LDN42" s="52"/>
      <c r="LDO42" s="52"/>
      <c r="LDP42" s="52"/>
      <c r="LDQ42" s="52"/>
      <c r="LDR42" s="52"/>
      <c r="LDS42" s="52"/>
      <c r="LDT42" s="52"/>
      <c r="LDU42" s="52"/>
      <c r="LDV42" s="52"/>
      <c r="LDW42" s="52"/>
      <c r="LDX42" s="52"/>
      <c r="LDY42" s="52"/>
      <c r="LDZ42" s="52"/>
      <c r="LEA42" s="52"/>
      <c r="LEB42" s="52"/>
      <c r="LEC42" s="52"/>
      <c r="LED42" s="52"/>
      <c r="LEE42" s="52"/>
      <c r="LEF42" s="52"/>
      <c r="LEG42" s="52"/>
      <c r="LEH42" s="52"/>
      <c r="LEI42" s="52"/>
      <c r="LEJ42" s="52"/>
      <c r="LEK42" s="52"/>
      <c r="LEL42" s="52"/>
      <c r="LEM42" s="52"/>
      <c r="LEN42" s="52"/>
      <c r="LEO42" s="52"/>
      <c r="LEP42" s="52"/>
      <c r="LEQ42" s="52"/>
      <c r="LER42" s="52"/>
      <c r="LES42" s="52"/>
      <c r="LET42" s="52"/>
      <c r="LEU42" s="52"/>
      <c r="LEV42" s="52"/>
      <c r="LEW42" s="52"/>
      <c r="LEX42" s="52"/>
      <c r="LEY42" s="52"/>
      <c r="LEZ42" s="52"/>
      <c r="LFA42" s="52"/>
      <c r="LFB42" s="52"/>
      <c r="LFC42" s="52"/>
      <c r="LFD42" s="52"/>
      <c r="LFE42" s="52"/>
      <c r="LFF42" s="52"/>
      <c r="LFG42" s="52"/>
      <c r="LFH42" s="52"/>
      <c r="LFI42" s="52"/>
      <c r="LFJ42" s="52"/>
      <c r="LFK42" s="52"/>
      <c r="LFL42" s="52"/>
      <c r="LFM42" s="52"/>
      <c r="LFN42" s="52"/>
      <c r="LFO42" s="52"/>
      <c r="LFP42" s="52"/>
      <c r="LFQ42" s="52"/>
      <c r="LFR42" s="52"/>
      <c r="LFS42" s="52"/>
      <c r="LFT42" s="52"/>
      <c r="LFU42" s="52"/>
      <c r="LFV42" s="52"/>
      <c r="LFW42" s="52"/>
      <c r="LFX42" s="52"/>
      <c r="LFY42" s="52"/>
      <c r="LFZ42" s="52"/>
      <c r="LGA42" s="52"/>
      <c r="LGB42" s="52"/>
      <c r="LGC42" s="52"/>
      <c r="LGD42" s="52"/>
      <c r="LGE42" s="52"/>
      <c r="LGF42" s="52"/>
      <c r="LGG42" s="52"/>
      <c r="LGH42" s="52"/>
      <c r="LGI42" s="52"/>
      <c r="LGJ42" s="52"/>
      <c r="LGK42" s="52"/>
      <c r="LGL42" s="52"/>
      <c r="LGM42" s="52"/>
      <c r="LGN42" s="52"/>
      <c r="LGO42" s="52"/>
      <c r="LGP42" s="52"/>
      <c r="LGQ42" s="52"/>
      <c r="LGR42" s="52"/>
      <c r="LGS42" s="52"/>
      <c r="LGT42" s="52"/>
      <c r="LGU42" s="52"/>
      <c r="LGV42" s="52"/>
      <c r="LGW42" s="52"/>
      <c r="LGX42" s="52"/>
      <c r="LGY42" s="52"/>
      <c r="LGZ42" s="52"/>
      <c r="LHA42" s="52"/>
      <c r="LHB42" s="52"/>
      <c r="LHC42" s="52"/>
      <c r="LHD42" s="52"/>
      <c r="LHE42" s="52"/>
      <c r="LHF42" s="52"/>
      <c r="LHG42" s="52"/>
      <c r="LHH42" s="52"/>
      <c r="LHI42" s="52"/>
      <c r="LHJ42" s="52"/>
      <c r="LHK42" s="52"/>
      <c r="LHL42" s="52"/>
      <c r="LHM42" s="52"/>
      <c r="LHN42" s="52"/>
      <c r="LHO42" s="52"/>
      <c r="LHP42" s="52"/>
      <c r="LHQ42" s="52"/>
      <c r="LHR42" s="52"/>
      <c r="LHS42" s="52"/>
      <c r="LHT42" s="52"/>
      <c r="LHU42" s="52"/>
      <c r="LHV42" s="52"/>
      <c r="LHW42" s="52"/>
      <c r="LHX42" s="52"/>
      <c r="LHY42" s="52"/>
      <c r="LHZ42" s="52"/>
      <c r="LIA42" s="52"/>
      <c r="LIB42" s="52"/>
      <c r="LIC42" s="52"/>
      <c r="LID42" s="52"/>
      <c r="LIE42" s="52"/>
      <c r="LIF42" s="52"/>
      <c r="LIG42" s="52"/>
      <c r="LIH42" s="52"/>
      <c r="LII42" s="52"/>
      <c r="LIJ42" s="52"/>
      <c r="LIK42" s="52"/>
      <c r="LIL42" s="52"/>
      <c r="LIM42" s="52"/>
      <c r="LIN42" s="52"/>
      <c r="LIO42" s="52"/>
      <c r="LIP42" s="52"/>
      <c r="LIQ42" s="52"/>
      <c r="LIR42" s="52"/>
      <c r="LIS42" s="52"/>
      <c r="LIT42" s="52"/>
      <c r="LIU42" s="52"/>
      <c r="LIV42" s="52"/>
      <c r="LIW42" s="52"/>
      <c r="LIX42" s="52"/>
      <c r="LIY42" s="52"/>
      <c r="LIZ42" s="52"/>
      <c r="LJA42" s="52"/>
      <c r="LJB42" s="52"/>
      <c r="LJC42" s="52"/>
      <c r="LJD42" s="52"/>
      <c r="LJE42" s="52"/>
      <c r="LJF42" s="52"/>
      <c r="LJG42" s="52"/>
      <c r="LJH42" s="52"/>
      <c r="LJI42" s="52"/>
      <c r="LJJ42" s="52"/>
      <c r="LJK42" s="52"/>
      <c r="LJL42" s="52"/>
      <c r="LJM42" s="52"/>
      <c r="LJN42" s="52"/>
      <c r="LJO42" s="52"/>
      <c r="LJP42" s="52"/>
      <c r="LJQ42" s="52"/>
      <c r="LJR42" s="52"/>
      <c r="LJS42" s="52"/>
      <c r="LJT42" s="52"/>
      <c r="LJU42" s="52"/>
      <c r="LJV42" s="52"/>
      <c r="LJW42" s="52"/>
      <c r="LJX42" s="52"/>
      <c r="LJY42" s="52"/>
      <c r="LJZ42" s="52"/>
      <c r="LKA42" s="52"/>
      <c r="LKB42" s="52"/>
      <c r="LKC42" s="52"/>
      <c r="LKD42" s="52"/>
      <c r="LKE42" s="52"/>
      <c r="LKF42" s="52"/>
      <c r="LKG42" s="52"/>
      <c r="LKH42" s="52"/>
      <c r="LKI42" s="52"/>
      <c r="LKJ42" s="52"/>
      <c r="LKK42" s="52"/>
      <c r="LKL42" s="52"/>
      <c r="LKM42" s="52"/>
      <c r="LKN42" s="52"/>
      <c r="LKO42" s="52"/>
      <c r="LKP42" s="52"/>
      <c r="LKQ42" s="52"/>
      <c r="LKR42" s="52"/>
      <c r="LKS42" s="52"/>
      <c r="LKT42" s="52"/>
      <c r="LKU42" s="52"/>
      <c r="LKV42" s="52"/>
      <c r="LKW42" s="52"/>
      <c r="LKX42" s="52"/>
      <c r="LKY42" s="52"/>
      <c r="LKZ42" s="52"/>
      <c r="LLA42" s="52"/>
      <c r="LLB42" s="52"/>
      <c r="LLC42" s="52"/>
      <c r="LLD42" s="52"/>
      <c r="LLE42" s="52"/>
      <c r="LLF42" s="52"/>
      <c r="LLG42" s="52"/>
      <c r="LLH42" s="52"/>
      <c r="LLI42" s="52"/>
      <c r="LLJ42" s="52"/>
      <c r="LLK42" s="52"/>
      <c r="LLL42" s="52"/>
      <c r="LLM42" s="52"/>
      <c r="LLN42" s="52"/>
      <c r="LLO42" s="52"/>
      <c r="LLP42" s="52"/>
      <c r="LLQ42" s="52"/>
      <c r="LLR42" s="52"/>
      <c r="LLS42" s="52"/>
      <c r="LLT42" s="52"/>
      <c r="LLU42" s="52"/>
      <c r="LLV42" s="52"/>
      <c r="LLW42" s="52"/>
      <c r="LLX42" s="52"/>
      <c r="LLY42" s="52"/>
      <c r="LLZ42" s="52"/>
      <c r="LMA42" s="52"/>
      <c r="LMB42" s="52"/>
      <c r="LMC42" s="52"/>
      <c r="LMD42" s="52"/>
      <c r="LME42" s="52"/>
      <c r="LMF42" s="52"/>
      <c r="LMG42" s="52"/>
      <c r="LMH42" s="52"/>
      <c r="LMI42" s="52"/>
      <c r="LMJ42" s="52"/>
      <c r="LMK42" s="52"/>
      <c r="LML42" s="52"/>
      <c r="LMM42" s="52"/>
      <c r="LMN42" s="52"/>
      <c r="LMO42" s="52"/>
      <c r="LMP42" s="52"/>
      <c r="LMQ42" s="52"/>
      <c r="LMR42" s="52"/>
      <c r="LMS42" s="52"/>
      <c r="LMT42" s="52"/>
      <c r="LMU42" s="52"/>
      <c r="LMV42" s="52"/>
      <c r="LMW42" s="52"/>
      <c r="LMX42" s="52"/>
      <c r="LMY42" s="52"/>
      <c r="LMZ42" s="52"/>
      <c r="LNA42" s="52"/>
      <c r="LNB42" s="52"/>
      <c r="LNC42" s="52"/>
      <c r="LND42" s="52"/>
      <c r="LNE42" s="52"/>
      <c r="LNF42" s="52"/>
      <c r="LNG42" s="52"/>
      <c r="LNH42" s="52"/>
      <c r="LNI42" s="52"/>
      <c r="LNJ42" s="52"/>
      <c r="LNK42" s="52"/>
      <c r="LNL42" s="52"/>
      <c r="LNM42" s="52"/>
      <c r="LNN42" s="52"/>
      <c r="LNO42" s="52"/>
      <c r="LNP42" s="52"/>
      <c r="LNQ42" s="52"/>
      <c r="LNR42" s="52"/>
      <c r="LNS42" s="52"/>
      <c r="LNT42" s="52"/>
      <c r="LNU42" s="52"/>
      <c r="LNV42" s="52"/>
      <c r="LNW42" s="52"/>
      <c r="LNX42" s="52"/>
      <c r="LNY42" s="52"/>
      <c r="LNZ42" s="52"/>
      <c r="LOA42" s="52"/>
      <c r="LOB42" s="52"/>
      <c r="LOC42" s="52"/>
      <c r="LOD42" s="52"/>
      <c r="LOE42" s="52"/>
      <c r="LOF42" s="52"/>
      <c r="LOG42" s="52"/>
      <c r="LOH42" s="52"/>
      <c r="LOI42" s="52"/>
      <c r="LOJ42" s="52"/>
      <c r="LOK42" s="52"/>
      <c r="LOL42" s="52"/>
      <c r="LOM42" s="52"/>
      <c r="LON42" s="52"/>
      <c r="LOO42" s="52"/>
      <c r="LOP42" s="52"/>
      <c r="LOQ42" s="52"/>
      <c r="LOR42" s="52"/>
      <c r="LOS42" s="52"/>
      <c r="LOT42" s="52"/>
      <c r="LOU42" s="52"/>
      <c r="LOV42" s="52"/>
      <c r="LOW42" s="52"/>
      <c r="LOX42" s="52"/>
      <c r="LOY42" s="52"/>
      <c r="LOZ42" s="52"/>
      <c r="LPA42" s="52"/>
      <c r="LPB42" s="52"/>
      <c r="LPC42" s="52"/>
      <c r="LPD42" s="52"/>
      <c r="LPE42" s="52"/>
      <c r="LPF42" s="52"/>
      <c r="LPG42" s="52"/>
      <c r="LPH42" s="52"/>
      <c r="LPI42" s="52"/>
      <c r="LPJ42" s="52"/>
      <c r="LPK42" s="52"/>
      <c r="LPL42" s="52"/>
      <c r="LPM42" s="52"/>
      <c r="LPN42" s="52"/>
      <c r="LPO42" s="52"/>
      <c r="LPP42" s="52"/>
      <c r="LPQ42" s="52"/>
      <c r="LPR42" s="52"/>
      <c r="LPS42" s="52"/>
      <c r="LPT42" s="52"/>
      <c r="LPU42" s="52"/>
      <c r="LPV42" s="52"/>
      <c r="LPW42" s="52"/>
      <c r="LPX42" s="52"/>
      <c r="LPY42" s="52"/>
      <c r="LPZ42" s="52"/>
      <c r="LQA42" s="52"/>
      <c r="LQB42" s="52"/>
      <c r="LQC42" s="52"/>
      <c r="LQD42" s="52"/>
      <c r="LQE42" s="52"/>
      <c r="LQF42" s="52"/>
      <c r="LQG42" s="52"/>
      <c r="LQH42" s="52"/>
      <c r="LQI42" s="52"/>
      <c r="LQJ42" s="52"/>
      <c r="LQK42" s="52"/>
      <c r="LQL42" s="52"/>
      <c r="LQM42" s="52"/>
      <c r="LQN42" s="52"/>
      <c r="LQO42" s="52"/>
      <c r="LQP42" s="52"/>
      <c r="LQQ42" s="52"/>
      <c r="LQR42" s="52"/>
      <c r="LQS42" s="52"/>
      <c r="LQT42" s="52"/>
      <c r="LQU42" s="52"/>
      <c r="LQV42" s="52"/>
      <c r="LQW42" s="52"/>
      <c r="LQX42" s="52"/>
      <c r="LQY42" s="52"/>
      <c r="LQZ42" s="52"/>
      <c r="LRA42" s="52"/>
      <c r="LRB42" s="52"/>
      <c r="LRC42" s="52"/>
      <c r="LRD42" s="52"/>
      <c r="LRE42" s="52"/>
      <c r="LRF42" s="52"/>
      <c r="LRG42" s="52"/>
      <c r="LRH42" s="52"/>
      <c r="LRI42" s="52"/>
      <c r="LRJ42" s="52"/>
      <c r="LRK42" s="52"/>
      <c r="LRL42" s="52"/>
      <c r="LRM42" s="52"/>
      <c r="LRN42" s="52"/>
      <c r="LRO42" s="52"/>
      <c r="LRP42" s="52"/>
      <c r="LRQ42" s="52"/>
      <c r="LRR42" s="52"/>
      <c r="LRS42" s="52"/>
      <c r="LRT42" s="52"/>
      <c r="LRU42" s="52"/>
      <c r="LRV42" s="52"/>
      <c r="LRW42" s="52"/>
      <c r="LRX42" s="52"/>
      <c r="LRY42" s="52"/>
      <c r="LRZ42" s="52"/>
      <c r="LSA42" s="52"/>
      <c r="LSB42" s="52"/>
      <c r="LSC42" s="52"/>
      <c r="LSD42" s="52"/>
      <c r="LSE42" s="52"/>
      <c r="LSF42" s="52"/>
      <c r="LSG42" s="52"/>
      <c r="LSH42" s="52"/>
      <c r="LSI42" s="52"/>
      <c r="LSJ42" s="52"/>
      <c r="LSK42" s="52"/>
      <c r="LSL42" s="52"/>
      <c r="LSM42" s="52"/>
      <c r="LSN42" s="52"/>
      <c r="LSO42" s="52"/>
      <c r="LSP42" s="52"/>
      <c r="LSQ42" s="52"/>
      <c r="LSR42" s="52"/>
      <c r="LSS42" s="52"/>
      <c r="LST42" s="52"/>
      <c r="LSU42" s="52"/>
      <c r="LSV42" s="52"/>
      <c r="LSW42" s="52"/>
      <c r="LSX42" s="52"/>
      <c r="LSY42" s="52"/>
      <c r="LSZ42" s="52"/>
      <c r="LTA42" s="52"/>
      <c r="LTB42" s="52"/>
      <c r="LTC42" s="52"/>
      <c r="LTD42" s="52"/>
      <c r="LTE42" s="52"/>
      <c r="LTF42" s="52"/>
      <c r="LTG42" s="52"/>
      <c r="LTH42" s="52"/>
      <c r="LTI42" s="52"/>
      <c r="LTJ42" s="52"/>
      <c r="LTK42" s="52"/>
      <c r="LTL42" s="52"/>
      <c r="LTM42" s="52"/>
      <c r="LTN42" s="52"/>
      <c r="LTO42" s="52"/>
      <c r="LTP42" s="52"/>
      <c r="LTQ42" s="52"/>
      <c r="LTR42" s="52"/>
      <c r="LTS42" s="52"/>
      <c r="LTT42" s="52"/>
      <c r="LTU42" s="52"/>
      <c r="LTV42" s="52"/>
      <c r="LTW42" s="52"/>
      <c r="LTX42" s="52"/>
      <c r="LTY42" s="52"/>
      <c r="LTZ42" s="52"/>
      <c r="LUA42" s="52"/>
      <c r="LUB42" s="52"/>
      <c r="LUC42" s="52"/>
      <c r="LUD42" s="52"/>
      <c r="LUE42" s="52"/>
      <c r="LUF42" s="52"/>
      <c r="LUG42" s="52"/>
      <c r="LUH42" s="52"/>
      <c r="LUI42" s="52"/>
      <c r="LUJ42" s="52"/>
      <c r="LUK42" s="52"/>
      <c r="LUL42" s="52"/>
      <c r="LUM42" s="52"/>
      <c r="LUN42" s="52"/>
      <c r="LUO42" s="52"/>
      <c r="LUP42" s="52"/>
      <c r="LUQ42" s="52"/>
      <c r="LUR42" s="52"/>
      <c r="LUS42" s="52"/>
      <c r="LUT42" s="52"/>
      <c r="LUU42" s="52"/>
      <c r="LUV42" s="52"/>
      <c r="LUW42" s="52"/>
      <c r="LUX42" s="52"/>
      <c r="LUY42" s="52"/>
      <c r="LUZ42" s="52"/>
      <c r="LVA42" s="52"/>
      <c r="LVB42" s="52"/>
      <c r="LVC42" s="52"/>
      <c r="LVD42" s="52"/>
      <c r="LVE42" s="52"/>
      <c r="LVF42" s="52"/>
      <c r="LVG42" s="52"/>
      <c r="LVH42" s="52"/>
      <c r="LVI42" s="52"/>
      <c r="LVJ42" s="52"/>
      <c r="LVK42" s="52"/>
      <c r="LVL42" s="52"/>
      <c r="LVM42" s="52"/>
      <c r="LVN42" s="52"/>
      <c r="LVO42" s="52"/>
      <c r="LVP42" s="52"/>
      <c r="LVQ42" s="52"/>
      <c r="LVR42" s="52"/>
      <c r="LVS42" s="52"/>
      <c r="LVT42" s="52"/>
      <c r="LVU42" s="52"/>
      <c r="LVV42" s="52"/>
      <c r="LVW42" s="52"/>
      <c r="LVX42" s="52"/>
      <c r="LVY42" s="52"/>
      <c r="LVZ42" s="52"/>
      <c r="LWA42" s="52"/>
      <c r="LWB42" s="52"/>
      <c r="LWC42" s="52"/>
      <c r="LWD42" s="52"/>
      <c r="LWE42" s="52"/>
      <c r="LWF42" s="52"/>
      <c r="LWG42" s="52"/>
      <c r="LWH42" s="52"/>
      <c r="LWI42" s="52"/>
      <c r="LWJ42" s="52"/>
      <c r="LWK42" s="52"/>
      <c r="LWL42" s="52"/>
      <c r="LWM42" s="52"/>
      <c r="LWN42" s="52"/>
      <c r="LWO42" s="52"/>
      <c r="LWP42" s="52"/>
      <c r="LWQ42" s="52"/>
      <c r="LWR42" s="52"/>
      <c r="LWS42" s="52"/>
      <c r="LWT42" s="52"/>
      <c r="LWU42" s="52"/>
      <c r="LWV42" s="52"/>
      <c r="LWW42" s="52"/>
      <c r="LWX42" s="52"/>
      <c r="LWY42" s="52"/>
      <c r="LWZ42" s="52"/>
      <c r="LXA42" s="52"/>
      <c r="LXB42" s="52"/>
      <c r="LXC42" s="52"/>
      <c r="LXD42" s="52"/>
      <c r="LXE42" s="52"/>
      <c r="LXF42" s="52"/>
      <c r="LXG42" s="52"/>
      <c r="LXH42" s="52"/>
      <c r="LXI42" s="52"/>
      <c r="LXJ42" s="52"/>
      <c r="LXK42" s="52"/>
      <c r="LXL42" s="52"/>
      <c r="LXM42" s="52"/>
      <c r="LXN42" s="52"/>
      <c r="LXO42" s="52"/>
      <c r="LXP42" s="52"/>
      <c r="LXQ42" s="52"/>
      <c r="LXR42" s="52"/>
      <c r="LXS42" s="52"/>
      <c r="LXT42" s="52"/>
      <c r="LXU42" s="52"/>
      <c r="LXV42" s="52"/>
      <c r="LXW42" s="52"/>
      <c r="LXX42" s="52"/>
      <c r="LXY42" s="52"/>
      <c r="LXZ42" s="52"/>
      <c r="LYA42" s="52"/>
      <c r="LYB42" s="52"/>
      <c r="LYC42" s="52"/>
      <c r="LYD42" s="52"/>
      <c r="LYE42" s="52"/>
      <c r="LYF42" s="52"/>
      <c r="LYG42" s="52"/>
      <c r="LYH42" s="52"/>
      <c r="LYI42" s="52"/>
      <c r="LYJ42" s="52"/>
      <c r="LYK42" s="52"/>
      <c r="LYL42" s="52"/>
      <c r="LYM42" s="52"/>
      <c r="LYN42" s="52"/>
      <c r="LYO42" s="52"/>
      <c r="LYP42" s="52"/>
      <c r="LYQ42" s="52"/>
      <c r="LYR42" s="52"/>
      <c r="LYS42" s="52"/>
      <c r="LYT42" s="52"/>
      <c r="LYU42" s="52"/>
      <c r="LYV42" s="52"/>
      <c r="LYW42" s="52"/>
      <c r="LYX42" s="52"/>
      <c r="LYY42" s="52"/>
      <c r="LYZ42" s="52"/>
      <c r="LZA42" s="52"/>
      <c r="LZB42" s="52"/>
      <c r="LZC42" s="52"/>
      <c r="LZD42" s="52"/>
      <c r="LZE42" s="52"/>
      <c r="LZF42" s="52"/>
      <c r="LZG42" s="52"/>
      <c r="LZH42" s="52"/>
      <c r="LZI42" s="52"/>
      <c r="LZJ42" s="52"/>
      <c r="LZK42" s="52"/>
      <c r="LZL42" s="52"/>
      <c r="LZM42" s="52"/>
      <c r="LZN42" s="52"/>
      <c r="LZO42" s="52"/>
      <c r="LZP42" s="52"/>
      <c r="LZQ42" s="52"/>
      <c r="LZR42" s="52"/>
      <c r="LZS42" s="52"/>
      <c r="LZT42" s="52"/>
      <c r="LZU42" s="52"/>
      <c r="LZV42" s="52"/>
      <c r="LZW42" s="52"/>
      <c r="LZX42" s="52"/>
      <c r="LZY42" s="52"/>
      <c r="LZZ42" s="52"/>
      <c r="MAA42" s="52"/>
      <c r="MAB42" s="52"/>
      <c r="MAC42" s="52"/>
      <c r="MAD42" s="52"/>
      <c r="MAE42" s="52"/>
      <c r="MAF42" s="52"/>
      <c r="MAG42" s="52"/>
      <c r="MAH42" s="52"/>
      <c r="MAI42" s="52"/>
      <c r="MAJ42" s="52"/>
      <c r="MAK42" s="52"/>
      <c r="MAL42" s="52"/>
      <c r="MAM42" s="52"/>
      <c r="MAN42" s="52"/>
      <c r="MAO42" s="52"/>
      <c r="MAP42" s="52"/>
      <c r="MAQ42" s="52"/>
      <c r="MAR42" s="52"/>
      <c r="MAS42" s="52"/>
      <c r="MAT42" s="52"/>
      <c r="MAU42" s="52"/>
      <c r="MAV42" s="52"/>
      <c r="MAW42" s="52"/>
      <c r="MAX42" s="52"/>
      <c r="MAY42" s="52"/>
      <c r="MAZ42" s="52"/>
      <c r="MBA42" s="52"/>
      <c r="MBB42" s="52"/>
      <c r="MBC42" s="52"/>
      <c r="MBD42" s="52"/>
      <c r="MBE42" s="52"/>
      <c r="MBF42" s="52"/>
      <c r="MBG42" s="52"/>
      <c r="MBH42" s="52"/>
      <c r="MBI42" s="52"/>
      <c r="MBJ42" s="52"/>
      <c r="MBK42" s="52"/>
      <c r="MBL42" s="52"/>
      <c r="MBM42" s="52"/>
      <c r="MBN42" s="52"/>
      <c r="MBO42" s="52"/>
      <c r="MBP42" s="52"/>
      <c r="MBQ42" s="52"/>
      <c r="MBR42" s="52"/>
      <c r="MBS42" s="52"/>
      <c r="MBT42" s="52"/>
      <c r="MBU42" s="52"/>
      <c r="MBV42" s="52"/>
      <c r="MBW42" s="52"/>
      <c r="MBX42" s="52"/>
      <c r="MBY42" s="52"/>
      <c r="MBZ42" s="52"/>
      <c r="MCA42" s="52"/>
      <c r="MCB42" s="52"/>
      <c r="MCC42" s="52"/>
      <c r="MCD42" s="52"/>
      <c r="MCE42" s="52"/>
      <c r="MCF42" s="52"/>
      <c r="MCG42" s="52"/>
      <c r="MCH42" s="52"/>
      <c r="MCI42" s="52"/>
      <c r="MCJ42" s="52"/>
      <c r="MCK42" s="52"/>
      <c r="MCL42" s="52"/>
      <c r="MCM42" s="52"/>
      <c r="MCN42" s="52"/>
      <c r="MCO42" s="52"/>
      <c r="MCP42" s="52"/>
      <c r="MCQ42" s="52"/>
      <c r="MCR42" s="52"/>
      <c r="MCS42" s="52"/>
      <c r="MCT42" s="52"/>
      <c r="MCU42" s="52"/>
      <c r="MCV42" s="52"/>
      <c r="MCW42" s="52"/>
      <c r="MCX42" s="52"/>
      <c r="MCY42" s="52"/>
      <c r="MCZ42" s="52"/>
      <c r="MDA42" s="52"/>
      <c r="MDB42" s="52"/>
      <c r="MDC42" s="52"/>
      <c r="MDD42" s="52"/>
      <c r="MDE42" s="52"/>
      <c r="MDF42" s="52"/>
      <c r="MDG42" s="52"/>
      <c r="MDH42" s="52"/>
      <c r="MDI42" s="52"/>
      <c r="MDJ42" s="52"/>
      <c r="MDK42" s="52"/>
      <c r="MDL42" s="52"/>
      <c r="MDM42" s="52"/>
      <c r="MDN42" s="52"/>
      <c r="MDO42" s="52"/>
      <c r="MDP42" s="52"/>
      <c r="MDQ42" s="52"/>
      <c r="MDR42" s="52"/>
      <c r="MDS42" s="52"/>
      <c r="MDT42" s="52"/>
      <c r="MDU42" s="52"/>
      <c r="MDV42" s="52"/>
      <c r="MDW42" s="52"/>
      <c r="MDX42" s="52"/>
      <c r="MDY42" s="52"/>
      <c r="MDZ42" s="52"/>
      <c r="MEA42" s="52"/>
      <c r="MEB42" s="52"/>
      <c r="MEC42" s="52"/>
      <c r="MED42" s="52"/>
      <c r="MEE42" s="52"/>
      <c r="MEF42" s="52"/>
      <c r="MEG42" s="52"/>
      <c r="MEH42" s="52"/>
      <c r="MEI42" s="52"/>
      <c r="MEJ42" s="52"/>
      <c r="MEK42" s="52"/>
      <c r="MEL42" s="52"/>
      <c r="MEM42" s="52"/>
      <c r="MEN42" s="52"/>
      <c r="MEO42" s="52"/>
      <c r="MEP42" s="52"/>
      <c r="MEQ42" s="52"/>
      <c r="MER42" s="52"/>
      <c r="MES42" s="52"/>
      <c r="MET42" s="52"/>
      <c r="MEU42" s="52"/>
      <c r="MEV42" s="52"/>
      <c r="MEW42" s="52"/>
      <c r="MEX42" s="52"/>
      <c r="MEY42" s="52"/>
      <c r="MEZ42" s="52"/>
      <c r="MFA42" s="52"/>
      <c r="MFB42" s="52"/>
      <c r="MFC42" s="52"/>
      <c r="MFD42" s="52"/>
      <c r="MFE42" s="52"/>
      <c r="MFF42" s="52"/>
      <c r="MFG42" s="52"/>
      <c r="MFH42" s="52"/>
      <c r="MFI42" s="52"/>
      <c r="MFJ42" s="52"/>
      <c r="MFK42" s="52"/>
      <c r="MFL42" s="52"/>
      <c r="MFM42" s="52"/>
      <c r="MFN42" s="52"/>
      <c r="MFO42" s="52"/>
      <c r="MFP42" s="52"/>
      <c r="MFQ42" s="52"/>
      <c r="MFR42" s="52"/>
      <c r="MFS42" s="52"/>
      <c r="MFT42" s="52"/>
      <c r="MFU42" s="52"/>
      <c r="MFV42" s="52"/>
      <c r="MFW42" s="52"/>
      <c r="MFX42" s="52"/>
      <c r="MFY42" s="52"/>
      <c r="MFZ42" s="52"/>
      <c r="MGA42" s="52"/>
      <c r="MGB42" s="52"/>
      <c r="MGC42" s="52"/>
      <c r="MGD42" s="52"/>
      <c r="MGE42" s="52"/>
      <c r="MGF42" s="52"/>
      <c r="MGG42" s="52"/>
      <c r="MGH42" s="52"/>
      <c r="MGI42" s="52"/>
      <c r="MGJ42" s="52"/>
      <c r="MGK42" s="52"/>
      <c r="MGL42" s="52"/>
      <c r="MGM42" s="52"/>
      <c r="MGN42" s="52"/>
      <c r="MGO42" s="52"/>
      <c r="MGP42" s="52"/>
      <c r="MGQ42" s="52"/>
      <c r="MGR42" s="52"/>
      <c r="MGS42" s="52"/>
      <c r="MGT42" s="52"/>
      <c r="MGU42" s="52"/>
      <c r="MGV42" s="52"/>
      <c r="MGW42" s="52"/>
      <c r="MGX42" s="52"/>
      <c r="MGY42" s="52"/>
      <c r="MGZ42" s="52"/>
      <c r="MHA42" s="52"/>
      <c r="MHB42" s="52"/>
      <c r="MHC42" s="52"/>
      <c r="MHD42" s="52"/>
      <c r="MHE42" s="52"/>
      <c r="MHF42" s="52"/>
      <c r="MHG42" s="52"/>
      <c r="MHH42" s="52"/>
      <c r="MHI42" s="52"/>
      <c r="MHJ42" s="52"/>
      <c r="MHK42" s="52"/>
      <c r="MHL42" s="52"/>
      <c r="MHM42" s="52"/>
      <c r="MHN42" s="52"/>
      <c r="MHO42" s="52"/>
      <c r="MHP42" s="52"/>
      <c r="MHQ42" s="52"/>
      <c r="MHR42" s="52"/>
      <c r="MHS42" s="52"/>
      <c r="MHT42" s="52"/>
      <c r="MHU42" s="52"/>
      <c r="MHV42" s="52"/>
      <c r="MHW42" s="52"/>
      <c r="MHX42" s="52"/>
      <c r="MHY42" s="52"/>
      <c r="MHZ42" s="52"/>
      <c r="MIA42" s="52"/>
      <c r="MIB42" s="52"/>
      <c r="MIC42" s="52"/>
      <c r="MID42" s="52"/>
      <c r="MIE42" s="52"/>
      <c r="MIF42" s="52"/>
      <c r="MIG42" s="52"/>
      <c r="MIH42" s="52"/>
      <c r="MII42" s="52"/>
      <c r="MIJ42" s="52"/>
      <c r="MIK42" s="52"/>
      <c r="MIL42" s="52"/>
      <c r="MIM42" s="52"/>
      <c r="MIN42" s="52"/>
      <c r="MIO42" s="52"/>
      <c r="MIP42" s="52"/>
      <c r="MIQ42" s="52"/>
      <c r="MIR42" s="52"/>
      <c r="MIS42" s="52"/>
      <c r="MIT42" s="52"/>
      <c r="MIU42" s="52"/>
      <c r="MIV42" s="52"/>
      <c r="MIW42" s="52"/>
      <c r="MIX42" s="52"/>
      <c r="MIY42" s="52"/>
      <c r="MIZ42" s="52"/>
      <c r="MJA42" s="52"/>
      <c r="MJB42" s="52"/>
      <c r="MJC42" s="52"/>
      <c r="MJD42" s="52"/>
      <c r="MJE42" s="52"/>
      <c r="MJF42" s="52"/>
      <c r="MJG42" s="52"/>
      <c r="MJH42" s="52"/>
      <c r="MJI42" s="52"/>
      <c r="MJJ42" s="52"/>
      <c r="MJK42" s="52"/>
      <c r="MJL42" s="52"/>
      <c r="MJM42" s="52"/>
      <c r="MJN42" s="52"/>
      <c r="MJO42" s="52"/>
      <c r="MJP42" s="52"/>
      <c r="MJQ42" s="52"/>
      <c r="MJR42" s="52"/>
      <c r="MJS42" s="52"/>
      <c r="MJT42" s="52"/>
      <c r="MJU42" s="52"/>
      <c r="MJV42" s="52"/>
      <c r="MJW42" s="52"/>
      <c r="MJX42" s="52"/>
      <c r="MJY42" s="52"/>
      <c r="MJZ42" s="52"/>
      <c r="MKA42" s="52"/>
      <c r="MKB42" s="52"/>
      <c r="MKC42" s="52"/>
      <c r="MKD42" s="52"/>
      <c r="MKE42" s="52"/>
      <c r="MKF42" s="52"/>
      <c r="MKG42" s="52"/>
      <c r="MKH42" s="52"/>
      <c r="MKI42" s="52"/>
      <c r="MKJ42" s="52"/>
      <c r="MKK42" s="52"/>
      <c r="MKL42" s="52"/>
      <c r="MKM42" s="52"/>
      <c r="MKN42" s="52"/>
      <c r="MKO42" s="52"/>
      <c r="MKP42" s="52"/>
      <c r="MKQ42" s="52"/>
      <c r="MKR42" s="52"/>
      <c r="MKS42" s="52"/>
      <c r="MKT42" s="52"/>
      <c r="MKU42" s="52"/>
      <c r="MKV42" s="52"/>
      <c r="MKW42" s="52"/>
      <c r="MKX42" s="52"/>
      <c r="MKY42" s="52"/>
      <c r="MKZ42" s="52"/>
      <c r="MLA42" s="52"/>
      <c r="MLB42" s="52"/>
      <c r="MLC42" s="52"/>
      <c r="MLD42" s="52"/>
      <c r="MLE42" s="52"/>
      <c r="MLF42" s="52"/>
      <c r="MLG42" s="52"/>
      <c r="MLH42" s="52"/>
      <c r="MLI42" s="52"/>
      <c r="MLJ42" s="52"/>
      <c r="MLK42" s="52"/>
      <c r="MLL42" s="52"/>
      <c r="MLM42" s="52"/>
      <c r="MLN42" s="52"/>
      <c r="MLO42" s="52"/>
      <c r="MLP42" s="52"/>
      <c r="MLQ42" s="52"/>
      <c r="MLR42" s="52"/>
      <c r="MLS42" s="52"/>
      <c r="MLT42" s="52"/>
      <c r="MLU42" s="52"/>
      <c r="MLV42" s="52"/>
      <c r="MLW42" s="52"/>
      <c r="MLX42" s="52"/>
      <c r="MLY42" s="52"/>
      <c r="MLZ42" s="52"/>
      <c r="MMA42" s="52"/>
      <c r="MMB42" s="52"/>
      <c r="MMC42" s="52"/>
      <c r="MMD42" s="52"/>
      <c r="MME42" s="52"/>
      <c r="MMF42" s="52"/>
      <c r="MMG42" s="52"/>
      <c r="MMH42" s="52"/>
      <c r="MMI42" s="52"/>
      <c r="MMJ42" s="52"/>
      <c r="MMK42" s="52"/>
      <c r="MML42" s="52"/>
      <c r="MMM42" s="52"/>
      <c r="MMN42" s="52"/>
      <c r="MMO42" s="52"/>
      <c r="MMP42" s="52"/>
      <c r="MMQ42" s="52"/>
      <c r="MMR42" s="52"/>
      <c r="MMS42" s="52"/>
      <c r="MMT42" s="52"/>
      <c r="MMU42" s="52"/>
      <c r="MMV42" s="52"/>
      <c r="MMW42" s="52"/>
      <c r="MMX42" s="52"/>
      <c r="MMY42" s="52"/>
      <c r="MMZ42" s="52"/>
      <c r="MNA42" s="52"/>
      <c r="MNB42" s="52"/>
      <c r="MNC42" s="52"/>
      <c r="MND42" s="52"/>
      <c r="MNE42" s="52"/>
      <c r="MNF42" s="52"/>
      <c r="MNG42" s="52"/>
      <c r="MNH42" s="52"/>
      <c r="MNI42" s="52"/>
      <c r="MNJ42" s="52"/>
      <c r="MNK42" s="52"/>
      <c r="MNL42" s="52"/>
      <c r="MNM42" s="52"/>
      <c r="MNN42" s="52"/>
      <c r="MNO42" s="52"/>
      <c r="MNP42" s="52"/>
      <c r="MNQ42" s="52"/>
      <c r="MNR42" s="52"/>
      <c r="MNS42" s="52"/>
      <c r="MNT42" s="52"/>
      <c r="MNU42" s="52"/>
      <c r="MNV42" s="52"/>
      <c r="MNW42" s="52"/>
      <c r="MNX42" s="52"/>
      <c r="MNY42" s="52"/>
      <c r="MNZ42" s="52"/>
      <c r="MOA42" s="52"/>
      <c r="MOB42" s="52"/>
      <c r="MOC42" s="52"/>
      <c r="MOD42" s="52"/>
      <c r="MOE42" s="52"/>
      <c r="MOF42" s="52"/>
      <c r="MOG42" s="52"/>
      <c r="MOH42" s="52"/>
      <c r="MOI42" s="52"/>
      <c r="MOJ42" s="52"/>
      <c r="MOK42" s="52"/>
      <c r="MOL42" s="52"/>
      <c r="MOM42" s="52"/>
      <c r="MON42" s="52"/>
      <c r="MOO42" s="52"/>
      <c r="MOP42" s="52"/>
      <c r="MOQ42" s="52"/>
      <c r="MOR42" s="52"/>
      <c r="MOS42" s="52"/>
      <c r="MOT42" s="52"/>
      <c r="MOU42" s="52"/>
      <c r="MOV42" s="52"/>
      <c r="MOW42" s="52"/>
      <c r="MOX42" s="52"/>
      <c r="MOY42" s="52"/>
      <c r="MOZ42" s="52"/>
      <c r="MPA42" s="52"/>
      <c r="MPB42" s="52"/>
      <c r="MPC42" s="52"/>
      <c r="MPD42" s="52"/>
      <c r="MPE42" s="52"/>
      <c r="MPF42" s="52"/>
      <c r="MPG42" s="52"/>
      <c r="MPH42" s="52"/>
      <c r="MPI42" s="52"/>
      <c r="MPJ42" s="52"/>
      <c r="MPK42" s="52"/>
      <c r="MPL42" s="52"/>
      <c r="MPM42" s="52"/>
      <c r="MPN42" s="52"/>
      <c r="MPO42" s="52"/>
      <c r="MPP42" s="52"/>
      <c r="MPQ42" s="52"/>
      <c r="MPR42" s="52"/>
      <c r="MPS42" s="52"/>
      <c r="MPT42" s="52"/>
      <c r="MPU42" s="52"/>
      <c r="MPV42" s="52"/>
      <c r="MPW42" s="52"/>
      <c r="MPX42" s="52"/>
      <c r="MPY42" s="52"/>
      <c r="MPZ42" s="52"/>
      <c r="MQA42" s="52"/>
      <c r="MQB42" s="52"/>
      <c r="MQC42" s="52"/>
      <c r="MQD42" s="52"/>
      <c r="MQE42" s="52"/>
      <c r="MQF42" s="52"/>
      <c r="MQG42" s="52"/>
      <c r="MQH42" s="52"/>
      <c r="MQI42" s="52"/>
      <c r="MQJ42" s="52"/>
      <c r="MQK42" s="52"/>
      <c r="MQL42" s="52"/>
      <c r="MQM42" s="52"/>
      <c r="MQN42" s="52"/>
      <c r="MQO42" s="52"/>
      <c r="MQP42" s="52"/>
      <c r="MQQ42" s="52"/>
      <c r="MQR42" s="52"/>
      <c r="MQS42" s="52"/>
      <c r="MQT42" s="52"/>
      <c r="MQU42" s="52"/>
      <c r="MQV42" s="52"/>
      <c r="MQW42" s="52"/>
      <c r="MQX42" s="52"/>
      <c r="MQY42" s="52"/>
      <c r="MQZ42" s="52"/>
      <c r="MRA42" s="52"/>
      <c r="MRB42" s="52"/>
      <c r="MRC42" s="52"/>
      <c r="MRD42" s="52"/>
      <c r="MRE42" s="52"/>
      <c r="MRF42" s="52"/>
      <c r="MRG42" s="52"/>
      <c r="MRH42" s="52"/>
      <c r="MRI42" s="52"/>
      <c r="MRJ42" s="52"/>
      <c r="MRK42" s="52"/>
      <c r="MRL42" s="52"/>
      <c r="MRM42" s="52"/>
      <c r="MRN42" s="52"/>
      <c r="MRO42" s="52"/>
      <c r="MRP42" s="52"/>
      <c r="MRQ42" s="52"/>
      <c r="MRR42" s="52"/>
      <c r="MRS42" s="52"/>
      <c r="MRT42" s="52"/>
      <c r="MRU42" s="52"/>
      <c r="MRV42" s="52"/>
      <c r="MRW42" s="52"/>
      <c r="MRX42" s="52"/>
      <c r="MRY42" s="52"/>
      <c r="MRZ42" s="52"/>
      <c r="MSA42" s="52"/>
      <c r="MSB42" s="52"/>
      <c r="MSC42" s="52"/>
      <c r="MSD42" s="52"/>
      <c r="MSE42" s="52"/>
      <c r="MSF42" s="52"/>
      <c r="MSG42" s="52"/>
      <c r="MSH42" s="52"/>
      <c r="MSI42" s="52"/>
      <c r="MSJ42" s="52"/>
      <c r="MSK42" s="52"/>
      <c r="MSL42" s="52"/>
      <c r="MSM42" s="52"/>
      <c r="MSN42" s="52"/>
      <c r="MSO42" s="52"/>
      <c r="MSP42" s="52"/>
      <c r="MSQ42" s="52"/>
      <c r="MSR42" s="52"/>
      <c r="MSS42" s="52"/>
      <c r="MST42" s="52"/>
      <c r="MSU42" s="52"/>
      <c r="MSV42" s="52"/>
      <c r="MSW42" s="52"/>
      <c r="MSX42" s="52"/>
      <c r="MSY42" s="52"/>
      <c r="MSZ42" s="52"/>
      <c r="MTA42" s="52"/>
      <c r="MTB42" s="52"/>
      <c r="MTC42" s="52"/>
      <c r="MTD42" s="52"/>
      <c r="MTE42" s="52"/>
      <c r="MTF42" s="52"/>
      <c r="MTG42" s="52"/>
      <c r="MTH42" s="52"/>
      <c r="MTI42" s="52"/>
      <c r="MTJ42" s="52"/>
      <c r="MTK42" s="52"/>
      <c r="MTL42" s="52"/>
      <c r="MTM42" s="52"/>
      <c r="MTN42" s="52"/>
      <c r="MTO42" s="52"/>
      <c r="MTP42" s="52"/>
      <c r="MTQ42" s="52"/>
      <c r="MTR42" s="52"/>
      <c r="MTS42" s="52"/>
      <c r="MTT42" s="52"/>
      <c r="MTU42" s="52"/>
      <c r="MTV42" s="52"/>
      <c r="MTW42" s="52"/>
      <c r="MTX42" s="52"/>
      <c r="MTY42" s="52"/>
      <c r="MTZ42" s="52"/>
      <c r="MUA42" s="52"/>
      <c r="MUB42" s="52"/>
      <c r="MUC42" s="52"/>
      <c r="MUD42" s="52"/>
      <c r="MUE42" s="52"/>
      <c r="MUF42" s="52"/>
      <c r="MUG42" s="52"/>
      <c r="MUH42" s="52"/>
      <c r="MUI42" s="52"/>
      <c r="MUJ42" s="52"/>
      <c r="MUK42" s="52"/>
      <c r="MUL42" s="52"/>
      <c r="MUM42" s="52"/>
      <c r="MUN42" s="52"/>
      <c r="MUO42" s="52"/>
      <c r="MUP42" s="52"/>
      <c r="MUQ42" s="52"/>
      <c r="MUR42" s="52"/>
      <c r="MUS42" s="52"/>
      <c r="MUT42" s="52"/>
      <c r="MUU42" s="52"/>
      <c r="MUV42" s="52"/>
      <c r="MUW42" s="52"/>
      <c r="MUX42" s="52"/>
      <c r="MUY42" s="52"/>
      <c r="MUZ42" s="52"/>
      <c r="MVA42" s="52"/>
      <c r="MVB42" s="52"/>
      <c r="MVC42" s="52"/>
      <c r="MVD42" s="52"/>
      <c r="MVE42" s="52"/>
      <c r="MVF42" s="52"/>
      <c r="MVG42" s="52"/>
      <c r="MVH42" s="52"/>
      <c r="MVI42" s="52"/>
      <c r="MVJ42" s="52"/>
      <c r="MVK42" s="52"/>
      <c r="MVL42" s="52"/>
      <c r="MVM42" s="52"/>
      <c r="MVN42" s="52"/>
      <c r="MVO42" s="52"/>
      <c r="MVP42" s="52"/>
      <c r="MVQ42" s="52"/>
      <c r="MVR42" s="52"/>
      <c r="MVS42" s="52"/>
      <c r="MVT42" s="52"/>
      <c r="MVU42" s="52"/>
      <c r="MVV42" s="52"/>
      <c r="MVW42" s="52"/>
      <c r="MVX42" s="52"/>
      <c r="MVY42" s="52"/>
      <c r="MVZ42" s="52"/>
      <c r="MWA42" s="52"/>
      <c r="MWB42" s="52"/>
      <c r="MWC42" s="52"/>
      <c r="MWD42" s="52"/>
      <c r="MWE42" s="52"/>
      <c r="MWF42" s="52"/>
      <c r="MWG42" s="52"/>
      <c r="MWH42" s="52"/>
      <c r="MWI42" s="52"/>
      <c r="MWJ42" s="52"/>
      <c r="MWK42" s="52"/>
      <c r="MWL42" s="52"/>
      <c r="MWM42" s="52"/>
      <c r="MWN42" s="52"/>
      <c r="MWO42" s="52"/>
      <c r="MWP42" s="52"/>
      <c r="MWQ42" s="52"/>
      <c r="MWR42" s="52"/>
      <c r="MWS42" s="52"/>
      <c r="MWT42" s="52"/>
      <c r="MWU42" s="52"/>
      <c r="MWV42" s="52"/>
      <c r="MWW42" s="52"/>
      <c r="MWX42" s="52"/>
      <c r="MWY42" s="52"/>
      <c r="MWZ42" s="52"/>
      <c r="MXA42" s="52"/>
      <c r="MXB42" s="52"/>
      <c r="MXC42" s="52"/>
      <c r="MXD42" s="52"/>
      <c r="MXE42" s="52"/>
      <c r="MXF42" s="52"/>
      <c r="MXG42" s="52"/>
      <c r="MXH42" s="52"/>
      <c r="MXI42" s="52"/>
      <c r="MXJ42" s="52"/>
      <c r="MXK42" s="52"/>
      <c r="MXL42" s="52"/>
      <c r="MXM42" s="52"/>
      <c r="MXN42" s="52"/>
      <c r="MXO42" s="52"/>
      <c r="MXP42" s="52"/>
      <c r="MXQ42" s="52"/>
      <c r="MXR42" s="52"/>
      <c r="MXS42" s="52"/>
      <c r="MXT42" s="52"/>
      <c r="MXU42" s="52"/>
      <c r="MXV42" s="52"/>
      <c r="MXW42" s="52"/>
      <c r="MXX42" s="52"/>
      <c r="MXY42" s="52"/>
      <c r="MXZ42" s="52"/>
      <c r="MYA42" s="52"/>
      <c r="MYB42" s="52"/>
      <c r="MYC42" s="52"/>
      <c r="MYD42" s="52"/>
      <c r="MYE42" s="52"/>
      <c r="MYF42" s="52"/>
      <c r="MYG42" s="52"/>
      <c r="MYH42" s="52"/>
      <c r="MYI42" s="52"/>
      <c r="MYJ42" s="52"/>
      <c r="MYK42" s="52"/>
      <c r="MYL42" s="52"/>
      <c r="MYM42" s="52"/>
      <c r="MYN42" s="52"/>
      <c r="MYO42" s="52"/>
      <c r="MYP42" s="52"/>
      <c r="MYQ42" s="52"/>
      <c r="MYR42" s="52"/>
      <c r="MYS42" s="52"/>
      <c r="MYT42" s="52"/>
      <c r="MYU42" s="52"/>
      <c r="MYV42" s="52"/>
      <c r="MYW42" s="52"/>
      <c r="MYX42" s="52"/>
      <c r="MYY42" s="52"/>
      <c r="MYZ42" s="52"/>
      <c r="MZA42" s="52"/>
      <c r="MZB42" s="52"/>
      <c r="MZC42" s="52"/>
      <c r="MZD42" s="52"/>
      <c r="MZE42" s="52"/>
      <c r="MZF42" s="52"/>
      <c r="MZG42" s="52"/>
      <c r="MZH42" s="52"/>
      <c r="MZI42" s="52"/>
      <c r="MZJ42" s="52"/>
      <c r="MZK42" s="52"/>
      <c r="MZL42" s="52"/>
      <c r="MZM42" s="52"/>
      <c r="MZN42" s="52"/>
      <c r="MZO42" s="52"/>
      <c r="MZP42" s="52"/>
      <c r="MZQ42" s="52"/>
      <c r="MZR42" s="52"/>
      <c r="MZS42" s="52"/>
      <c r="MZT42" s="52"/>
      <c r="MZU42" s="52"/>
      <c r="MZV42" s="52"/>
      <c r="MZW42" s="52"/>
      <c r="MZX42" s="52"/>
      <c r="MZY42" s="52"/>
      <c r="MZZ42" s="52"/>
      <c r="NAA42" s="52"/>
      <c r="NAB42" s="52"/>
      <c r="NAC42" s="52"/>
      <c r="NAD42" s="52"/>
      <c r="NAE42" s="52"/>
      <c r="NAF42" s="52"/>
      <c r="NAG42" s="52"/>
      <c r="NAH42" s="52"/>
      <c r="NAI42" s="52"/>
      <c r="NAJ42" s="52"/>
      <c r="NAK42" s="52"/>
      <c r="NAL42" s="52"/>
      <c r="NAM42" s="52"/>
      <c r="NAN42" s="52"/>
      <c r="NAO42" s="52"/>
      <c r="NAP42" s="52"/>
      <c r="NAQ42" s="52"/>
      <c r="NAR42" s="52"/>
      <c r="NAS42" s="52"/>
      <c r="NAT42" s="52"/>
      <c r="NAU42" s="52"/>
      <c r="NAV42" s="52"/>
      <c r="NAW42" s="52"/>
      <c r="NAX42" s="52"/>
      <c r="NAY42" s="52"/>
      <c r="NAZ42" s="52"/>
      <c r="NBA42" s="52"/>
      <c r="NBB42" s="52"/>
      <c r="NBC42" s="52"/>
      <c r="NBD42" s="52"/>
      <c r="NBE42" s="52"/>
      <c r="NBF42" s="52"/>
      <c r="NBG42" s="52"/>
      <c r="NBH42" s="52"/>
      <c r="NBI42" s="52"/>
      <c r="NBJ42" s="52"/>
      <c r="NBK42" s="52"/>
      <c r="NBL42" s="52"/>
      <c r="NBM42" s="52"/>
      <c r="NBN42" s="52"/>
      <c r="NBO42" s="52"/>
      <c r="NBP42" s="52"/>
      <c r="NBQ42" s="52"/>
      <c r="NBR42" s="52"/>
      <c r="NBS42" s="52"/>
      <c r="NBT42" s="52"/>
      <c r="NBU42" s="52"/>
      <c r="NBV42" s="52"/>
      <c r="NBW42" s="52"/>
      <c r="NBX42" s="52"/>
      <c r="NBY42" s="52"/>
      <c r="NBZ42" s="52"/>
      <c r="NCA42" s="52"/>
      <c r="NCB42" s="52"/>
      <c r="NCC42" s="52"/>
      <c r="NCD42" s="52"/>
      <c r="NCE42" s="52"/>
      <c r="NCF42" s="52"/>
      <c r="NCG42" s="52"/>
      <c r="NCH42" s="52"/>
      <c r="NCI42" s="52"/>
      <c r="NCJ42" s="52"/>
      <c r="NCK42" s="52"/>
      <c r="NCL42" s="52"/>
      <c r="NCM42" s="52"/>
      <c r="NCN42" s="52"/>
      <c r="NCO42" s="52"/>
      <c r="NCP42" s="52"/>
      <c r="NCQ42" s="52"/>
      <c r="NCR42" s="52"/>
      <c r="NCS42" s="52"/>
      <c r="NCT42" s="52"/>
      <c r="NCU42" s="52"/>
      <c r="NCV42" s="52"/>
      <c r="NCW42" s="52"/>
      <c r="NCX42" s="52"/>
      <c r="NCY42" s="52"/>
      <c r="NCZ42" s="52"/>
      <c r="NDA42" s="52"/>
      <c r="NDB42" s="52"/>
      <c r="NDC42" s="52"/>
      <c r="NDD42" s="52"/>
      <c r="NDE42" s="52"/>
      <c r="NDF42" s="52"/>
      <c r="NDG42" s="52"/>
      <c r="NDH42" s="52"/>
      <c r="NDI42" s="52"/>
      <c r="NDJ42" s="52"/>
      <c r="NDK42" s="52"/>
      <c r="NDL42" s="52"/>
      <c r="NDM42" s="52"/>
      <c r="NDN42" s="52"/>
      <c r="NDO42" s="52"/>
      <c r="NDP42" s="52"/>
      <c r="NDQ42" s="52"/>
      <c r="NDR42" s="52"/>
      <c r="NDS42" s="52"/>
      <c r="NDT42" s="52"/>
      <c r="NDU42" s="52"/>
      <c r="NDV42" s="52"/>
      <c r="NDW42" s="52"/>
      <c r="NDX42" s="52"/>
      <c r="NDY42" s="52"/>
      <c r="NDZ42" s="52"/>
      <c r="NEA42" s="52"/>
      <c r="NEB42" s="52"/>
      <c r="NEC42" s="52"/>
      <c r="NED42" s="52"/>
      <c r="NEE42" s="52"/>
      <c r="NEF42" s="52"/>
      <c r="NEG42" s="52"/>
      <c r="NEH42" s="52"/>
      <c r="NEI42" s="52"/>
      <c r="NEJ42" s="52"/>
      <c r="NEK42" s="52"/>
      <c r="NEL42" s="52"/>
      <c r="NEM42" s="52"/>
      <c r="NEN42" s="52"/>
      <c r="NEO42" s="52"/>
      <c r="NEP42" s="52"/>
      <c r="NEQ42" s="52"/>
      <c r="NER42" s="52"/>
      <c r="NES42" s="52"/>
      <c r="NET42" s="52"/>
      <c r="NEU42" s="52"/>
      <c r="NEV42" s="52"/>
      <c r="NEW42" s="52"/>
      <c r="NEX42" s="52"/>
      <c r="NEY42" s="52"/>
      <c r="NEZ42" s="52"/>
      <c r="NFA42" s="52"/>
      <c r="NFB42" s="52"/>
      <c r="NFC42" s="52"/>
      <c r="NFD42" s="52"/>
      <c r="NFE42" s="52"/>
      <c r="NFF42" s="52"/>
      <c r="NFG42" s="52"/>
      <c r="NFH42" s="52"/>
      <c r="NFI42" s="52"/>
      <c r="NFJ42" s="52"/>
      <c r="NFK42" s="52"/>
      <c r="NFL42" s="52"/>
      <c r="NFM42" s="52"/>
      <c r="NFN42" s="52"/>
      <c r="NFO42" s="52"/>
      <c r="NFP42" s="52"/>
      <c r="NFQ42" s="52"/>
      <c r="NFR42" s="52"/>
      <c r="NFS42" s="52"/>
      <c r="NFT42" s="52"/>
      <c r="NFU42" s="52"/>
      <c r="NFV42" s="52"/>
      <c r="NFW42" s="52"/>
      <c r="NFX42" s="52"/>
      <c r="NFY42" s="52"/>
      <c r="NFZ42" s="52"/>
      <c r="NGA42" s="52"/>
      <c r="NGB42" s="52"/>
      <c r="NGC42" s="52"/>
      <c r="NGD42" s="52"/>
      <c r="NGE42" s="52"/>
      <c r="NGF42" s="52"/>
      <c r="NGG42" s="52"/>
      <c r="NGH42" s="52"/>
      <c r="NGI42" s="52"/>
      <c r="NGJ42" s="52"/>
      <c r="NGK42" s="52"/>
      <c r="NGL42" s="52"/>
      <c r="NGM42" s="52"/>
      <c r="NGN42" s="52"/>
      <c r="NGO42" s="52"/>
      <c r="NGP42" s="52"/>
      <c r="NGQ42" s="52"/>
      <c r="NGR42" s="52"/>
      <c r="NGS42" s="52"/>
      <c r="NGT42" s="52"/>
      <c r="NGU42" s="52"/>
      <c r="NGV42" s="52"/>
      <c r="NGW42" s="52"/>
      <c r="NGX42" s="52"/>
      <c r="NGY42" s="52"/>
      <c r="NGZ42" s="52"/>
      <c r="NHA42" s="52"/>
      <c r="NHB42" s="52"/>
      <c r="NHC42" s="52"/>
      <c r="NHD42" s="52"/>
      <c r="NHE42" s="52"/>
      <c r="NHF42" s="52"/>
      <c r="NHG42" s="52"/>
      <c r="NHH42" s="52"/>
      <c r="NHI42" s="52"/>
      <c r="NHJ42" s="52"/>
      <c r="NHK42" s="52"/>
      <c r="NHL42" s="52"/>
      <c r="NHM42" s="52"/>
      <c r="NHN42" s="52"/>
      <c r="NHO42" s="52"/>
      <c r="NHP42" s="52"/>
      <c r="NHQ42" s="52"/>
      <c r="NHR42" s="52"/>
      <c r="NHS42" s="52"/>
      <c r="NHT42" s="52"/>
      <c r="NHU42" s="52"/>
      <c r="NHV42" s="52"/>
      <c r="NHW42" s="52"/>
      <c r="NHX42" s="52"/>
      <c r="NHY42" s="52"/>
      <c r="NHZ42" s="52"/>
      <c r="NIA42" s="52"/>
      <c r="NIB42" s="52"/>
      <c r="NIC42" s="52"/>
      <c r="NID42" s="52"/>
      <c r="NIE42" s="52"/>
      <c r="NIF42" s="52"/>
      <c r="NIG42" s="52"/>
      <c r="NIH42" s="52"/>
      <c r="NII42" s="52"/>
      <c r="NIJ42" s="52"/>
      <c r="NIK42" s="52"/>
      <c r="NIL42" s="52"/>
      <c r="NIM42" s="52"/>
      <c r="NIN42" s="52"/>
      <c r="NIO42" s="52"/>
      <c r="NIP42" s="52"/>
      <c r="NIQ42" s="52"/>
      <c r="NIR42" s="52"/>
      <c r="NIS42" s="52"/>
      <c r="NIT42" s="52"/>
      <c r="NIU42" s="52"/>
      <c r="NIV42" s="52"/>
      <c r="NIW42" s="52"/>
      <c r="NIX42" s="52"/>
      <c r="NIY42" s="52"/>
      <c r="NIZ42" s="52"/>
      <c r="NJA42" s="52"/>
      <c r="NJB42" s="52"/>
      <c r="NJC42" s="52"/>
      <c r="NJD42" s="52"/>
      <c r="NJE42" s="52"/>
      <c r="NJF42" s="52"/>
      <c r="NJG42" s="52"/>
      <c r="NJH42" s="52"/>
      <c r="NJI42" s="52"/>
      <c r="NJJ42" s="52"/>
      <c r="NJK42" s="52"/>
      <c r="NJL42" s="52"/>
      <c r="NJM42" s="52"/>
      <c r="NJN42" s="52"/>
      <c r="NJO42" s="52"/>
      <c r="NJP42" s="52"/>
      <c r="NJQ42" s="52"/>
      <c r="NJR42" s="52"/>
      <c r="NJS42" s="52"/>
      <c r="NJT42" s="52"/>
      <c r="NJU42" s="52"/>
      <c r="NJV42" s="52"/>
      <c r="NJW42" s="52"/>
      <c r="NJX42" s="52"/>
      <c r="NJY42" s="52"/>
      <c r="NJZ42" s="52"/>
      <c r="NKA42" s="52"/>
      <c r="NKB42" s="52"/>
      <c r="NKC42" s="52"/>
      <c r="NKD42" s="52"/>
      <c r="NKE42" s="52"/>
      <c r="NKF42" s="52"/>
      <c r="NKG42" s="52"/>
      <c r="NKH42" s="52"/>
      <c r="NKI42" s="52"/>
      <c r="NKJ42" s="52"/>
      <c r="NKK42" s="52"/>
      <c r="NKL42" s="52"/>
      <c r="NKM42" s="52"/>
      <c r="NKN42" s="52"/>
      <c r="NKO42" s="52"/>
      <c r="NKP42" s="52"/>
      <c r="NKQ42" s="52"/>
      <c r="NKR42" s="52"/>
      <c r="NKS42" s="52"/>
      <c r="NKT42" s="52"/>
      <c r="NKU42" s="52"/>
      <c r="NKV42" s="52"/>
      <c r="NKW42" s="52"/>
      <c r="NKX42" s="52"/>
      <c r="NKY42" s="52"/>
      <c r="NKZ42" s="52"/>
      <c r="NLA42" s="52"/>
      <c r="NLB42" s="52"/>
      <c r="NLC42" s="52"/>
      <c r="NLD42" s="52"/>
      <c r="NLE42" s="52"/>
      <c r="NLF42" s="52"/>
      <c r="NLG42" s="52"/>
      <c r="NLH42" s="52"/>
      <c r="NLI42" s="52"/>
      <c r="NLJ42" s="52"/>
      <c r="NLK42" s="52"/>
      <c r="NLL42" s="52"/>
      <c r="NLM42" s="52"/>
      <c r="NLN42" s="52"/>
      <c r="NLO42" s="52"/>
      <c r="NLP42" s="52"/>
      <c r="NLQ42" s="52"/>
      <c r="NLR42" s="52"/>
      <c r="NLS42" s="52"/>
      <c r="NLT42" s="52"/>
      <c r="NLU42" s="52"/>
      <c r="NLV42" s="52"/>
      <c r="NLW42" s="52"/>
      <c r="NLX42" s="52"/>
      <c r="NLY42" s="52"/>
      <c r="NLZ42" s="52"/>
      <c r="NMA42" s="52"/>
      <c r="NMB42" s="52"/>
      <c r="NMC42" s="52"/>
      <c r="NMD42" s="52"/>
      <c r="NME42" s="52"/>
      <c r="NMF42" s="52"/>
      <c r="NMG42" s="52"/>
      <c r="NMH42" s="52"/>
      <c r="NMI42" s="52"/>
      <c r="NMJ42" s="52"/>
      <c r="NMK42" s="52"/>
      <c r="NML42" s="52"/>
      <c r="NMM42" s="52"/>
      <c r="NMN42" s="52"/>
      <c r="NMO42" s="52"/>
      <c r="NMP42" s="52"/>
      <c r="NMQ42" s="52"/>
      <c r="NMR42" s="52"/>
      <c r="NMS42" s="52"/>
      <c r="NMT42" s="52"/>
      <c r="NMU42" s="52"/>
      <c r="NMV42" s="52"/>
      <c r="NMW42" s="52"/>
      <c r="NMX42" s="52"/>
      <c r="NMY42" s="52"/>
      <c r="NMZ42" s="52"/>
      <c r="NNA42" s="52"/>
      <c r="NNB42" s="52"/>
      <c r="NNC42" s="52"/>
      <c r="NND42" s="52"/>
      <c r="NNE42" s="52"/>
      <c r="NNF42" s="52"/>
      <c r="NNG42" s="52"/>
      <c r="NNH42" s="52"/>
      <c r="NNI42" s="52"/>
      <c r="NNJ42" s="52"/>
      <c r="NNK42" s="52"/>
      <c r="NNL42" s="52"/>
      <c r="NNM42" s="52"/>
      <c r="NNN42" s="52"/>
      <c r="NNO42" s="52"/>
      <c r="NNP42" s="52"/>
      <c r="NNQ42" s="52"/>
      <c r="NNR42" s="52"/>
      <c r="NNS42" s="52"/>
      <c r="NNT42" s="52"/>
      <c r="NNU42" s="52"/>
      <c r="NNV42" s="52"/>
      <c r="NNW42" s="52"/>
      <c r="NNX42" s="52"/>
      <c r="NNY42" s="52"/>
      <c r="NNZ42" s="52"/>
      <c r="NOA42" s="52"/>
      <c r="NOB42" s="52"/>
      <c r="NOC42" s="52"/>
      <c r="NOD42" s="52"/>
      <c r="NOE42" s="52"/>
      <c r="NOF42" s="52"/>
      <c r="NOG42" s="52"/>
      <c r="NOH42" s="52"/>
      <c r="NOI42" s="52"/>
      <c r="NOJ42" s="52"/>
      <c r="NOK42" s="52"/>
      <c r="NOL42" s="52"/>
      <c r="NOM42" s="52"/>
      <c r="NON42" s="52"/>
      <c r="NOO42" s="52"/>
      <c r="NOP42" s="52"/>
      <c r="NOQ42" s="52"/>
      <c r="NOR42" s="52"/>
      <c r="NOS42" s="52"/>
      <c r="NOT42" s="52"/>
      <c r="NOU42" s="52"/>
      <c r="NOV42" s="52"/>
      <c r="NOW42" s="52"/>
      <c r="NOX42" s="52"/>
      <c r="NOY42" s="52"/>
      <c r="NOZ42" s="52"/>
      <c r="NPA42" s="52"/>
      <c r="NPB42" s="52"/>
      <c r="NPC42" s="52"/>
      <c r="NPD42" s="52"/>
      <c r="NPE42" s="52"/>
      <c r="NPF42" s="52"/>
      <c r="NPG42" s="52"/>
      <c r="NPH42" s="52"/>
      <c r="NPI42" s="52"/>
      <c r="NPJ42" s="52"/>
      <c r="NPK42" s="52"/>
      <c r="NPL42" s="52"/>
      <c r="NPM42" s="52"/>
      <c r="NPN42" s="52"/>
      <c r="NPO42" s="52"/>
      <c r="NPP42" s="52"/>
      <c r="NPQ42" s="52"/>
      <c r="NPR42" s="52"/>
      <c r="NPS42" s="52"/>
      <c r="NPT42" s="52"/>
      <c r="NPU42" s="52"/>
      <c r="NPV42" s="52"/>
      <c r="NPW42" s="52"/>
      <c r="NPX42" s="52"/>
      <c r="NPY42" s="52"/>
      <c r="NPZ42" s="52"/>
      <c r="NQA42" s="52"/>
      <c r="NQB42" s="52"/>
      <c r="NQC42" s="52"/>
      <c r="NQD42" s="52"/>
      <c r="NQE42" s="52"/>
      <c r="NQF42" s="52"/>
      <c r="NQG42" s="52"/>
      <c r="NQH42" s="52"/>
      <c r="NQI42" s="52"/>
      <c r="NQJ42" s="52"/>
      <c r="NQK42" s="52"/>
      <c r="NQL42" s="52"/>
      <c r="NQM42" s="52"/>
      <c r="NQN42" s="52"/>
      <c r="NQO42" s="52"/>
      <c r="NQP42" s="52"/>
      <c r="NQQ42" s="52"/>
      <c r="NQR42" s="52"/>
      <c r="NQS42" s="52"/>
      <c r="NQT42" s="52"/>
      <c r="NQU42" s="52"/>
      <c r="NQV42" s="52"/>
      <c r="NQW42" s="52"/>
      <c r="NQX42" s="52"/>
      <c r="NQY42" s="52"/>
      <c r="NQZ42" s="52"/>
      <c r="NRA42" s="52"/>
      <c r="NRB42" s="52"/>
      <c r="NRC42" s="52"/>
      <c r="NRD42" s="52"/>
      <c r="NRE42" s="52"/>
      <c r="NRF42" s="52"/>
      <c r="NRG42" s="52"/>
      <c r="NRH42" s="52"/>
      <c r="NRI42" s="52"/>
      <c r="NRJ42" s="52"/>
      <c r="NRK42" s="52"/>
      <c r="NRL42" s="52"/>
      <c r="NRM42" s="52"/>
      <c r="NRN42" s="52"/>
      <c r="NRO42" s="52"/>
      <c r="NRP42" s="52"/>
      <c r="NRQ42" s="52"/>
      <c r="NRR42" s="52"/>
      <c r="NRS42" s="52"/>
      <c r="NRT42" s="52"/>
      <c r="NRU42" s="52"/>
      <c r="NRV42" s="52"/>
      <c r="NRW42" s="52"/>
      <c r="NRX42" s="52"/>
      <c r="NRY42" s="52"/>
      <c r="NRZ42" s="52"/>
      <c r="NSA42" s="52"/>
      <c r="NSB42" s="52"/>
      <c r="NSC42" s="52"/>
      <c r="NSD42" s="52"/>
      <c r="NSE42" s="52"/>
      <c r="NSF42" s="52"/>
      <c r="NSG42" s="52"/>
      <c r="NSH42" s="52"/>
      <c r="NSI42" s="52"/>
      <c r="NSJ42" s="52"/>
      <c r="NSK42" s="52"/>
      <c r="NSL42" s="52"/>
      <c r="NSM42" s="52"/>
      <c r="NSN42" s="52"/>
      <c r="NSO42" s="52"/>
      <c r="NSP42" s="52"/>
      <c r="NSQ42" s="52"/>
      <c r="NSR42" s="52"/>
      <c r="NSS42" s="52"/>
      <c r="NST42" s="52"/>
      <c r="NSU42" s="52"/>
      <c r="NSV42" s="52"/>
      <c r="NSW42" s="52"/>
      <c r="NSX42" s="52"/>
      <c r="NSY42" s="52"/>
      <c r="NSZ42" s="52"/>
      <c r="NTA42" s="52"/>
      <c r="NTB42" s="52"/>
      <c r="NTC42" s="52"/>
      <c r="NTD42" s="52"/>
      <c r="NTE42" s="52"/>
      <c r="NTF42" s="52"/>
      <c r="NTG42" s="52"/>
      <c r="NTH42" s="52"/>
      <c r="NTI42" s="52"/>
      <c r="NTJ42" s="52"/>
      <c r="NTK42" s="52"/>
      <c r="NTL42" s="52"/>
      <c r="NTM42" s="52"/>
      <c r="NTN42" s="52"/>
      <c r="NTO42" s="52"/>
      <c r="NTP42" s="52"/>
      <c r="NTQ42" s="52"/>
      <c r="NTR42" s="52"/>
      <c r="NTS42" s="52"/>
      <c r="NTT42" s="52"/>
      <c r="NTU42" s="52"/>
      <c r="NTV42" s="52"/>
      <c r="NTW42" s="52"/>
      <c r="NTX42" s="52"/>
      <c r="NTY42" s="52"/>
      <c r="NTZ42" s="52"/>
      <c r="NUA42" s="52"/>
      <c r="NUB42" s="52"/>
      <c r="NUC42" s="52"/>
      <c r="NUD42" s="52"/>
      <c r="NUE42" s="52"/>
      <c r="NUF42" s="52"/>
      <c r="NUG42" s="52"/>
      <c r="NUH42" s="52"/>
      <c r="NUI42" s="52"/>
      <c r="NUJ42" s="52"/>
      <c r="NUK42" s="52"/>
      <c r="NUL42" s="52"/>
      <c r="NUM42" s="52"/>
      <c r="NUN42" s="52"/>
      <c r="NUO42" s="52"/>
      <c r="NUP42" s="52"/>
      <c r="NUQ42" s="52"/>
      <c r="NUR42" s="52"/>
      <c r="NUS42" s="52"/>
      <c r="NUT42" s="52"/>
      <c r="NUU42" s="52"/>
      <c r="NUV42" s="52"/>
      <c r="NUW42" s="52"/>
      <c r="NUX42" s="52"/>
      <c r="NUY42" s="52"/>
      <c r="NUZ42" s="52"/>
      <c r="NVA42" s="52"/>
      <c r="NVB42" s="52"/>
      <c r="NVC42" s="52"/>
      <c r="NVD42" s="52"/>
      <c r="NVE42" s="52"/>
      <c r="NVF42" s="52"/>
      <c r="NVG42" s="52"/>
      <c r="NVH42" s="52"/>
      <c r="NVI42" s="52"/>
      <c r="NVJ42" s="52"/>
      <c r="NVK42" s="52"/>
      <c r="NVL42" s="52"/>
      <c r="NVM42" s="52"/>
      <c r="NVN42" s="52"/>
      <c r="NVO42" s="52"/>
      <c r="NVP42" s="52"/>
      <c r="NVQ42" s="52"/>
      <c r="NVR42" s="52"/>
      <c r="NVS42" s="52"/>
      <c r="NVT42" s="52"/>
      <c r="NVU42" s="52"/>
      <c r="NVV42" s="52"/>
      <c r="NVW42" s="52"/>
      <c r="NVX42" s="52"/>
      <c r="NVY42" s="52"/>
      <c r="NVZ42" s="52"/>
      <c r="NWA42" s="52"/>
      <c r="NWB42" s="52"/>
      <c r="NWC42" s="52"/>
      <c r="NWD42" s="52"/>
      <c r="NWE42" s="52"/>
      <c r="NWF42" s="52"/>
      <c r="NWG42" s="52"/>
      <c r="NWH42" s="52"/>
      <c r="NWI42" s="52"/>
      <c r="NWJ42" s="52"/>
      <c r="NWK42" s="52"/>
      <c r="NWL42" s="52"/>
      <c r="NWM42" s="52"/>
      <c r="NWN42" s="52"/>
      <c r="NWO42" s="52"/>
      <c r="NWP42" s="52"/>
      <c r="NWQ42" s="52"/>
      <c r="NWR42" s="52"/>
      <c r="NWS42" s="52"/>
      <c r="NWT42" s="52"/>
      <c r="NWU42" s="52"/>
      <c r="NWV42" s="52"/>
      <c r="NWW42" s="52"/>
      <c r="NWX42" s="52"/>
      <c r="NWY42" s="52"/>
      <c r="NWZ42" s="52"/>
      <c r="NXA42" s="52"/>
      <c r="NXB42" s="52"/>
      <c r="NXC42" s="52"/>
      <c r="NXD42" s="52"/>
      <c r="NXE42" s="52"/>
      <c r="NXF42" s="52"/>
      <c r="NXG42" s="52"/>
      <c r="NXH42" s="52"/>
      <c r="NXI42" s="52"/>
      <c r="NXJ42" s="52"/>
      <c r="NXK42" s="52"/>
      <c r="NXL42" s="52"/>
      <c r="NXM42" s="52"/>
      <c r="NXN42" s="52"/>
      <c r="NXO42" s="52"/>
      <c r="NXP42" s="52"/>
      <c r="NXQ42" s="52"/>
      <c r="NXR42" s="52"/>
      <c r="NXS42" s="52"/>
      <c r="NXT42" s="52"/>
      <c r="NXU42" s="52"/>
      <c r="NXV42" s="52"/>
      <c r="NXW42" s="52"/>
      <c r="NXX42" s="52"/>
      <c r="NXY42" s="52"/>
      <c r="NXZ42" s="52"/>
      <c r="NYA42" s="52"/>
      <c r="NYB42" s="52"/>
      <c r="NYC42" s="52"/>
      <c r="NYD42" s="52"/>
      <c r="NYE42" s="52"/>
      <c r="NYF42" s="52"/>
      <c r="NYG42" s="52"/>
      <c r="NYH42" s="52"/>
      <c r="NYI42" s="52"/>
      <c r="NYJ42" s="52"/>
      <c r="NYK42" s="52"/>
      <c r="NYL42" s="52"/>
      <c r="NYM42" s="52"/>
      <c r="NYN42" s="52"/>
      <c r="NYO42" s="52"/>
      <c r="NYP42" s="52"/>
      <c r="NYQ42" s="52"/>
      <c r="NYR42" s="52"/>
      <c r="NYS42" s="52"/>
      <c r="NYT42" s="52"/>
      <c r="NYU42" s="52"/>
      <c r="NYV42" s="52"/>
      <c r="NYW42" s="52"/>
      <c r="NYX42" s="52"/>
      <c r="NYY42" s="52"/>
      <c r="NYZ42" s="52"/>
      <c r="NZA42" s="52"/>
      <c r="NZB42" s="52"/>
      <c r="NZC42" s="52"/>
      <c r="NZD42" s="52"/>
      <c r="NZE42" s="52"/>
      <c r="NZF42" s="52"/>
      <c r="NZG42" s="52"/>
      <c r="NZH42" s="52"/>
      <c r="NZI42" s="52"/>
      <c r="NZJ42" s="52"/>
      <c r="NZK42" s="52"/>
      <c r="NZL42" s="52"/>
      <c r="NZM42" s="52"/>
      <c r="NZN42" s="52"/>
      <c r="NZO42" s="52"/>
      <c r="NZP42" s="52"/>
      <c r="NZQ42" s="52"/>
      <c r="NZR42" s="52"/>
      <c r="NZS42" s="52"/>
      <c r="NZT42" s="52"/>
      <c r="NZU42" s="52"/>
      <c r="NZV42" s="52"/>
      <c r="NZW42" s="52"/>
      <c r="NZX42" s="52"/>
      <c r="NZY42" s="52"/>
      <c r="NZZ42" s="52"/>
      <c r="OAA42" s="52"/>
      <c r="OAB42" s="52"/>
      <c r="OAC42" s="52"/>
      <c r="OAD42" s="52"/>
      <c r="OAE42" s="52"/>
      <c r="OAF42" s="52"/>
      <c r="OAG42" s="52"/>
      <c r="OAH42" s="52"/>
      <c r="OAI42" s="52"/>
      <c r="OAJ42" s="52"/>
      <c r="OAK42" s="52"/>
      <c r="OAL42" s="52"/>
      <c r="OAM42" s="52"/>
      <c r="OAN42" s="52"/>
      <c r="OAO42" s="52"/>
      <c r="OAP42" s="52"/>
      <c r="OAQ42" s="52"/>
      <c r="OAR42" s="52"/>
      <c r="OAS42" s="52"/>
      <c r="OAT42" s="52"/>
      <c r="OAU42" s="52"/>
      <c r="OAV42" s="52"/>
      <c r="OAW42" s="52"/>
      <c r="OAX42" s="52"/>
      <c r="OAY42" s="52"/>
      <c r="OAZ42" s="52"/>
      <c r="OBA42" s="52"/>
      <c r="OBB42" s="52"/>
      <c r="OBC42" s="52"/>
      <c r="OBD42" s="52"/>
      <c r="OBE42" s="52"/>
      <c r="OBF42" s="52"/>
      <c r="OBG42" s="52"/>
      <c r="OBH42" s="52"/>
      <c r="OBI42" s="52"/>
      <c r="OBJ42" s="52"/>
      <c r="OBK42" s="52"/>
      <c r="OBL42" s="52"/>
      <c r="OBM42" s="52"/>
      <c r="OBN42" s="52"/>
      <c r="OBO42" s="52"/>
      <c r="OBP42" s="52"/>
      <c r="OBQ42" s="52"/>
      <c r="OBR42" s="52"/>
      <c r="OBS42" s="52"/>
      <c r="OBT42" s="52"/>
      <c r="OBU42" s="52"/>
      <c r="OBV42" s="52"/>
      <c r="OBW42" s="52"/>
      <c r="OBX42" s="52"/>
      <c r="OBY42" s="52"/>
      <c r="OBZ42" s="52"/>
      <c r="OCA42" s="52"/>
      <c r="OCB42" s="52"/>
      <c r="OCC42" s="52"/>
      <c r="OCD42" s="52"/>
      <c r="OCE42" s="52"/>
      <c r="OCF42" s="52"/>
      <c r="OCG42" s="52"/>
      <c r="OCH42" s="52"/>
      <c r="OCI42" s="52"/>
      <c r="OCJ42" s="52"/>
      <c r="OCK42" s="52"/>
      <c r="OCL42" s="52"/>
      <c r="OCM42" s="52"/>
      <c r="OCN42" s="52"/>
      <c r="OCO42" s="52"/>
      <c r="OCP42" s="52"/>
      <c r="OCQ42" s="52"/>
      <c r="OCR42" s="52"/>
      <c r="OCS42" s="52"/>
      <c r="OCT42" s="52"/>
      <c r="OCU42" s="52"/>
      <c r="OCV42" s="52"/>
      <c r="OCW42" s="52"/>
      <c r="OCX42" s="52"/>
      <c r="OCY42" s="52"/>
      <c r="OCZ42" s="52"/>
      <c r="ODA42" s="52"/>
      <c r="ODB42" s="52"/>
      <c r="ODC42" s="52"/>
      <c r="ODD42" s="52"/>
      <c r="ODE42" s="52"/>
      <c r="ODF42" s="52"/>
      <c r="ODG42" s="52"/>
      <c r="ODH42" s="52"/>
      <c r="ODI42" s="52"/>
      <c r="ODJ42" s="52"/>
      <c r="ODK42" s="52"/>
      <c r="ODL42" s="52"/>
      <c r="ODM42" s="52"/>
      <c r="ODN42" s="52"/>
      <c r="ODO42" s="52"/>
      <c r="ODP42" s="52"/>
      <c r="ODQ42" s="52"/>
      <c r="ODR42" s="52"/>
      <c r="ODS42" s="52"/>
      <c r="ODT42" s="52"/>
      <c r="ODU42" s="52"/>
      <c r="ODV42" s="52"/>
      <c r="ODW42" s="52"/>
      <c r="ODX42" s="52"/>
      <c r="ODY42" s="52"/>
      <c r="ODZ42" s="52"/>
      <c r="OEA42" s="52"/>
      <c r="OEB42" s="52"/>
      <c r="OEC42" s="52"/>
      <c r="OED42" s="52"/>
      <c r="OEE42" s="52"/>
      <c r="OEF42" s="52"/>
      <c r="OEG42" s="52"/>
      <c r="OEH42" s="52"/>
      <c r="OEI42" s="52"/>
      <c r="OEJ42" s="52"/>
      <c r="OEK42" s="52"/>
      <c r="OEL42" s="52"/>
      <c r="OEM42" s="52"/>
      <c r="OEN42" s="52"/>
      <c r="OEO42" s="52"/>
      <c r="OEP42" s="52"/>
      <c r="OEQ42" s="52"/>
      <c r="OER42" s="52"/>
      <c r="OES42" s="52"/>
      <c r="OET42" s="52"/>
      <c r="OEU42" s="52"/>
      <c r="OEV42" s="52"/>
      <c r="OEW42" s="52"/>
      <c r="OEX42" s="52"/>
      <c r="OEY42" s="52"/>
      <c r="OEZ42" s="52"/>
      <c r="OFA42" s="52"/>
      <c r="OFB42" s="52"/>
      <c r="OFC42" s="52"/>
      <c r="OFD42" s="52"/>
      <c r="OFE42" s="52"/>
      <c r="OFF42" s="52"/>
      <c r="OFG42" s="52"/>
      <c r="OFH42" s="52"/>
      <c r="OFI42" s="52"/>
      <c r="OFJ42" s="52"/>
      <c r="OFK42" s="52"/>
      <c r="OFL42" s="52"/>
      <c r="OFM42" s="52"/>
      <c r="OFN42" s="52"/>
      <c r="OFO42" s="52"/>
      <c r="OFP42" s="52"/>
      <c r="OFQ42" s="52"/>
      <c r="OFR42" s="52"/>
      <c r="OFS42" s="52"/>
      <c r="OFT42" s="52"/>
      <c r="OFU42" s="52"/>
      <c r="OFV42" s="52"/>
      <c r="OFW42" s="52"/>
      <c r="OFX42" s="52"/>
      <c r="OFY42" s="52"/>
      <c r="OFZ42" s="52"/>
      <c r="OGA42" s="52"/>
      <c r="OGB42" s="52"/>
      <c r="OGC42" s="52"/>
      <c r="OGD42" s="52"/>
      <c r="OGE42" s="52"/>
      <c r="OGF42" s="52"/>
      <c r="OGG42" s="52"/>
      <c r="OGH42" s="52"/>
      <c r="OGI42" s="52"/>
      <c r="OGJ42" s="52"/>
      <c r="OGK42" s="52"/>
      <c r="OGL42" s="52"/>
      <c r="OGM42" s="52"/>
      <c r="OGN42" s="52"/>
      <c r="OGO42" s="52"/>
      <c r="OGP42" s="52"/>
      <c r="OGQ42" s="52"/>
      <c r="OGR42" s="52"/>
      <c r="OGS42" s="52"/>
      <c r="OGT42" s="52"/>
      <c r="OGU42" s="52"/>
      <c r="OGV42" s="52"/>
      <c r="OGW42" s="52"/>
      <c r="OGX42" s="52"/>
      <c r="OGY42" s="52"/>
      <c r="OGZ42" s="52"/>
      <c r="OHA42" s="52"/>
      <c r="OHB42" s="52"/>
      <c r="OHC42" s="52"/>
      <c r="OHD42" s="52"/>
      <c r="OHE42" s="52"/>
      <c r="OHF42" s="52"/>
      <c r="OHG42" s="52"/>
      <c r="OHH42" s="52"/>
      <c r="OHI42" s="52"/>
      <c r="OHJ42" s="52"/>
      <c r="OHK42" s="52"/>
      <c r="OHL42" s="52"/>
      <c r="OHM42" s="52"/>
      <c r="OHN42" s="52"/>
      <c r="OHO42" s="52"/>
      <c r="OHP42" s="52"/>
      <c r="OHQ42" s="52"/>
      <c r="OHR42" s="52"/>
      <c r="OHS42" s="52"/>
      <c r="OHT42" s="52"/>
      <c r="OHU42" s="52"/>
      <c r="OHV42" s="52"/>
      <c r="OHW42" s="52"/>
      <c r="OHX42" s="52"/>
      <c r="OHY42" s="52"/>
      <c r="OHZ42" s="52"/>
      <c r="OIA42" s="52"/>
      <c r="OIB42" s="52"/>
      <c r="OIC42" s="52"/>
      <c r="OID42" s="52"/>
      <c r="OIE42" s="52"/>
      <c r="OIF42" s="52"/>
      <c r="OIG42" s="52"/>
      <c r="OIH42" s="52"/>
      <c r="OII42" s="52"/>
      <c r="OIJ42" s="52"/>
      <c r="OIK42" s="52"/>
      <c r="OIL42" s="52"/>
      <c r="OIM42" s="52"/>
      <c r="OIN42" s="52"/>
      <c r="OIO42" s="52"/>
      <c r="OIP42" s="52"/>
      <c r="OIQ42" s="52"/>
      <c r="OIR42" s="52"/>
      <c r="OIS42" s="52"/>
      <c r="OIT42" s="52"/>
      <c r="OIU42" s="52"/>
      <c r="OIV42" s="52"/>
      <c r="OIW42" s="52"/>
      <c r="OIX42" s="52"/>
      <c r="OIY42" s="52"/>
      <c r="OIZ42" s="52"/>
      <c r="OJA42" s="52"/>
      <c r="OJB42" s="52"/>
      <c r="OJC42" s="52"/>
      <c r="OJD42" s="52"/>
      <c r="OJE42" s="52"/>
      <c r="OJF42" s="52"/>
      <c r="OJG42" s="52"/>
      <c r="OJH42" s="52"/>
      <c r="OJI42" s="52"/>
      <c r="OJJ42" s="52"/>
      <c r="OJK42" s="52"/>
      <c r="OJL42" s="52"/>
      <c r="OJM42" s="52"/>
      <c r="OJN42" s="52"/>
      <c r="OJO42" s="52"/>
      <c r="OJP42" s="52"/>
      <c r="OJQ42" s="52"/>
      <c r="OJR42" s="52"/>
      <c r="OJS42" s="52"/>
      <c r="OJT42" s="52"/>
      <c r="OJU42" s="52"/>
      <c r="OJV42" s="52"/>
      <c r="OJW42" s="52"/>
      <c r="OJX42" s="52"/>
      <c r="OJY42" s="52"/>
      <c r="OJZ42" s="52"/>
      <c r="OKA42" s="52"/>
      <c r="OKB42" s="52"/>
      <c r="OKC42" s="52"/>
      <c r="OKD42" s="52"/>
      <c r="OKE42" s="52"/>
      <c r="OKF42" s="52"/>
      <c r="OKG42" s="52"/>
      <c r="OKH42" s="52"/>
      <c r="OKI42" s="52"/>
      <c r="OKJ42" s="52"/>
      <c r="OKK42" s="52"/>
      <c r="OKL42" s="52"/>
      <c r="OKM42" s="52"/>
      <c r="OKN42" s="52"/>
      <c r="OKO42" s="52"/>
      <c r="OKP42" s="52"/>
      <c r="OKQ42" s="52"/>
      <c r="OKR42" s="52"/>
      <c r="OKS42" s="52"/>
      <c r="OKT42" s="52"/>
      <c r="OKU42" s="52"/>
      <c r="OKV42" s="52"/>
      <c r="OKW42" s="52"/>
      <c r="OKX42" s="52"/>
      <c r="OKY42" s="52"/>
      <c r="OKZ42" s="52"/>
      <c r="OLA42" s="52"/>
      <c r="OLB42" s="52"/>
      <c r="OLC42" s="52"/>
      <c r="OLD42" s="52"/>
      <c r="OLE42" s="52"/>
      <c r="OLF42" s="52"/>
      <c r="OLG42" s="52"/>
      <c r="OLH42" s="52"/>
      <c r="OLI42" s="52"/>
      <c r="OLJ42" s="52"/>
      <c r="OLK42" s="52"/>
      <c r="OLL42" s="52"/>
      <c r="OLM42" s="52"/>
      <c r="OLN42" s="52"/>
      <c r="OLO42" s="52"/>
      <c r="OLP42" s="52"/>
      <c r="OLQ42" s="52"/>
      <c r="OLR42" s="52"/>
      <c r="OLS42" s="52"/>
      <c r="OLT42" s="52"/>
      <c r="OLU42" s="52"/>
      <c r="OLV42" s="52"/>
      <c r="OLW42" s="52"/>
      <c r="OLX42" s="52"/>
      <c r="OLY42" s="52"/>
      <c r="OLZ42" s="52"/>
      <c r="OMA42" s="52"/>
      <c r="OMB42" s="52"/>
      <c r="OMC42" s="52"/>
      <c r="OMD42" s="52"/>
      <c r="OME42" s="52"/>
      <c r="OMF42" s="52"/>
      <c r="OMG42" s="52"/>
      <c r="OMH42" s="52"/>
      <c r="OMI42" s="52"/>
      <c r="OMJ42" s="52"/>
      <c r="OMK42" s="52"/>
      <c r="OML42" s="52"/>
      <c r="OMM42" s="52"/>
      <c r="OMN42" s="52"/>
      <c r="OMO42" s="52"/>
      <c r="OMP42" s="52"/>
      <c r="OMQ42" s="52"/>
      <c r="OMR42" s="52"/>
      <c r="OMS42" s="52"/>
      <c r="OMT42" s="52"/>
      <c r="OMU42" s="52"/>
      <c r="OMV42" s="52"/>
      <c r="OMW42" s="52"/>
      <c r="OMX42" s="52"/>
      <c r="OMY42" s="52"/>
      <c r="OMZ42" s="52"/>
      <c r="ONA42" s="52"/>
      <c r="ONB42" s="52"/>
      <c r="ONC42" s="52"/>
      <c r="OND42" s="52"/>
      <c r="ONE42" s="52"/>
      <c r="ONF42" s="52"/>
      <c r="ONG42" s="52"/>
      <c r="ONH42" s="52"/>
      <c r="ONI42" s="52"/>
      <c r="ONJ42" s="52"/>
      <c r="ONK42" s="52"/>
      <c r="ONL42" s="52"/>
      <c r="ONM42" s="52"/>
      <c r="ONN42" s="52"/>
      <c r="ONO42" s="52"/>
      <c r="ONP42" s="52"/>
      <c r="ONQ42" s="52"/>
      <c r="ONR42" s="52"/>
      <c r="ONS42" s="52"/>
      <c r="ONT42" s="52"/>
      <c r="ONU42" s="52"/>
      <c r="ONV42" s="52"/>
      <c r="ONW42" s="52"/>
      <c r="ONX42" s="52"/>
      <c r="ONY42" s="52"/>
      <c r="ONZ42" s="52"/>
      <c r="OOA42" s="52"/>
      <c r="OOB42" s="52"/>
      <c r="OOC42" s="52"/>
      <c r="OOD42" s="52"/>
      <c r="OOE42" s="52"/>
      <c r="OOF42" s="52"/>
      <c r="OOG42" s="52"/>
      <c r="OOH42" s="52"/>
      <c r="OOI42" s="52"/>
      <c r="OOJ42" s="52"/>
      <c r="OOK42" s="52"/>
      <c r="OOL42" s="52"/>
      <c r="OOM42" s="52"/>
      <c r="OON42" s="52"/>
      <c r="OOO42" s="52"/>
      <c r="OOP42" s="52"/>
      <c r="OOQ42" s="52"/>
      <c r="OOR42" s="52"/>
      <c r="OOS42" s="52"/>
      <c r="OOT42" s="52"/>
      <c r="OOU42" s="52"/>
      <c r="OOV42" s="52"/>
      <c r="OOW42" s="52"/>
      <c r="OOX42" s="52"/>
      <c r="OOY42" s="52"/>
      <c r="OOZ42" s="52"/>
      <c r="OPA42" s="52"/>
      <c r="OPB42" s="52"/>
      <c r="OPC42" s="52"/>
      <c r="OPD42" s="52"/>
      <c r="OPE42" s="52"/>
      <c r="OPF42" s="52"/>
      <c r="OPG42" s="52"/>
      <c r="OPH42" s="52"/>
      <c r="OPI42" s="52"/>
      <c r="OPJ42" s="52"/>
      <c r="OPK42" s="52"/>
      <c r="OPL42" s="52"/>
      <c r="OPM42" s="52"/>
      <c r="OPN42" s="52"/>
      <c r="OPO42" s="52"/>
      <c r="OPP42" s="52"/>
      <c r="OPQ42" s="52"/>
      <c r="OPR42" s="52"/>
      <c r="OPS42" s="52"/>
      <c r="OPT42" s="52"/>
      <c r="OPU42" s="52"/>
      <c r="OPV42" s="52"/>
      <c r="OPW42" s="52"/>
      <c r="OPX42" s="52"/>
      <c r="OPY42" s="52"/>
      <c r="OPZ42" s="52"/>
      <c r="OQA42" s="52"/>
      <c r="OQB42" s="52"/>
      <c r="OQC42" s="52"/>
      <c r="OQD42" s="52"/>
      <c r="OQE42" s="52"/>
      <c r="OQF42" s="52"/>
      <c r="OQG42" s="52"/>
      <c r="OQH42" s="52"/>
      <c r="OQI42" s="52"/>
      <c r="OQJ42" s="52"/>
      <c r="OQK42" s="52"/>
      <c r="OQL42" s="52"/>
      <c r="OQM42" s="52"/>
      <c r="OQN42" s="52"/>
      <c r="OQO42" s="52"/>
      <c r="OQP42" s="52"/>
      <c r="OQQ42" s="52"/>
      <c r="OQR42" s="52"/>
      <c r="OQS42" s="52"/>
      <c r="OQT42" s="52"/>
      <c r="OQU42" s="52"/>
      <c r="OQV42" s="52"/>
      <c r="OQW42" s="52"/>
      <c r="OQX42" s="52"/>
      <c r="OQY42" s="52"/>
      <c r="OQZ42" s="52"/>
      <c r="ORA42" s="52"/>
      <c r="ORB42" s="52"/>
      <c r="ORC42" s="52"/>
      <c r="ORD42" s="52"/>
      <c r="ORE42" s="52"/>
      <c r="ORF42" s="52"/>
      <c r="ORG42" s="52"/>
      <c r="ORH42" s="52"/>
      <c r="ORI42" s="52"/>
      <c r="ORJ42" s="52"/>
      <c r="ORK42" s="52"/>
      <c r="ORL42" s="52"/>
      <c r="ORM42" s="52"/>
      <c r="ORN42" s="52"/>
      <c r="ORO42" s="52"/>
      <c r="ORP42" s="52"/>
      <c r="ORQ42" s="52"/>
      <c r="ORR42" s="52"/>
      <c r="ORS42" s="52"/>
      <c r="ORT42" s="52"/>
      <c r="ORU42" s="52"/>
      <c r="ORV42" s="52"/>
      <c r="ORW42" s="52"/>
      <c r="ORX42" s="52"/>
      <c r="ORY42" s="52"/>
      <c r="ORZ42" s="52"/>
      <c r="OSA42" s="52"/>
      <c r="OSB42" s="52"/>
      <c r="OSC42" s="52"/>
      <c r="OSD42" s="52"/>
      <c r="OSE42" s="52"/>
      <c r="OSF42" s="52"/>
      <c r="OSG42" s="52"/>
      <c r="OSH42" s="52"/>
      <c r="OSI42" s="52"/>
      <c r="OSJ42" s="52"/>
      <c r="OSK42" s="52"/>
      <c r="OSL42" s="52"/>
      <c r="OSM42" s="52"/>
      <c r="OSN42" s="52"/>
      <c r="OSO42" s="52"/>
      <c r="OSP42" s="52"/>
      <c r="OSQ42" s="52"/>
      <c r="OSR42" s="52"/>
      <c r="OSS42" s="52"/>
      <c r="OST42" s="52"/>
      <c r="OSU42" s="52"/>
      <c r="OSV42" s="52"/>
      <c r="OSW42" s="52"/>
      <c r="OSX42" s="52"/>
      <c r="OSY42" s="52"/>
      <c r="OSZ42" s="52"/>
      <c r="OTA42" s="52"/>
      <c r="OTB42" s="52"/>
      <c r="OTC42" s="52"/>
      <c r="OTD42" s="52"/>
      <c r="OTE42" s="52"/>
      <c r="OTF42" s="52"/>
      <c r="OTG42" s="52"/>
      <c r="OTH42" s="52"/>
      <c r="OTI42" s="52"/>
      <c r="OTJ42" s="52"/>
      <c r="OTK42" s="52"/>
      <c r="OTL42" s="52"/>
      <c r="OTM42" s="52"/>
      <c r="OTN42" s="52"/>
      <c r="OTO42" s="52"/>
      <c r="OTP42" s="52"/>
      <c r="OTQ42" s="52"/>
      <c r="OTR42" s="52"/>
      <c r="OTS42" s="52"/>
      <c r="OTT42" s="52"/>
      <c r="OTU42" s="52"/>
      <c r="OTV42" s="52"/>
      <c r="OTW42" s="52"/>
      <c r="OTX42" s="52"/>
      <c r="OTY42" s="52"/>
      <c r="OTZ42" s="52"/>
      <c r="OUA42" s="52"/>
      <c r="OUB42" s="52"/>
      <c r="OUC42" s="52"/>
      <c r="OUD42" s="52"/>
      <c r="OUE42" s="52"/>
      <c r="OUF42" s="52"/>
      <c r="OUG42" s="52"/>
      <c r="OUH42" s="52"/>
      <c r="OUI42" s="52"/>
      <c r="OUJ42" s="52"/>
      <c r="OUK42" s="52"/>
      <c r="OUL42" s="52"/>
      <c r="OUM42" s="52"/>
      <c r="OUN42" s="52"/>
      <c r="OUO42" s="52"/>
      <c r="OUP42" s="52"/>
      <c r="OUQ42" s="52"/>
      <c r="OUR42" s="52"/>
      <c r="OUS42" s="52"/>
      <c r="OUT42" s="52"/>
      <c r="OUU42" s="52"/>
      <c r="OUV42" s="52"/>
      <c r="OUW42" s="52"/>
      <c r="OUX42" s="52"/>
      <c r="OUY42" s="52"/>
      <c r="OUZ42" s="52"/>
      <c r="OVA42" s="52"/>
      <c r="OVB42" s="52"/>
      <c r="OVC42" s="52"/>
      <c r="OVD42" s="52"/>
      <c r="OVE42" s="52"/>
      <c r="OVF42" s="52"/>
      <c r="OVG42" s="52"/>
      <c r="OVH42" s="52"/>
      <c r="OVI42" s="52"/>
      <c r="OVJ42" s="52"/>
      <c r="OVK42" s="52"/>
      <c r="OVL42" s="52"/>
      <c r="OVM42" s="52"/>
      <c r="OVN42" s="52"/>
      <c r="OVO42" s="52"/>
      <c r="OVP42" s="52"/>
      <c r="OVQ42" s="52"/>
      <c r="OVR42" s="52"/>
      <c r="OVS42" s="52"/>
      <c r="OVT42" s="52"/>
      <c r="OVU42" s="52"/>
      <c r="OVV42" s="52"/>
      <c r="OVW42" s="52"/>
      <c r="OVX42" s="52"/>
      <c r="OVY42" s="52"/>
      <c r="OVZ42" s="52"/>
      <c r="OWA42" s="52"/>
      <c r="OWB42" s="52"/>
      <c r="OWC42" s="52"/>
      <c r="OWD42" s="52"/>
      <c r="OWE42" s="52"/>
      <c r="OWF42" s="52"/>
      <c r="OWG42" s="52"/>
      <c r="OWH42" s="52"/>
      <c r="OWI42" s="52"/>
      <c r="OWJ42" s="52"/>
      <c r="OWK42" s="52"/>
      <c r="OWL42" s="52"/>
      <c r="OWM42" s="52"/>
      <c r="OWN42" s="52"/>
      <c r="OWO42" s="52"/>
      <c r="OWP42" s="52"/>
      <c r="OWQ42" s="52"/>
      <c r="OWR42" s="52"/>
      <c r="OWS42" s="52"/>
      <c r="OWT42" s="52"/>
      <c r="OWU42" s="52"/>
      <c r="OWV42" s="52"/>
      <c r="OWW42" s="52"/>
      <c r="OWX42" s="52"/>
      <c r="OWY42" s="52"/>
      <c r="OWZ42" s="52"/>
      <c r="OXA42" s="52"/>
      <c r="OXB42" s="52"/>
      <c r="OXC42" s="52"/>
      <c r="OXD42" s="52"/>
      <c r="OXE42" s="52"/>
      <c r="OXF42" s="52"/>
      <c r="OXG42" s="52"/>
      <c r="OXH42" s="52"/>
      <c r="OXI42" s="52"/>
      <c r="OXJ42" s="52"/>
      <c r="OXK42" s="52"/>
      <c r="OXL42" s="52"/>
      <c r="OXM42" s="52"/>
      <c r="OXN42" s="52"/>
      <c r="OXO42" s="52"/>
      <c r="OXP42" s="52"/>
      <c r="OXQ42" s="52"/>
      <c r="OXR42" s="52"/>
      <c r="OXS42" s="52"/>
      <c r="OXT42" s="52"/>
      <c r="OXU42" s="52"/>
      <c r="OXV42" s="52"/>
      <c r="OXW42" s="52"/>
      <c r="OXX42" s="52"/>
      <c r="OXY42" s="52"/>
      <c r="OXZ42" s="52"/>
      <c r="OYA42" s="52"/>
      <c r="OYB42" s="52"/>
      <c r="OYC42" s="52"/>
      <c r="OYD42" s="52"/>
      <c r="OYE42" s="52"/>
      <c r="OYF42" s="52"/>
      <c r="OYG42" s="52"/>
      <c r="OYH42" s="52"/>
      <c r="OYI42" s="52"/>
      <c r="OYJ42" s="52"/>
      <c r="OYK42" s="52"/>
      <c r="OYL42" s="52"/>
      <c r="OYM42" s="52"/>
      <c r="OYN42" s="52"/>
      <c r="OYO42" s="52"/>
      <c r="OYP42" s="52"/>
      <c r="OYQ42" s="52"/>
      <c r="OYR42" s="52"/>
      <c r="OYS42" s="52"/>
      <c r="OYT42" s="52"/>
      <c r="OYU42" s="52"/>
      <c r="OYV42" s="52"/>
      <c r="OYW42" s="52"/>
      <c r="OYX42" s="52"/>
      <c r="OYY42" s="52"/>
      <c r="OYZ42" s="52"/>
      <c r="OZA42" s="52"/>
      <c r="OZB42" s="52"/>
      <c r="OZC42" s="52"/>
      <c r="OZD42" s="52"/>
      <c r="OZE42" s="52"/>
      <c r="OZF42" s="52"/>
      <c r="OZG42" s="52"/>
      <c r="OZH42" s="52"/>
      <c r="OZI42" s="52"/>
      <c r="OZJ42" s="52"/>
      <c r="OZK42" s="52"/>
      <c r="OZL42" s="52"/>
      <c r="OZM42" s="52"/>
      <c r="OZN42" s="52"/>
      <c r="OZO42" s="52"/>
      <c r="OZP42" s="52"/>
      <c r="OZQ42" s="52"/>
      <c r="OZR42" s="52"/>
      <c r="OZS42" s="52"/>
      <c r="OZT42" s="52"/>
      <c r="OZU42" s="52"/>
      <c r="OZV42" s="52"/>
      <c r="OZW42" s="52"/>
      <c r="OZX42" s="52"/>
      <c r="OZY42" s="52"/>
      <c r="OZZ42" s="52"/>
      <c r="PAA42" s="52"/>
      <c r="PAB42" s="52"/>
      <c r="PAC42" s="52"/>
      <c r="PAD42" s="52"/>
      <c r="PAE42" s="52"/>
      <c r="PAF42" s="52"/>
      <c r="PAG42" s="52"/>
      <c r="PAH42" s="52"/>
      <c r="PAI42" s="52"/>
      <c r="PAJ42" s="52"/>
      <c r="PAK42" s="52"/>
      <c r="PAL42" s="52"/>
      <c r="PAM42" s="52"/>
      <c r="PAN42" s="52"/>
      <c r="PAO42" s="52"/>
      <c r="PAP42" s="52"/>
      <c r="PAQ42" s="52"/>
      <c r="PAR42" s="52"/>
      <c r="PAS42" s="52"/>
      <c r="PAT42" s="52"/>
      <c r="PAU42" s="52"/>
      <c r="PAV42" s="52"/>
      <c r="PAW42" s="52"/>
      <c r="PAX42" s="52"/>
      <c r="PAY42" s="52"/>
      <c r="PAZ42" s="52"/>
      <c r="PBA42" s="52"/>
      <c r="PBB42" s="52"/>
      <c r="PBC42" s="52"/>
      <c r="PBD42" s="52"/>
      <c r="PBE42" s="52"/>
      <c r="PBF42" s="52"/>
      <c r="PBG42" s="52"/>
      <c r="PBH42" s="52"/>
      <c r="PBI42" s="52"/>
      <c r="PBJ42" s="52"/>
      <c r="PBK42" s="52"/>
      <c r="PBL42" s="52"/>
      <c r="PBM42" s="52"/>
      <c r="PBN42" s="52"/>
      <c r="PBO42" s="52"/>
      <c r="PBP42" s="52"/>
      <c r="PBQ42" s="52"/>
      <c r="PBR42" s="52"/>
      <c r="PBS42" s="52"/>
      <c r="PBT42" s="52"/>
      <c r="PBU42" s="52"/>
      <c r="PBV42" s="52"/>
      <c r="PBW42" s="52"/>
      <c r="PBX42" s="52"/>
      <c r="PBY42" s="52"/>
      <c r="PBZ42" s="52"/>
      <c r="PCA42" s="52"/>
      <c r="PCB42" s="52"/>
      <c r="PCC42" s="52"/>
      <c r="PCD42" s="52"/>
      <c r="PCE42" s="52"/>
      <c r="PCF42" s="52"/>
      <c r="PCG42" s="52"/>
      <c r="PCH42" s="52"/>
      <c r="PCI42" s="52"/>
      <c r="PCJ42" s="52"/>
      <c r="PCK42" s="52"/>
      <c r="PCL42" s="52"/>
      <c r="PCM42" s="52"/>
      <c r="PCN42" s="52"/>
      <c r="PCO42" s="52"/>
      <c r="PCP42" s="52"/>
      <c r="PCQ42" s="52"/>
      <c r="PCR42" s="52"/>
      <c r="PCS42" s="52"/>
      <c r="PCT42" s="52"/>
      <c r="PCU42" s="52"/>
      <c r="PCV42" s="52"/>
      <c r="PCW42" s="52"/>
      <c r="PCX42" s="52"/>
      <c r="PCY42" s="52"/>
      <c r="PCZ42" s="52"/>
      <c r="PDA42" s="52"/>
      <c r="PDB42" s="52"/>
      <c r="PDC42" s="52"/>
      <c r="PDD42" s="52"/>
      <c r="PDE42" s="52"/>
      <c r="PDF42" s="52"/>
      <c r="PDG42" s="52"/>
      <c r="PDH42" s="52"/>
      <c r="PDI42" s="52"/>
      <c r="PDJ42" s="52"/>
      <c r="PDK42" s="52"/>
      <c r="PDL42" s="52"/>
      <c r="PDM42" s="52"/>
      <c r="PDN42" s="52"/>
      <c r="PDO42" s="52"/>
      <c r="PDP42" s="52"/>
      <c r="PDQ42" s="52"/>
      <c r="PDR42" s="52"/>
      <c r="PDS42" s="52"/>
      <c r="PDT42" s="52"/>
      <c r="PDU42" s="52"/>
      <c r="PDV42" s="52"/>
      <c r="PDW42" s="52"/>
      <c r="PDX42" s="52"/>
      <c r="PDY42" s="52"/>
      <c r="PDZ42" s="52"/>
      <c r="PEA42" s="52"/>
      <c r="PEB42" s="52"/>
      <c r="PEC42" s="52"/>
      <c r="PED42" s="52"/>
      <c r="PEE42" s="52"/>
      <c r="PEF42" s="52"/>
      <c r="PEG42" s="52"/>
      <c r="PEH42" s="52"/>
      <c r="PEI42" s="52"/>
      <c r="PEJ42" s="52"/>
      <c r="PEK42" s="52"/>
      <c r="PEL42" s="52"/>
      <c r="PEM42" s="52"/>
      <c r="PEN42" s="52"/>
      <c r="PEO42" s="52"/>
      <c r="PEP42" s="52"/>
      <c r="PEQ42" s="52"/>
      <c r="PER42" s="52"/>
      <c r="PES42" s="52"/>
      <c r="PET42" s="52"/>
      <c r="PEU42" s="52"/>
      <c r="PEV42" s="52"/>
      <c r="PEW42" s="52"/>
      <c r="PEX42" s="52"/>
      <c r="PEY42" s="52"/>
      <c r="PEZ42" s="52"/>
      <c r="PFA42" s="52"/>
      <c r="PFB42" s="52"/>
      <c r="PFC42" s="52"/>
      <c r="PFD42" s="52"/>
      <c r="PFE42" s="52"/>
      <c r="PFF42" s="52"/>
      <c r="PFG42" s="52"/>
      <c r="PFH42" s="52"/>
      <c r="PFI42" s="52"/>
      <c r="PFJ42" s="52"/>
      <c r="PFK42" s="52"/>
      <c r="PFL42" s="52"/>
      <c r="PFM42" s="52"/>
      <c r="PFN42" s="52"/>
      <c r="PFO42" s="52"/>
      <c r="PFP42" s="52"/>
      <c r="PFQ42" s="52"/>
      <c r="PFR42" s="52"/>
      <c r="PFS42" s="52"/>
      <c r="PFT42" s="52"/>
      <c r="PFU42" s="52"/>
      <c r="PFV42" s="52"/>
      <c r="PFW42" s="52"/>
      <c r="PFX42" s="52"/>
      <c r="PFY42" s="52"/>
      <c r="PFZ42" s="52"/>
      <c r="PGA42" s="52"/>
      <c r="PGB42" s="52"/>
      <c r="PGC42" s="52"/>
      <c r="PGD42" s="52"/>
      <c r="PGE42" s="52"/>
      <c r="PGF42" s="52"/>
      <c r="PGG42" s="52"/>
      <c r="PGH42" s="52"/>
      <c r="PGI42" s="52"/>
      <c r="PGJ42" s="52"/>
      <c r="PGK42" s="52"/>
      <c r="PGL42" s="52"/>
      <c r="PGM42" s="52"/>
      <c r="PGN42" s="52"/>
      <c r="PGO42" s="52"/>
      <c r="PGP42" s="52"/>
      <c r="PGQ42" s="52"/>
      <c r="PGR42" s="52"/>
      <c r="PGS42" s="52"/>
      <c r="PGT42" s="52"/>
      <c r="PGU42" s="52"/>
      <c r="PGV42" s="52"/>
      <c r="PGW42" s="52"/>
      <c r="PGX42" s="52"/>
      <c r="PGY42" s="52"/>
      <c r="PGZ42" s="52"/>
      <c r="PHA42" s="52"/>
      <c r="PHB42" s="52"/>
      <c r="PHC42" s="52"/>
      <c r="PHD42" s="52"/>
      <c r="PHE42" s="52"/>
      <c r="PHF42" s="52"/>
      <c r="PHG42" s="52"/>
      <c r="PHH42" s="52"/>
      <c r="PHI42" s="52"/>
      <c r="PHJ42" s="52"/>
      <c r="PHK42" s="52"/>
      <c r="PHL42" s="52"/>
      <c r="PHM42" s="52"/>
      <c r="PHN42" s="52"/>
      <c r="PHO42" s="52"/>
      <c r="PHP42" s="52"/>
      <c r="PHQ42" s="52"/>
      <c r="PHR42" s="52"/>
      <c r="PHS42" s="52"/>
      <c r="PHT42" s="52"/>
      <c r="PHU42" s="52"/>
      <c r="PHV42" s="52"/>
      <c r="PHW42" s="52"/>
      <c r="PHX42" s="52"/>
      <c r="PHY42" s="52"/>
      <c r="PHZ42" s="52"/>
      <c r="PIA42" s="52"/>
      <c r="PIB42" s="52"/>
      <c r="PIC42" s="52"/>
      <c r="PID42" s="52"/>
      <c r="PIE42" s="52"/>
      <c r="PIF42" s="52"/>
      <c r="PIG42" s="52"/>
      <c r="PIH42" s="52"/>
      <c r="PII42" s="52"/>
      <c r="PIJ42" s="52"/>
      <c r="PIK42" s="52"/>
      <c r="PIL42" s="52"/>
      <c r="PIM42" s="52"/>
      <c r="PIN42" s="52"/>
      <c r="PIO42" s="52"/>
      <c r="PIP42" s="52"/>
      <c r="PIQ42" s="52"/>
      <c r="PIR42" s="52"/>
      <c r="PIS42" s="52"/>
      <c r="PIT42" s="52"/>
      <c r="PIU42" s="52"/>
      <c r="PIV42" s="52"/>
      <c r="PIW42" s="52"/>
      <c r="PIX42" s="52"/>
      <c r="PIY42" s="52"/>
      <c r="PIZ42" s="52"/>
      <c r="PJA42" s="52"/>
      <c r="PJB42" s="52"/>
      <c r="PJC42" s="52"/>
      <c r="PJD42" s="52"/>
      <c r="PJE42" s="52"/>
      <c r="PJF42" s="52"/>
      <c r="PJG42" s="52"/>
      <c r="PJH42" s="52"/>
      <c r="PJI42" s="52"/>
      <c r="PJJ42" s="52"/>
      <c r="PJK42" s="52"/>
      <c r="PJL42" s="52"/>
      <c r="PJM42" s="52"/>
      <c r="PJN42" s="52"/>
      <c r="PJO42" s="52"/>
      <c r="PJP42" s="52"/>
      <c r="PJQ42" s="52"/>
      <c r="PJR42" s="52"/>
      <c r="PJS42" s="52"/>
      <c r="PJT42" s="52"/>
      <c r="PJU42" s="52"/>
      <c r="PJV42" s="52"/>
      <c r="PJW42" s="52"/>
      <c r="PJX42" s="52"/>
      <c r="PJY42" s="52"/>
      <c r="PJZ42" s="52"/>
      <c r="PKA42" s="52"/>
      <c r="PKB42" s="52"/>
      <c r="PKC42" s="52"/>
      <c r="PKD42" s="52"/>
      <c r="PKE42" s="52"/>
      <c r="PKF42" s="52"/>
      <c r="PKG42" s="52"/>
      <c r="PKH42" s="52"/>
      <c r="PKI42" s="52"/>
      <c r="PKJ42" s="52"/>
      <c r="PKK42" s="52"/>
      <c r="PKL42" s="52"/>
      <c r="PKM42" s="52"/>
      <c r="PKN42" s="52"/>
      <c r="PKO42" s="52"/>
      <c r="PKP42" s="52"/>
      <c r="PKQ42" s="52"/>
      <c r="PKR42" s="52"/>
      <c r="PKS42" s="52"/>
      <c r="PKT42" s="52"/>
      <c r="PKU42" s="52"/>
      <c r="PKV42" s="52"/>
      <c r="PKW42" s="52"/>
      <c r="PKX42" s="52"/>
      <c r="PKY42" s="52"/>
      <c r="PKZ42" s="52"/>
      <c r="PLA42" s="52"/>
      <c r="PLB42" s="52"/>
      <c r="PLC42" s="52"/>
      <c r="PLD42" s="52"/>
      <c r="PLE42" s="52"/>
      <c r="PLF42" s="52"/>
      <c r="PLG42" s="52"/>
      <c r="PLH42" s="52"/>
      <c r="PLI42" s="52"/>
      <c r="PLJ42" s="52"/>
      <c r="PLK42" s="52"/>
      <c r="PLL42" s="52"/>
      <c r="PLM42" s="52"/>
      <c r="PLN42" s="52"/>
      <c r="PLO42" s="52"/>
      <c r="PLP42" s="52"/>
      <c r="PLQ42" s="52"/>
      <c r="PLR42" s="52"/>
      <c r="PLS42" s="52"/>
      <c r="PLT42" s="52"/>
      <c r="PLU42" s="52"/>
      <c r="PLV42" s="52"/>
      <c r="PLW42" s="52"/>
      <c r="PLX42" s="52"/>
      <c r="PLY42" s="52"/>
      <c r="PLZ42" s="52"/>
      <c r="PMA42" s="52"/>
      <c r="PMB42" s="52"/>
      <c r="PMC42" s="52"/>
      <c r="PMD42" s="52"/>
      <c r="PME42" s="52"/>
      <c r="PMF42" s="52"/>
      <c r="PMG42" s="52"/>
      <c r="PMH42" s="52"/>
      <c r="PMI42" s="52"/>
      <c r="PMJ42" s="52"/>
      <c r="PMK42" s="52"/>
      <c r="PML42" s="52"/>
      <c r="PMM42" s="52"/>
      <c r="PMN42" s="52"/>
      <c r="PMO42" s="52"/>
      <c r="PMP42" s="52"/>
      <c r="PMQ42" s="52"/>
      <c r="PMR42" s="52"/>
      <c r="PMS42" s="52"/>
      <c r="PMT42" s="52"/>
      <c r="PMU42" s="52"/>
      <c r="PMV42" s="52"/>
      <c r="PMW42" s="52"/>
      <c r="PMX42" s="52"/>
      <c r="PMY42" s="52"/>
      <c r="PMZ42" s="52"/>
      <c r="PNA42" s="52"/>
      <c r="PNB42" s="52"/>
      <c r="PNC42" s="52"/>
      <c r="PND42" s="52"/>
      <c r="PNE42" s="52"/>
      <c r="PNF42" s="52"/>
      <c r="PNG42" s="52"/>
      <c r="PNH42" s="52"/>
      <c r="PNI42" s="52"/>
      <c r="PNJ42" s="52"/>
      <c r="PNK42" s="52"/>
      <c r="PNL42" s="52"/>
      <c r="PNM42" s="52"/>
      <c r="PNN42" s="52"/>
      <c r="PNO42" s="52"/>
      <c r="PNP42" s="52"/>
      <c r="PNQ42" s="52"/>
      <c r="PNR42" s="52"/>
      <c r="PNS42" s="52"/>
      <c r="PNT42" s="52"/>
      <c r="PNU42" s="52"/>
      <c r="PNV42" s="52"/>
      <c r="PNW42" s="52"/>
      <c r="PNX42" s="52"/>
      <c r="PNY42" s="52"/>
      <c r="PNZ42" s="52"/>
      <c r="POA42" s="52"/>
      <c r="POB42" s="52"/>
      <c r="POC42" s="52"/>
      <c r="POD42" s="52"/>
      <c r="POE42" s="52"/>
      <c r="POF42" s="52"/>
      <c r="POG42" s="52"/>
      <c r="POH42" s="52"/>
      <c r="POI42" s="52"/>
      <c r="POJ42" s="52"/>
      <c r="POK42" s="52"/>
      <c r="POL42" s="52"/>
      <c r="POM42" s="52"/>
      <c r="PON42" s="52"/>
      <c r="POO42" s="52"/>
      <c r="POP42" s="52"/>
      <c r="POQ42" s="52"/>
      <c r="POR42" s="52"/>
      <c r="POS42" s="52"/>
      <c r="POT42" s="52"/>
      <c r="POU42" s="52"/>
      <c r="POV42" s="52"/>
      <c r="POW42" s="52"/>
      <c r="POX42" s="52"/>
      <c r="POY42" s="52"/>
      <c r="POZ42" s="52"/>
      <c r="PPA42" s="52"/>
      <c r="PPB42" s="52"/>
      <c r="PPC42" s="52"/>
      <c r="PPD42" s="52"/>
      <c r="PPE42" s="52"/>
      <c r="PPF42" s="52"/>
      <c r="PPG42" s="52"/>
      <c r="PPH42" s="52"/>
      <c r="PPI42" s="52"/>
      <c r="PPJ42" s="52"/>
      <c r="PPK42" s="52"/>
      <c r="PPL42" s="52"/>
      <c r="PPM42" s="52"/>
      <c r="PPN42" s="52"/>
      <c r="PPO42" s="52"/>
      <c r="PPP42" s="52"/>
      <c r="PPQ42" s="52"/>
      <c r="PPR42" s="52"/>
      <c r="PPS42" s="52"/>
      <c r="PPT42" s="52"/>
      <c r="PPU42" s="52"/>
      <c r="PPV42" s="52"/>
      <c r="PPW42" s="52"/>
      <c r="PPX42" s="52"/>
      <c r="PPY42" s="52"/>
      <c r="PPZ42" s="52"/>
      <c r="PQA42" s="52"/>
      <c r="PQB42" s="52"/>
      <c r="PQC42" s="52"/>
      <c r="PQD42" s="52"/>
      <c r="PQE42" s="52"/>
      <c r="PQF42" s="52"/>
      <c r="PQG42" s="52"/>
      <c r="PQH42" s="52"/>
      <c r="PQI42" s="52"/>
      <c r="PQJ42" s="52"/>
      <c r="PQK42" s="52"/>
      <c r="PQL42" s="52"/>
      <c r="PQM42" s="52"/>
      <c r="PQN42" s="52"/>
      <c r="PQO42" s="52"/>
      <c r="PQP42" s="52"/>
      <c r="PQQ42" s="52"/>
      <c r="PQR42" s="52"/>
      <c r="PQS42" s="52"/>
      <c r="PQT42" s="52"/>
      <c r="PQU42" s="52"/>
      <c r="PQV42" s="52"/>
      <c r="PQW42" s="52"/>
      <c r="PQX42" s="52"/>
      <c r="PQY42" s="52"/>
      <c r="PQZ42" s="52"/>
      <c r="PRA42" s="52"/>
      <c r="PRB42" s="52"/>
      <c r="PRC42" s="52"/>
      <c r="PRD42" s="52"/>
      <c r="PRE42" s="52"/>
      <c r="PRF42" s="52"/>
      <c r="PRG42" s="52"/>
      <c r="PRH42" s="52"/>
      <c r="PRI42" s="52"/>
      <c r="PRJ42" s="52"/>
      <c r="PRK42" s="52"/>
      <c r="PRL42" s="52"/>
      <c r="PRM42" s="52"/>
      <c r="PRN42" s="52"/>
      <c r="PRO42" s="52"/>
      <c r="PRP42" s="52"/>
      <c r="PRQ42" s="52"/>
      <c r="PRR42" s="52"/>
      <c r="PRS42" s="52"/>
      <c r="PRT42" s="52"/>
      <c r="PRU42" s="52"/>
      <c r="PRV42" s="52"/>
      <c r="PRW42" s="52"/>
      <c r="PRX42" s="52"/>
      <c r="PRY42" s="52"/>
      <c r="PRZ42" s="52"/>
      <c r="PSA42" s="52"/>
      <c r="PSB42" s="52"/>
      <c r="PSC42" s="52"/>
      <c r="PSD42" s="52"/>
      <c r="PSE42" s="52"/>
      <c r="PSF42" s="52"/>
      <c r="PSG42" s="52"/>
      <c r="PSH42" s="52"/>
      <c r="PSI42" s="52"/>
      <c r="PSJ42" s="52"/>
      <c r="PSK42" s="52"/>
      <c r="PSL42" s="52"/>
      <c r="PSM42" s="52"/>
      <c r="PSN42" s="52"/>
      <c r="PSO42" s="52"/>
      <c r="PSP42" s="52"/>
      <c r="PSQ42" s="52"/>
      <c r="PSR42" s="52"/>
      <c r="PSS42" s="52"/>
      <c r="PST42" s="52"/>
      <c r="PSU42" s="52"/>
      <c r="PSV42" s="52"/>
      <c r="PSW42" s="52"/>
      <c r="PSX42" s="52"/>
      <c r="PSY42" s="52"/>
      <c r="PSZ42" s="52"/>
      <c r="PTA42" s="52"/>
      <c r="PTB42" s="52"/>
      <c r="PTC42" s="52"/>
      <c r="PTD42" s="52"/>
      <c r="PTE42" s="52"/>
      <c r="PTF42" s="52"/>
      <c r="PTG42" s="52"/>
      <c r="PTH42" s="52"/>
      <c r="PTI42" s="52"/>
      <c r="PTJ42" s="52"/>
      <c r="PTK42" s="52"/>
      <c r="PTL42" s="52"/>
      <c r="PTM42" s="52"/>
      <c r="PTN42" s="52"/>
      <c r="PTO42" s="52"/>
      <c r="PTP42" s="52"/>
      <c r="PTQ42" s="52"/>
      <c r="PTR42" s="52"/>
      <c r="PTS42" s="52"/>
      <c r="PTT42" s="52"/>
      <c r="PTU42" s="52"/>
      <c r="PTV42" s="52"/>
      <c r="PTW42" s="52"/>
      <c r="PTX42" s="52"/>
      <c r="PTY42" s="52"/>
      <c r="PTZ42" s="52"/>
      <c r="PUA42" s="52"/>
      <c r="PUB42" s="52"/>
      <c r="PUC42" s="52"/>
      <c r="PUD42" s="52"/>
      <c r="PUE42" s="52"/>
      <c r="PUF42" s="52"/>
      <c r="PUG42" s="52"/>
      <c r="PUH42" s="52"/>
      <c r="PUI42" s="52"/>
      <c r="PUJ42" s="52"/>
      <c r="PUK42" s="52"/>
      <c r="PUL42" s="52"/>
      <c r="PUM42" s="52"/>
      <c r="PUN42" s="52"/>
      <c r="PUO42" s="52"/>
      <c r="PUP42" s="52"/>
      <c r="PUQ42" s="52"/>
      <c r="PUR42" s="52"/>
      <c r="PUS42" s="52"/>
      <c r="PUT42" s="52"/>
      <c r="PUU42" s="52"/>
      <c r="PUV42" s="52"/>
      <c r="PUW42" s="52"/>
      <c r="PUX42" s="52"/>
      <c r="PUY42" s="52"/>
      <c r="PUZ42" s="52"/>
      <c r="PVA42" s="52"/>
      <c r="PVB42" s="52"/>
      <c r="PVC42" s="52"/>
      <c r="PVD42" s="52"/>
      <c r="PVE42" s="52"/>
      <c r="PVF42" s="52"/>
      <c r="PVG42" s="52"/>
      <c r="PVH42" s="52"/>
      <c r="PVI42" s="52"/>
      <c r="PVJ42" s="52"/>
      <c r="PVK42" s="52"/>
      <c r="PVL42" s="52"/>
      <c r="PVM42" s="52"/>
      <c r="PVN42" s="52"/>
      <c r="PVO42" s="52"/>
      <c r="PVP42" s="52"/>
      <c r="PVQ42" s="52"/>
      <c r="PVR42" s="52"/>
      <c r="PVS42" s="52"/>
      <c r="PVT42" s="52"/>
      <c r="PVU42" s="52"/>
      <c r="PVV42" s="52"/>
      <c r="PVW42" s="52"/>
      <c r="PVX42" s="52"/>
      <c r="PVY42" s="52"/>
      <c r="PVZ42" s="52"/>
      <c r="PWA42" s="52"/>
      <c r="PWB42" s="52"/>
      <c r="PWC42" s="52"/>
      <c r="PWD42" s="52"/>
      <c r="PWE42" s="52"/>
      <c r="PWF42" s="52"/>
      <c r="PWG42" s="52"/>
      <c r="PWH42" s="52"/>
      <c r="PWI42" s="52"/>
      <c r="PWJ42" s="52"/>
      <c r="PWK42" s="52"/>
      <c r="PWL42" s="52"/>
      <c r="PWM42" s="52"/>
      <c r="PWN42" s="52"/>
      <c r="PWO42" s="52"/>
      <c r="PWP42" s="52"/>
      <c r="PWQ42" s="52"/>
      <c r="PWR42" s="52"/>
      <c r="PWS42" s="52"/>
      <c r="PWT42" s="52"/>
      <c r="PWU42" s="52"/>
      <c r="PWV42" s="52"/>
      <c r="PWW42" s="52"/>
      <c r="PWX42" s="52"/>
      <c r="PWY42" s="52"/>
      <c r="PWZ42" s="52"/>
      <c r="PXA42" s="52"/>
      <c r="PXB42" s="52"/>
      <c r="PXC42" s="52"/>
      <c r="PXD42" s="52"/>
      <c r="PXE42" s="52"/>
      <c r="PXF42" s="52"/>
      <c r="PXG42" s="52"/>
      <c r="PXH42" s="52"/>
      <c r="PXI42" s="52"/>
      <c r="PXJ42" s="52"/>
      <c r="PXK42" s="52"/>
      <c r="PXL42" s="52"/>
      <c r="PXM42" s="52"/>
      <c r="PXN42" s="52"/>
      <c r="PXO42" s="52"/>
      <c r="PXP42" s="52"/>
      <c r="PXQ42" s="52"/>
      <c r="PXR42" s="52"/>
      <c r="PXS42" s="52"/>
      <c r="PXT42" s="52"/>
      <c r="PXU42" s="52"/>
      <c r="PXV42" s="52"/>
      <c r="PXW42" s="52"/>
      <c r="PXX42" s="52"/>
      <c r="PXY42" s="52"/>
      <c r="PXZ42" s="52"/>
      <c r="PYA42" s="52"/>
      <c r="PYB42" s="52"/>
      <c r="PYC42" s="52"/>
      <c r="PYD42" s="52"/>
      <c r="PYE42" s="52"/>
      <c r="PYF42" s="52"/>
      <c r="PYG42" s="52"/>
      <c r="PYH42" s="52"/>
      <c r="PYI42" s="52"/>
      <c r="PYJ42" s="52"/>
      <c r="PYK42" s="52"/>
      <c r="PYL42" s="52"/>
      <c r="PYM42" s="52"/>
      <c r="PYN42" s="52"/>
      <c r="PYO42" s="52"/>
      <c r="PYP42" s="52"/>
      <c r="PYQ42" s="52"/>
      <c r="PYR42" s="52"/>
      <c r="PYS42" s="52"/>
      <c r="PYT42" s="52"/>
      <c r="PYU42" s="52"/>
      <c r="PYV42" s="52"/>
      <c r="PYW42" s="52"/>
      <c r="PYX42" s="52"/>
      <c r="PYY42" s="52"/>
      <c r="PYZ42" s="52"/>
      <c r="PZA42" s="52"/>
      <c r="PZB42" s="52"/>
      <c r="PZC42" s="52"/>
      <c r="PZD42" s="52"/>
      <c r="PZE42" s="52"/>
      <c r="PZF42" s="52"/>
      <c r="PZG42" s="52"/>
      <c r="PZH42" s="52"/>
      <c r="PZI42" s="52"/>
      <c r="PZJ42" s="52"/>
      <c r="PZK42" s="52"/>
      <c r="PZL42" s="52"/>
      <c r="PZM42" s="52"/>
      <c r="PZN42" s="52"/>
      <c r="PZO42" s="52"/>
      <c r="PZP42" s="52"/>
      <c r="PZQ42" s="52"/>
      <c r="PZR42" s="52"/>
      <c r="PZS42" s="52"/>
      <c r="PZT42" s="52"/>
      <c r="PZU42" s="52"/>
      <c r="PZV42" s="52"/>
      <c r="PZW42" s="52"/>
      <c r="PZX42" s="52"/>
      <c r="PZY42" s="52"/>
      <c r="PZZ42" s="52"/>
      <c r="QAA42" s="52"/>
      <c r="QAB42" s="52"/>
      <c r="QAC42" s="52"/>
      <c r="QAD42" s="52"/>
      <c r="QAE42" s="52"/>
      <c r="QAF42" s="52"/>
      <c r="QAG42" s="52"/>
      <c r="QAH42" s="52"/>
      <c r="QAI42" s="52"/>
      <c r="QAJ42" s="52"/>
      <c r="QAK42" s="52"/>
      <c r="QAL42" s="52"/>
      <c r="QAM42" s="52"/>
      <c r="QAN42" s="52"/>
      <c r="QAO42" s="52"/>
      <c r="QAP42" s="52"/>
      <c r="QAQ42" s="52"/>
      <c r="QAR42" s="52"/>
      <c r="QAS42" s="52"/>
      <c r="QAT42" s="52"/>
      <c r="QAU42" s="52"/>
      <c r="QAV42" s="52"/>
      <c r="QAW42" s="52"/>
      <c r="QAX42" s="52"/>
      <c r="QAY42" s="52"/>
      <c r="QAZ42" s="52"/>
      <c r="QBA42" s="52"/>
      <c r="QBB42" s="52"/>
      <c r="QBC42" s="52"/>
      <c r="QBD42" s="52"/>
      <c r="QBE42" s="52"/>
      <c r="QBF42" s="52"/>
      <c r="QBG42" s="52"/>
      <c r="QBH42" s="52"/>
      <c r="QBI42" s="52"/>
      <c r="QBJ42" s="52"/>
      <c r="QBK42" s="52"/>
      <c r="QBL42" s="52"/>
      <c r="QBM42" s="52"/>
      <c r="QBN42" s="52"/>
      <c r="QBO42" s="52"/>
      <c r="QBP42" s="52"/>
      <c r="QBQ42" s="52"/>
      <c r="QBR42" s="52"/>
      <c r="QBS42" s="52"/>
      <c r="QBT42" s="52"/>
      <c r="QBU42" s="52"/>
      <c r="QBV42" s="52"/>
      <c r="QBW42" s="52"/>
      <c r="QBX42" s="52"/>
      <c r="QBY42" s="52"/>
      <c r="QBZ42" s="52"/>
      <c r="QCA42" s="52"/>
      <c r="QCB42" s="52"/>
      <c r="QCC42" s="52"/>
      <c r="QCD42" s="52"/>
      <c r="QCE42" s="52"/>
      <c r="QCF42" s="52"/>
      <c r="QCG42" s="52"/>
      <c r="QCH42" s="52"/>
      <c r="QCI42" s="52"/>
      <c r="QCJ42" s="52"/>
      <c r="QCK42" s="52"/>
      <c r="QCL42" s="52"/>
      <c r="QCM42" s="52"/>
      <c r="QCN42" s="52"/>
      <c r="QCO42" s="52"/>
      <c r="QCP42" s="52"/>
      <c r="QCQ42" s="52"/>
      <c r="QCR42" s="52"/>
      <c r="QCS42" s="52"/>
      <c r="QCT42" s="52"/>
      <c r="QCU42" s="52"/>
      <c r="QCV42" s="52"/>
      <c r="QCW42" s="52"/>
      <c r="QCX42" s="52"/>
      <c r="QCY42" s="52"/>
      <c r="QCZ42" s="52"/>
      <c r="QDA42" s="52"/>
      <c r="QDB42" s="52"/>
      <c r="QDC42" s="52"/>
      <c r="QDD42" s="52"/>
      <c r="QDE42" s="52"/>
      <c r="QDF42" s="52"/>
      <c r="QDG42" s="52"/>
      <c r="QDH42" s="52"/>
      <c r="QDI42" s="52"/>
      <c r="QDJ42" s="52"/>
      <c r="QDK42" s="52"/>
      <c r="QDL42" s="52"/>
      <c r="QDM42" s="52"/>
      <c r="QDN42" s="52"/>
      <c r="QDO42" s="52"/>
      <c r="QDP42" s="52"/>
      <c r="QDQ42" s="52"/>
      <c r="QDR42" s="52"/>
      <c r="QDS42" s="52"/>
      <c r="QDT42" s="52"/>
      <c r="QDU42" s="52"/>
      <c r="QDV42" s="52"/>
      <c r="QDW42" s="52"/>
      <c r="QDX42" s="52"/>
      <c r="QDY42" s="52"/>
      <c r="QDZ42" s="52"/>
      <c r="QEA42" s="52"/>
      <c r="QEB42" s="52"/>
      <c r="QEC42" s="52"/>
      <c r="QED42" s="52"/>
      <c r="QEE42" s="52"/>
      <c r="QEF42" s="52"/>
      <c r="QEG42" s="52"/>
      <c r="QEH42" s="52"/>
      <c r="QEI42" s="52"/>
      <c r="QEJ42" s="52"/>
      <c r="QEK42" s="52"/>
      <c r="QEL42" s="52"/>
      <c r="QEM42" s="52"/>
      <c r="QEN42" s="52"/>
      <c r="QEO42" s="52"/>
      <c r="QEP42" s="52"/>
      <c r="QEQ42" s="52"/>
      <c r="QER42" s="52"/>
      <c r="QES42" s="52"/>
      <c r="QET42" s="52"/>
      <c r="QEU42" s="52"/>
      <c r="QEV42" s="52"/>
      <c r="QEW42" s="52"/>
      <c r="QEX42" s="52"/>
      <c r="QEY42" s="52"/>
      <c r="QEZ42" s="52"/>
      <c r="QFA42" s="52"/>
      <c r="QFB42" s="52"/>
      <c r="QFC42" s="52"/>
      <c r="QFD42" s="52"/>
      <c r="QFE42" s="52"/>
      <c r="QFF42" s="52"/>
      <c r="QFG42" s="52"/>
      <c r="QFH42" s="52"/>
      <c r="QFI42" s="52"/>
      <c r="QFJ42" s="52"/>
      <c r="QFK42" s="52"/>
      <c r="QFL42" s="52"/>
      <c r="QFM42" s="52"/>
      <c r="QFN42" s="52"/>
      <c r="QFO42" s="52"/>
      <c r="QFP42" s="52"/>
      <c r="QFQ42" s="52"/>
      <c r="QFR42" s="52"/>
      <c r="QFS42" s="52"/>
      <c r="QFT42" s="52"/>
      <c r="QFU42" s="52"/>
      <c r="QFV42" s="52"/>
      <c r="QFW42" s="52"/>
      <c r="QFX42" s="52"/>
      <c r="QFY42" s="52"/>
      <c r="QFZ42" s="52"/>
      <c r="QGA42" s="52"/>
      <c r="QGB42" s="52"/>
      <c r="QGC42" s="52"/>
      <c r="QGD42" s="52"/>
      <c r="QGE42" s="52"/>
      <c r="QGF42" s="52"/>
      <c r="QGG42" s="52"/>
      <c r="QGH42" s="52"/>
      <c r="QGI42" s="52"/>
      <c r="QGJ42" s="52"/>
      <c r="QGK42" s="52"/>
      <c r="QGL42" s="52"/>
      <c r="QGM42" s="52"/>
      <c r="QGN42" s="52"/>
      <c r="QGO42" s="52"/>
      <c r="QGP42" s="52"/>
      <c r="QGQ42" s="52"/>
      <c r="QGR42" s="52"/>
      <c r="QGS42" s="52"/>
      <c r="QGT42" s="52"/>
      <c r="QGU42" s="52"/>
      <c r="QGV42" s="52"/>
      <c r="QGW42" s="52"/>
      <c r="QGX42" s="52"/>
      <c r="QGY42" s="52"/>
      <c r="QGZ42" s="52"/>
      <c r="QHA42" s="52"/>
      <c r="QHB42" s="52"/>
      <c r="QHC42" s="52"/>
      <c r="QHD42" s="52"/>
      <c r="QHE42" s="52"/>
      <c r="QHF42" s="52"/>
      <c r="QHG42" s="52"/>
      <c r="QHH42" s="52"/>
      <c r="QHI42" s="52"/>
      <c r="QHJ42" s="52"/>
      <c r="QHK42" s="52"/>
      <c r="QHL42" s="52"/>
      <c r="QHM42" s="52"/>
      <c r="QHN42" s="52"/>
      <c r="QHO42" s="52"/>
      <c r="QHP42" s="52"/>
      <c r="QHQ42" s="52"/>
      <c r="QHR42" s="52"/>
      <c r="QHS42" s="52"/>
      <c r="QHT42" s="52"/>
      <c r="QHU42" s="52"/>
      <c r="QHV42" s="52"/>
      <c r="QHW42" s="52"/>
      <c r="QHX42" s="52"/>
      <c r="QHY42" s="52"/>
      <c r="QHZ42" s="52"/>
      <c r="QIA42" s="52"/>
      <c r="QIB42" s="52"/>
      <c r="QIC42" s="52"/>
      <c r="QID42" s="52"/>
      <c r="QIE42" s="52"/>
      <c r="QIF42" s="52"/>
      <c r="QIG42" s="52"/>
      <c r="QIH42" s="52"/>
      <c r="QII42" s="52"/>
      <c r="QIJ42" s="52"/>
      <c r="QIK42" s="52"/>
      <c r="QIL42" s="52"/>
      <c r="QIM42" s="52"/>
      <c r="QIN42" s="52"/>
      <c r="QIO42" s="52"/>
      <c r="QIP42" s="52"/>
      <c r="QIQ42" s="52"/>
      <c r="QIR42" s="52"/>
      <c r="QIS42" s="52"/>
      <c r="QIT42" s="52"/>
      <c r="QIU42" s="52"/>
      <c r="QIV42" s="52"/>
      <c r="QIW42" s="52"/>
      <c r="QIX42" s="52"/>
      <c r="QIY42" s="52"/>
      <c r="QIZ42" s="52"/>
      <c r="QJA42" s="52"/>
      <c r="QJB42" s="52"/>
      <c r="QJC42" s="52"/>
      <c r="QJD42" s="52"/>
      <c r="QJE42" s="52"/>
      <c r="QJF42" s="52"/>
      <c r="QJG42" s="52"/>
      <c r="QJH42" s="52"/>
      <c r="QJI42" s="52"/>
      <c r="QJJ42" s="52"/>
      <c r="QJK42" s="52"/>
      <c r="QJL42" s="52"/>
      <c r="QJM42" s="52"/>
      <c r="QJN42" s="52"/>
      <c r="QJO42" s="52"/>
      <c r="QJP42" s="52"/>
      <c r="QJQ42" s="52"/>
      <c r="QJR42" s="52"/>
      <c r="QJS42" s="52"/>
      <c r="QJT42" s="52"/>
      <c r="QJU42" s="52"/>
      <c r="QJV42" s="52"/>
      <c r="QJW42" s="52"/>
      <c r="QJX42" s="52"/>
      <c r="QJY42" s="52"/>
      <c r="QJZ42" s="52"/>
      <c r="QKA42" s="52"/>
      <c r="QKB42" s="52"/>
      <c r="QKC42" s="52"/>
      <c r="QKD42" s="52"/>
      <c r="QKE42" s="52"/>
      <c r="QKF42" s="52"/>
      <c r="QKG42" s="52"/>
      <c r="QKH42" s="52"/>
      <c r="QKI42" s="52"/>
      <c r="QKJ42" s="52"/>
      <c r="QKK42" s="52"/>
      <c r="QKL42" s="52"/>
      <c r="QKM42" s="52"/>
      <c r="QKN42" s="52"/>
      <c r="QKO42" s="52"/>
      <c r="QKP42" s="52"/>
      <c r="QKQ42" s="52"/>
      <c r="QKR42" s="52"/>
      <c r="QKS42" s="52"/>
      <c r="QKT42" s="52"/>
      <c r="QKU42" s="52"/>
      <c r="QKV42" s="52"/>
      <c r="QKW42" s="52"/>
      <c r="QKX42" s="52"/>
      <c r="QKY42" s="52"/>
      <c r="QKZ42" s="52"/>
      <c r="QLA42" s="52"/>
      <c r="QLB42" s="52"/>
      <c r="QLC42" s="52"/>
      <c r="QLD42" s="52"/>
      <c r="QLE42" s="52"/>
      <c r="QLF42" s="52"/>
      <c r="QLG42" s="52"/>
      <c r="QLH42" s="52"/>
      <c r="QLI42" s="52"/>
      <c r="QLJ42" s="52"/>
      <c r="QLK42" s="52"/>
      <c r="QLL42" s="52"/>
      <c r="QLM42" s="52"/>
      <c r="QLN42" s="52"/>
      <c r="QLO42" s="52"/>
      <c r="QLP42" s="52"/>
      <c r="QLQ42" s="52"/>
      <c r="QLR42" s="52"/>
      <c r="QLS42" s="52"/>
      <c r="QLT42" s="52"/>
      <c r="QLU42" s="52"/>
      <c r="QLV42" s="52"/>
      <c r="QLW42" s="52"/>
      <c r="QLX42" s="52"/>
      <c r="QLY42" s="52"/>
      <c r="QLZ42" s="52"/>
      <c r="QMA42" s="52"/>
      <c r="QMB42" s="52"/>
      <c r="QMC42" s="52"/>
      <c r="QMD42" s="52"/>
      <c r="QME42" s="52"/>
      <c r="QMF42" s="52"/>
      <c r="QMG42" s="52"/>
      <c r="QMH42" s="52"/>
      <c r="QMI42" s="52"/>
      <c r="QMJ42" s="52"/>
      <c r="QMK42" s="52"/>
      <c r="QML42" s="52"/>
      <c r="QMM42" s="52"/>
      <c r="QMN42" s="52"/>
      <c r="QMO42" s="52"/>
      <c r="QMP42" s="52"/>
      <c r="QMQ42" s="52"/>
      <c r="QMR42" s="52"/>
      <c r="QMS42" s="52"/>
      <c r="QMT42" s="52"/>
      <c r="QMU42" s="52"/>
      <c r="QMV42" s="52"/>
      <c r="QMW42" s="52"/>
      <c r="QMX42" s="52"/>
      <c r="QMY42" s="52"/>
      <c r="QMZ42" s="52"/>
      <c r="QNA42" s="52"/>
      <c r="QNB42" s="52"/>
      <c r="QNC42" s="52"/>
      <c r="QND42" s="52"/>
      <c r="QNE42" s="52"/>
      <c r="QNF42" s="52"/>
      <c r="QNG42" s="52"/>
      <c r="QNH42" s="52"/>
      <c r="QNI42" s="52"/>
      <c r="QNJ42" s="52"/>
      <c r="QNK42" s="52"/>
      <c r="QNL42" s="52"/>
      <c r="QNM42" s="52"/>
      <c r="QNN42" s="52"/>
      <c r="QNO42" s="52"/>
      <c r="QNP42" s="52"/>
      <c r="QNQ42" s="52"/>
      <c r="QNR42" s="52"/>
      <c r="QNS42" s="52"/>
      <c r="QNT42" s="52"/>
      <c r="QNU42" s="52"/>
      <c r="QNV42" s="52"/>
      <c r="QNW42" s="52"/>
      <c r="QNX42" s="52"/>
      <c r="QNY42" s="52"/>
      <c r="QNZ42" s="52"/>
      <c r="QOA42" s="52"/>
      <c r="QOB42" s="52"/>
      <c r="QOC42" s="52"/>
      <c r="QOD42" s="52"/>
      <c r="QOE42" s="52"/>
      <c r="QOF42" s="52"/>
      <c r="QOG42" s="52"/>
      <c r="QOH42" s="52"/>
      <c r="QOI42" s="52"/>
      <c r="QOJ42" s="52"/>
      <c r="QOK42" s="52"/>
      <c r="QOL42" s="52"/>
      <c r="QOM42" s="52"/>
      <c r="QON42" s="52"/>
      <c r="QOO42" s="52"/>
      <c r="QOP42" s="52"/>
      <c r="QOQ42" s="52"/>
      <c r="QOR42" s="52"/>
      <c r="QOS42" s="52"/>
      <c r="QOT42" s="52"/>
      <c r="QOU42" s="52"/>
      <c r="QOV42" s="52"/>
      <c r="QOW42" s="52"/>
      <c r="QOX42" s="52"/>
      <c r="QOY42" s="52"/>
      <c r="QOZ42" s="52"/>
      <c r="QPA42" s="52"/>
      <c r="QPB42" s="52"/>
      <c r="QPC42" s="52"/>
      <c r="QPD42" s="52"/>
      <c r="QPE42" s="52"/>
      <c r="QPF42" s="52"/>
      <c r="QPG42" s="52"/>
      <c r="QPH42" s="52"/>
      <c r="QPI42" s="52"/>
      <c r="QPJ42" s="52"/>
      <c r="QPK42" s="52"/>
      <c r="QPL42" s="52"/>
      <c r="QPM42" s="52"/>
      <c r="QPN42" s="52"/>
      <c r="QPO42" s="52"/>
      <c r="QPP42" s="52"/>
      <c r="QPQ42" s="52"/>
      <c r="QPR42" s="52"/>
      <c r="QPS42" s="52"/>
      <c r="QPT42" s="52"/>
      <c r="QPU42" s="52"/>
      <c r="QPV42" s="52"/>
      <c r="QPW42" s="52"/>
      <c r="QPX42" s="52"/>
      <c r="QPY42" s="52"/>
      <c r="QPZ42" s="52"/>
      <c r="QQA42" s="52"/>
      <c r="QQB42" s="52"/>
      <c r="QQC42" s="52"/>
      <c r="QQD42" s="52"/>
      <c r="QQE42" s="52"/>
      <c r="QQF42" s="52"/>
      <c r="QQG42" s="52"/>
      <c r="QQH42" s="52"/>
      <c r="QQI42" s="52"/>
      <c r="QQJ42" s="52"/>
      <c r="QQK42" s="52"/>
      <c r="QQL42" s="52"/>
      <c r="QQM42" s="52"/>
      <c r="QQN42" s="52"/>
      <c r="QQO42" s="52"/>
      <c r="QQP42" s="52"/>
      <c r="QQQ42" s="52"/>
      <c r="QQR42" s="52"/>
      <c r="QQS42" s="52"/>
      <c r="QQT42" s="52"/>
      <c r="QQU42" s="52"/>
      <c r="QQV42" s="52"/>
      <c r="QQW42" s="52"/>
      <c r="QQX42" s="52"/>
      <c r="QQY42" s="52"/>
      <c r="QQZ42" s="52"/>
      <c r="QRA42" s="52"/>
      <c r="QRB42" s="52"/>
      <c r="QRC42" s="52"/>
      <c r="QRD42" s="52"/>
      <c r="QRE42" s="52"/>
      <c r="QRF42" s="52"/>
      <c r="QRG42" s="52"/>
      <c r="QRH42" s="52"/>
      <c r="QRI42" s="52"/>
      <c r="QRJ42" s="52"/>
      <c r="QRK42" s="52"/>
      <c r="QRL42" s="52"/>
      <c r="QRM42" s="52"/>
      <c r="QRN42" s="52"/>
      <c r="QRO42" s="52"/>
      <c r="QRP42" s="52"/>
      <c r="QRQ42" s="52"/>
      <c r="QRR42" s="52"/>
      <c r="QRS42" s="52"/>
      <c r="QRT42" s="52"/>
      <c r="QRU42" s="52"/>
      <c r="QRV42" s="52"/>
      <c r="QRW42" s="52"/>
      <c r="QRX42" s="52"/>
      <c r="QRY42" s="52"/>
      <c r="QRZ42" s="52"/>
      <c r="QSA42" s="52"/>
      <c r="QSB42" s="52"/>
      <c r="QSC42" s="52"/>
      <c r="QSD42" s="52"/>
      <c r="QSE42" s="52"/>
      <c r="QSF42" s="52"/>
      <c r="QSG42" s="52"/>
      <c r="QSH42" s="52"/>
      <c r="QSI42" s="52"/>
      <c r="QSJ42" s="52"/>
      <c r="QSK42" s="52"/>
      <c r="QSL42" s="52"/>
      <c r="QSM42" s="52"/>
      <c r="QSN42" s="52"/>
      <c r="QSO42" s="52"/>
      <c r="QSP42" s="52"/>
      <c r="QSQ42" s="52"/>
      <c r="QSR42" s="52"/>
      <c r="QSS42" s="52"/>
      <c r="QST42" s="52"/>
      <c r="QSU42" s="52"/>
      <c r="QSV42" s="52"/>
      <c r="QSW42" s="52"/>
      <c r="QSX42" s="52"/>
      <c r="QSY42" s="52"/>
      <c r="QSZ42" s="52"/>
      <c r="QTA42" s="52"/>
      <c r="QTB42" s="52"/>
      <c r="QTC42" s="52"/>
      <c r="QTD42" s="52"/>
      <c r="QTE42" s="52"/>
      <c r="QTF42" s="52"/>
      <c r="QTG42" s="52"/>
      <c r="QTH42" s="52"/>
      <c r="QTI42" s="52"/>
      <c r="QTJ42" s="52"/>
      <c r="QTK42" s="52"/>
      <c r="QTL42" s="52"/>
      <c r="QTM42" s="52"/>
      <c r="QTN42" s="52"/>
      <c r="QTO42" s="52"/>
      <c r="QTP42" s="52"/>
      <c r="QTQ42" s="52"/>
      <c r="QTR42" s="52"/>
      <c r="QTS42" s="52"/>
      <c r="QTT42" s="52"/>
      <c r="QTU42" s="52"/>
      <c r="QTV42" s="52"/>
      <c r="QTW42" s="52"/>
      <c r="QTX42" s="52"/>
      <c r="QTY42" s="52"/>
      <c r="QTZ42" s="52"/>
      <c r="QUA42" s="52"/>
      <c r="QUB42" s="52"/>
      <c r="QUC42" s="52"/>
      <c r="QUD42" s="52"/>
      <c r="QUE42" s="52"/>
      <c r="QUF42" s="52"/>
      <c r="QUG42" s="52"/>
      <c r="QUH42" s="52"/>
      <c r="QUI42" s="52"/>
      <c r="QUJ42" s="52"/>
      <c r="QUK42" s="52"/>
      <c r="QUL42" s="52"/>
      <c r="QUM42" s="52"/>
      <c r="QUN42" s="52"/>
      <c r="QUO42" s="52"/>
      <c r="QUP42" s="52"/>
      <c r="QUQ42" s="52"/>
      <c r="QUR42" s="52"/>
      <c r="QUS42" s="52"/>
      <c r="QUT42" s="52"/>
      <c r="QUU42" s="52"/>
      <c r="QUV42" s="52"/>
      <c r="QUW42" s="52"/>
      <c r="QUX42" s="52"/>
      <c r="QUY42" s="52"/>
      <c r="QUZ42" s="52"/>
      <c r="QVA42" s="52"/>
      <c r="QVB42" s="52"/>
      <c r="QVC42" s="52"/>
      <c r="QVD42" s="52"/>
      <c r="QVE42" s="52"/>
      <c r="QVF42" s="52"/>
      <c r="QVG42" s="52"/>
      <c r="QVH42" s="52"/>
      <c r="QVI42" s="52"/>
      <c r="QVJ42" s="52"/>
      <c r="QVK42" s="52"/>
      <c r="QVL42" s="52"/>
      <c r="QVM42" s="52"/>
      <c r="QVN42" s="52"/>
      <c r="QVO42" s="52"/>
      <c r="QVP42" s="52"/>
      <c r="QVQ42" s="52"/>
      <c r="QVR42" s="52"/>
      <c r="QVS42" s="52"/>
      <c r="QVT42" s="52"/>
      <c r="QVU42" s="52"/>
      <c r="QVV42" s="52"/>
      <c r="QVW42" s="52"/>
      <c r="QVX42" s="52"/>
      <c r="QVY42" s="52"/>
      <c r="QVZ42" s="52"/>
      <c r="QWA42" s="52"/>
      <c r="QWB42" s="52"/>
      <c r="QWC42" s="52"/>
      <c r="QWD42" s="52"/>
      <c r="QWE42" s="52"/>
      <c r="QWF42" s="52"/>
      <c r="QWG42" s="52"/>
      <c r="QWH42" s="52"/>
      <c r="QWI42" s="52"/>
      <c r="QWJ42" s="52"/>
      <c r="QWK42" s="52"/>
      <c r="QWL42" s="52"/>
      <c r="QWM42" s="52"/>
      <c r="QWN42" s="52"/>
      <c r="QWO42" s="52"/>
      <c r="QWP42" s="52"/>
      <c r="QWQ42" s="52"/>
      <c r="QWR42" s="52"/>
      <c r="QWS42" s="52"/>
      <c r="QWT42" s="52"/>
      <c r="QWU42" s="52"/>
      <c r="QWV42" s="52"/>
      <c r="QWW42" s="52"/>
      <c r="QWX42" s="52"/>
      <c r="QWY42" s="52"/>
      <c r="QWZ42" s="52"/>
      <c r="QXA42" s="52"/>
      <c r="QXB42" s="52"/>
      <c r="QXC42" s="52"/>
      <c r="QXD42" s="52"/>
      <c r="QXE42" s="52"/>
      <c r="QXF42" s="52"/>
      <c r="QXG42" s="52"/>
      <c r="QXH42" s="52"/>
      <c r="QXI42" s="52"/>
      <c r="QXJ42" s="52"/>
      <c r="QXK42" s="52"/>
      <c r="QXL42" s="52"/>
      <c r="QXM42" s="52"/>
      <c r="QXN42" s="52"/>
      <c r="QXO42" s="52"/>
      <c r="QXP42" s="52"/>
      <c r="QXQ42" s="52"/>
      <c r="QXR42" s="52"/>
      <c r="QXS42" s="52"/>
      <c r="QXT42" s="52"/>
      <c r="QXU42" s="52"/>
      <c r="QXV42" s="52"/>
      <c r="QXW42" s="52"/>
      <c r="QXX42" s="52"/>
      <c r="QXY42" s="52"/>
      <c r="QXZ42" s="52"/>
      <c r="QYA42" s="52"/>
      <c r="QYB42" s="52"/>
      <c r="QYC42" s="52"/>
      <c r="QYD42" s="52"/>
      <c r="QYE42" s="52"/>
      <c r="QYF42" s="52"/>
      <c r="QYG42" s="52"/>
      <c r="QYH42" s="52"/>
      <c r="QYI42" s="52"/>
      <c r="QYJ42" s="52"/>
      <c r="QYK42" s="52"/>
      <c r="QYL42" s="52"/>
      <c r="QYM42" s="52"/>
      <c r="QYN42" s="52"/>
      <c r="QYO42" s="52"/>
      <c r="QYP42" s="52"/>
      <c r="QYQ42" s="52"/>
      <c r="QYR42" s="52"/>
      <c r="QYS42" s="52"/>
      <c r="QYT42" s="52"/>
      <c r="QYU42" s="52"/>
      <c r="QYV42" s="52"/>
      <c r="QYW42" s="52"/>
      <c r="QYX42" s="52"/>
      <c r="QYY42" s="52"/>
      <c r="QYZ42" s="52"/>
      <c r="QZA42" s="52"/>
      <c r="QZB42" s="52"/>
      <c r="QZC42" s="52"/>
      <c r="QZD42" s="52"/>
      <c r="QZE42" s="52"/>
      <c r="QZF42" s="52"/>
      <c r="QZG42" s="52"/>
      <c r="QZH42" s="52"/>
      <c r="QZI42" s="52"/>
      <c r="QZJ42" s="52"/>
      <c r="QZK42" s="52"/>
      <c r="QZL42" s="52"/>
      <c r="QZM42" s="52"/>
      <c r="QZN42" s="52"/>
      <c r="QZO42" s="52"/>
      <c r="QZP42" s="52"/>
      <c r="QZQ42" s="52"/>
      <c r="QZR42" s="52"/>
      <c r="QZS42" s="52"/>
      <c r="QZT42" s="52"/>
      <c r="QZU42" s="52"/>
      <c r="QZV42" s="52"/>
      <c r="QZW42" s="52"/>
      <c r="QZX42" s="52"/>
      <c r="QZY42" s="52"/>
      <c r="QZZ42" s="52"/>
      <c r="RAA42" s="52"/>
      <c r="RAB42" s="52"/>
      <c r="RAC42" s="52"/>
      <c r="RAD42" s="52"/>
      <c r="RAE42" s="52"/>
      <c r="RAF42" s="52"/>
      <c r="RAG42" s="52"/>
      <c r="RAH42" s="52"/>
      <c r="RAI42" s="52"/>
      <c r="RAJ42" s="52"/>
      <c r="RAK42" s="52"/>
      <c r="RAL42" s="52"/>
      <c r="RAM42" s="52"/>
      <c r="RAN42" s="52"/>
      <c r="RAO42" s="52"/>
      <c r="RAP42" s="52"/>
      <c r="RAQ42" s="52"/>
      <c r="RAR42" s="52"/>
      <c r="RAS42" s="52"/>
      <c r="RAT42" s="52"/>
      <c r="RAU42" s="52"/>
      <c r="RAV42" s="52"/>
      <c r="RAW42" s="52"/>
      <c r="RAX42" s="52"/>
      <c r="RAY42" s="52"/>
      <c r="RAZ42" s="52"/>
      <c r="RBA42" s="52"/>
      <c r="RBB42" s="52"/>
      <c r="RBC42" s="52"/>
      <c r="RBD42" s="52"/>
      <c r="RBE42" s="52"/>
      <c r="RBF42" s="52"/>
      <c r="RBG42" s="52"/>
      <c r="RBH42" s="52"/>
      <c r="RBI42" s="52"/>
      <c r="RBJ42" s="52"/>
      <c r="RBK42" s="52"/>
      <c r="RBL42" s="52"/>
      <c r="RBM42" s="52"/>
      <c r="RBN42" s="52"/>
      <c r="RBO42" s="52"/>
      <c r="RBP42" s="52"/>
      <c r="RBQ42" s="52"/>
      <c r="RBR42" s="52"/>
      <c r="RBS42" s="52"/>
      <c r="RBT42" s="52"/>
      <c r="RBU42" s="52"/>
      <c r="RBV42" s="52"/>
      <c r="RBW42" s="52"/>
      <c r="RBX42" s="52"/>
      <c r="RBY42" s="52"/>
      <c r="RBZ42" s="52"/>
      <c r="RCA42" s="52"/>
      <c r="RCB42" s="52"/>
      <c r="RCC42" s="52"/>
      <c r="RCD42" s="52"/>
      <c r="RCE42" s="52"/>
      <c r="RCF42" s="52"/>
      <c r="RCG42" s="52"/>
      <c r="RCH42" s="52"/>
      <c r="RCI42" s="52"/>
      <c r="RCJ42" s="52"/>
      <c r="RCK42" s="52"/>
      <c r="RCL42" s="52"/>
      <c r="RCM42" s="52"/>
      <c r="RCN42" s="52"/>
      <c r="RCO42" s="52"/>
      <c r="RCP42" s="52"/>
      <c r="RCQ42" s="52"/>
      <c r="RCR42" s="52"/>
      <c r="RCS42" s="52"/>
      <c r="RCT42" s="52"/>
      <c r="RCU42" s="52"/>
      <c r="RCV42" s="52"/>
      <c r="RCW42" s="52"/>
      <c r="RCX42" s="52"/>
      <c r="RCY42" s="52"/>
      <c r="RCZ42" s="52"/>
      <c r="RDA42" s="52"/>
      <c r="RDB42" s="52"/>
      <c r="RDC42" s="52"/>
      <c r="RDD42" s="52"/>
      <c r="RDE42" s="52"/>
      <c r="RDF42" s="52"/>
      <c r="RDG42" s="52"/>
      <c r="RDH42" s="52"/>
      <c r="RDI42" s="52"/>
      <c r="RDJ42" s="52"/>
      <c r="RDK42" s="52"/>
      <c r="RDL42" s="52"/>
      <c r="RDM42" s="52"/>
      <c r="RDN42" s="52"/>
      <c r="RDO42" s="52"/>
      <c r="RDP42" s="52"/>
      <c r="RDQ42" s="52"/>
      <c r="RDR42" s="52"/>
      <c r="RDS42" s="52"/>
      <c r="RDT42" s="52"/>
      <c r="RDU42" s="52"/>
      <c r="RDV42" s="52"/>
      <c r="RDW42" s="52"/>
      <c r="RDX42" s="52"/>
      <c r="RDY42" s="52"/>
      <c r="RDZ42" s="52"/>
      <c r="REA42" s="52"/>
      <c r="REB42" s="52"/>
      <c r="REC42" s="52"/>
      <c r="RED42" s="52"/>
      <c r="REE42" s="52"/>
      <c r="REF42" s="52"/>
      <c r="REG42" s="52"/>
      <c r="REH42" s="52"/>
      <c r="REI42" s="52"/>
      <c r="REJ42" s="52"/>
      <c r="REK42" s="52"/>
      <c r="REL42" s="52"/>
      <c r="REM42" s="52"/>
      <c r="REN42" s="52"/>
      <c r="REO42" s="52"/>
      <c r="REP42" s="52"/>
      <c r="REQ42" s="52"/>
      <c r="RER42" s="52"/>
      <c r="RES42" s="52"/>
      <c r="RET42" s="52"/>
      <c r="REU42" s="52"/>
      <c r="REV42" s="52"/>
      <c r="REW42" s="52"/>
      <c r="REX42" s="52"/>
      <c r="REY42" s="52"/>
      <c r="REZ42" s="52"/>
      <c r="RFA42" s="52"/>
      <c r="RFB42" s="52"/>
      <c r="RFC42" s="52"/>
      <c r="RFD42" s="52"/>
      <c r="RFE42" s="52"/>
      <c r="RFF42" s="52"/>
      <c r="RFG42" s="52"/>
      <c r="RFH42" s="52"/>
      <c r="RFI42" s="52"/>
      <c r="RFJ42" s="52"/>
      <c r="RFK42" s="52"/>
      <c r="RFL42" s="52"/>
      <c r="RFM42" s="52"/>
      <c r="RFN42" s="52"/>
      <c r="RFO42" s="52"/>
      <c r="RFP42" s="52"/>
      <c r="RFQ42" s="52"/>
      <c r="RFR42" s="52"/>
      <c r="RFS42" s="52"/>
      <c r="RFT42" s="52"/>
      <c r="RFU42" s="52"/>
      <c r="RFV42" s="52"/>
      <c r="RFW42" s="52"/>
      <c r="RFX42" s="52"/>
      <c r="RFY42" s="52"/>
      <c r="RFZ42" s="52"/>
      <c r="RGA42" s="52"/>
      <c r="RGB42" s="52"/>
      <c r="RGC42" s="52"/>
      <c r="RGD42" s="52"/>
      <c r="RGE42" s="52"/>
      <c r="RGF42" s="52"/>
      <c r="RGG42" s="52"/>
      <c r="RGH42" s="52"/>
      <c r="RGI42" s="52"/>
      <c r="RGJ42" s="52"/>
      <c r="RGK42" s="52"/>
      <c r="RGL42" s="52"/>
      <c r="RGM42" s="52"/>
      <c r="RGN42" s="52"/>
      <c r="RGO42" s="52"/>
      <c r="RGP42" s="52"/>
      <c r="RGQ42" s="52"/>
      <c r="RGR42" s="52"/>
      <c r="RGS42" s="52"/>
      <c r="RGT42" s="52"/>
      <c r="RGU42" s="52"/>
      <c r="RGV42" s="52"/>
      <c r="RGW42" s="52"/>
      <c r="RGX42" s="52"/>
      <c r="RGY42" s="52"/>
      <c r="RGZ42" s="52"/>
      <c r="RHA42" s="52"/>
      <c r="RHB42" s="52"/>
      <c r="RHC42" s="52"/>
      <c r="RHD42" s="52"/>
      <c r="RHE42" s="52"/>
      <c r="RHF42" s="52"/>
      <c r="RHG42" s="52"/>
      <c r="RHH42" s="52"/>
      <c r="RHI42" s="52"/>
      <c r="RHJ42" s="52"/>
      <c r="RHK42" s="52"/>
      <c r="RHL42" s="52"/>
      <c r="RHM42" s="52"/>
      <c r="RHN42" s="52"/>
      <c r="RHO42" s="52"/>
      <c r="RHP42" s="52"/>
      <c r="RHQ42" s="52"/>
      <c r="RHR42" s="52"/>
      <c r="RHS42" s="52"/>
      <c r="RHT42" s="52"/>
      <c r="RHU42" s="52"/>
      <c r="RHV42" s="52"/>
      <c r="RHW42" s="52"/>
      <c r="RHX42" s="52"/>
      <c r="RHY42" s="52"/>
      <c r="RHZ42" s="52"/>
      <c r="RIA42" s="52"/>
      <c r="RIB42" s="52"/>
      <c r="RIC42" s="52"/>
      <c r="RID42" s="52"/>
      <c r="RIE42" s="52"/>
      <c r="RIF42" s="52"/>
      <c r="RIG42" s="52"/>
      <c r="RIH42" s="52"/>
      <c r="RII42" s="52"/>
      <c r="RIJ42" s="52"/>
      <c r="RIK42" s="52"/>
      <c r="RIL42" s="52"/>
      <c r="RIM42" s="52"/>
      <c r="RIN42" s="52"/>
      <c r="RIO42" s="52"/>
      <c r="RIP42" s="52"/>
      <c r="RIQ42" s="52"/>
      <c r="RIR42" s="52"/>
      <c r="RIS42" s="52"/>
      <c r="RIT42" s="52"/>
      <c r="RIU42" s="52"/>
      <c r="RIV42" s="52"/>
      <c r="RIW42" s="52"/>
      <c r="RIX42" s="52"/>
      <c r="RIY42" s="52"/>
      <c r="RIZ42" s="52"/>
      <c r="RJA42" s="52"/>
      <c r="RJB42" s="52"/>
      <c r="RJC42" s="52"/>
      <c r="RJD42" s="52"/>
      <c r="RJE42" s="52"/>
      <c r="RJF42" s="52"/>
      <c r="RJG42" s="52"/>
      <c r="RJH42" s="52"/>
      <c r="RJI42" s="52"/>
      <c r="RJJ42" s="52"/>
      <c r="RJK42" s="52"/>
      <c r="RJL42" s="52"/>
      <c r="RJM42" s="52"/>
      <c r="RJN42" s="52"/>
      <c r="RJO42" s="52"/>
      <c r="RJP42" s="52"/>
      <c r="RJQ42" s="52"/>
      <c r="RJR42" s="52"/>
      <c r="RJS42" s="52"/>
      <c r="RJT42" s="52"/>
      <c r="RJU42" s="52"/>
      <c r="RJV42" s="52"/>
      <c r="RJW42" s="52"/>
      <c r="RJX42" s="52"/>
      <c r="RJY42" s="52"/>
      <c r="RJZ42" s="52"/>
      <c r="RKA42" s="52"/>
      <c r="RKB42" s="52"/>
      <c r="RKC42" s="52"/>
      <c r="RKD42" s="52"/>
      <c r="RKE42" s="52"/>
      <c r="RKF42" s="52"/>
      <c r="RKG42" s="52"/>
      <c r="RKH42" s="52"/>
      <c r="RKI42" s="52"/>
      <c r="RKJ42" s="52"/>
      <c r="RKK42" s="52"/>
      <c r="RKL42" s="52"/>
      <c r="RKM42" s="52"/>
      <c r="RKN42" s="52"/>
      <c r="RKO42" s="52"/>
      <c r="RKP42" s="52"/>
      <c r="RKQ42" s="52"/>
      <c r="RKR42" s="52"/>
      <c r="RKS42" s="52"/>
      <c r="RKT42" s="52"/>
      <c r="RKU42" s="52"/>
      <c r="RKV42" s="52"/>
      <c r="RKW42" s="52"/>
      <c r="RKX42" s="52"/>
      <c r="RKY42" s="52"/>
      <c r="RKZ42" s="52"/>
      <c r="RLA42" s="52"/>
      <c r="RLB42" s="52"/>
      <c r="RLC42" s="52"/>
      <c r="RLD42" s="52"/>
      <c r="RLE42" s="52"/>
      <c r="RLF42" s="52"/>
      <c r="RLG42" s="52"/>
      <c r="RLH42" s="52"/>
      <c r="RLI42" s="52"/>
      <c r="RLJ42" s="52"/>
      <c r="RLK42" s="52"/>
      <c r="RLL42" s="52"/>
      <c r="RLM42" s="52"/>
      <c r="RLN42" s="52"/>
      <c r="RLO42" s="52"/>
      <c r="RLP42" s="52"/>
      <c r="RLQ42" s="52"/>
      <c r="RLR42" s="52"/>
      <c r="RLS42" s="52"/>
      <c r="RLT42" s="52"/>
      <c r="RLU42" s="52"/>
      <c r="RLV42" s="52"/>
      <c r="RLW42" s="52"/>
      <c r="RLX42" s="52"/>
      <c r="RLY42" s="52"/>
      <c r="RLZ42" s="52"/>
      <c r="RMA42" s="52"/>
      <c r="RMB42" s="52"/>
      <c r="RMC42" s="52"/>
      <c r="RMD42" s="52"/>
      <c r="RME42" s="52"/>
      <c r="RMF42" s="52"/>
      <c r="RMG42" s="52"/>
      <c r="RMH42" s="52"/>
      <c r="RMI42" s="52"/>
      <c r="RMJ42" s="52"/>
      <c r="RMK42" s="52"/>
      <c r="RML42" s="52"/>
      <c r="RMM42" s="52"/>
      <c r="RMN42" s="52"/>
      <c r="RMO42" s="52"/>
      <c r="RMP42" s="52"/>
      <c r="RMQ42" s="52"/>
      <c r="RMR42" s="52"/>
      <c r="RMS42" s="52"/>
      <c r="RMT42" s="52"/>
      <c r="RMU42" s="52"/>
      <c r="RMV42" s="52"/>
      <c r="RMW42" s="52"/>
      <c r="RMX42" s="52"/>
      <c r="RMY42" s="52"/>
      <c r="RMZ42" s="52"/>
      <c r="RNA42" s="52"/>
      <c r="RNB42" s="52"/>
      <c r="RNC42" s="52"/>
      <c r="RND42" s="52"/>
      <c r="RNE42" s="52"/>
      <c r="RNF42" s="52"/>
      <c r="RNG42" s="52"/>
      <c r="RNH42" s="52"/>
      <c r="RNI42" s="52"/>
      <c r="RNJ42" s="52"/>
      <c r="RNK42" s="52"/>
      <c r="RNL42" s="52"/>
      <c r="RNM42" s="52"/>
      <c r="RNN42" s="52"/>
      <c r="RNO42" s="52"/>
      <c r="RNP42" s="52"/>
      <c r="RNQ42" s="52"/>
      <c r="RNR42" s="52"/>
      <c r="RNS42" s="52"/>
      <c r="RNT42" s="52"/>
      <c r="RNU42" s="52"/>
      <c r="RNV42" s="52"/>
      <c r="RNW42" s="52"/>
      <c r="RNX42" s="52"/>
      <c r="RNY42" s="52"/>
      <c r="RNZ42" s="52"/>
      <c r="ROA42" s="52"/>
      <c r="ROB42" s="52"/>
      <c r="ROC42" s="52"/>
      <c r="ROD42" s="52"/>
      <c r="ROE42" s="52"/>
      <c r="ROF42" s="52"/>
      <c r="ROG42" s="52"/>
      <c r="ROH42" s="52"/>
      <c r="ROI42" s="52"/>
      <c r="ROJ42" s="52"/>
      <c r="ROK42" s="52"/>
      <c r="ROL42" s="52"/>
      <c r="ROM42" s="52"/>
      <c r="RON42" s="52"/>
      <c r="ROO42" s="52"/>
      <c r="ROP42" s="52"/>
      <c r="ROQ42" s="52"/>
      <c r="ROR42" s="52"/>
      <c r="ROS42" s="52"/>
      <c r="ROT42" s="52"/>
      <c r="ROU42" s="52"/>
      <c r="ROV42" s="52"/>
      <c r="ROW42" s="52"/>
      <c r="ROX42" s="52"/>
      <c r="ROY42" s="52"/>
      <c r="ROZ42" s="52"/>
      <c r="RPA42" s="52"/>
      <c r="RPB42" s="52"/>
      <c r="RPC42" s="52"/>
      <c r="RPD42" s="52"/>
      <c r="RPE42" s="52"/>
      <c r="RPF42" s="52"/>
      <c r="RPG42" s="52"/>
      <c r="RPH42" s="52"/>
      <c r="RPI42" s="52"/>
      <c r="RPJ42" s="52"/>
      <c r="RPK42" s="52"/>
      <c r="RPL42" s="52"/>
      <c r="RPM42" s="52"/>
      <c r="RPN42" s="52"/>
      <c r="RPO42" s="52"/>
      <c r="RPP42" s="52"/>
      <c r="RPQ42" s="52"/>
      <c r="RPR42" s="52"/>
      <c r="RPS42" s="52"/>
      <c r="RPT42" s="52"/>
      <c r="RPU42" s="52"/>
      <c r="RPV42" s="52"/>
      <c r="RPW42" s="52"/>
      <c r="RPX42" s="52"/>
      <c r="RPY42" s="52"/>
      <c r="RPZ42" s="52"/>
      <c r="RQA42" s="52"/>
      <c r="RQB42" s="52"/>
      <c r="RQC42" s="52"/>
      <c r="RQD42" s="52"/>
      <c r="RQE42" s="52"/>
      <c r="RQF42" s="52"/>
      <c r="RQG42" s="52"/>
      <c r="RQH42" s="52"/>
      <c r="RQI42" s="52"/>
      <c r="RQJ42" s="52"/>
      <c r="RQK42" s="52"/>
      <c r="RQL42" s="52"/>
      <c r="RQM42" s="52"/>
      <c r="RQN42" s="52"/>
      <c r="RQO42" s="52"/>
      <c r="RQP42" s="52"/>
      <c r="RQQ42" s="52"/>
      <c r="RQR42" s="52"/>
      <c r="RQS42" s="52"/>
      <c r="RQT42" s="52"/>
      <c r="RQU42" s="52"/>
      <c r="RQV42" s="52"/>
      <c r="RQW42" s="52"/>
      <c r="RQX42" s="52"/>
      <c r="RQY42" s="52"/>
      <c r="RQZ42" s="52"/>
      <c r="RRA42" s="52"/>
      <c r="RRB42" s="52"/>
      <c r="RRC42" s="52"/>
      <c r="RRD42" s="52"/>
      <c r="RRE42" s="52"/>
      <c r="RRF42" s="52"/>
      <c r="RRG42" s="52"/>
      <c r="RRH42" s="52"/>
      <c r="RRI42" s="52"/>
      <c r="RRJ42" s="52"/>
      <c r="RRK42" s="52"/>
      <c r="RRL42" s="52"/>
      <c r="RRM42" s="52"/>
      <c r="RRN42" s="52"/>
      <c r="RRO42" s="52"/>
      <c r="RRP42" s="52"/>
      <c r="RRQ42" s="52"/>
      <c r="RRR42" s="52"/>
      <c r="RRS42" s="52"/>
      <c r="RRT42" s="52"/>
      <c r="RRU42" s="52"/>
      <c r="RRV42" s="52"/>
      <c r="RRW42" s="52"/>
      <c r="RRX42" s="52"/>
      <c r="RRY42" s="52"/>
      <c r="RRZ42" s="52"/>
      <c r="RSA42" s="52"/>
      <c r="RSB42" s="52"/>
      <c r="RSC42" s="52"/>
      <c r="RSD42" s="52"/>
      <c r="RSE42" s="52"/>
      <c r="RSF42" s="52"/>
      <c r="RSG42" s="52"/>
      <c r="RSH42" s="52"/>
      <c r="RSI42" s="52"/>
      <c r="RSJ42" s="52"/>
      <c r="RSK42" s="52"/>
      <c r="RSL42" s="52"/>
      <c r="RSM42" s="52"/>
      <c r="RSN42" s="52"/>
      <c r="RSO42" s="52"/>
      <c r="RSP42" s="52"/>
      <c r="RSQ42" s="52"/>
      <c r="RSR42" s="52"/>
      <c r="RSS42" s="52"/>
      <c r="RST42" s="52"/>
      <c r="RSU42" s="52"/>
      <c r="RSV42" s="52"/>
      <c r="RSW42" s="52"/>
      <c r="RSX42" s="52"/>
      <c r="RSY42" s="52"/>
      <c r="RSZ42" s="52"/>
      <c r="RTA42" s="52"/>
      <c r="RTB42" s="52"/>
      <c r="RTC42" s="52"/>
      <c r="RTD42" s="52"/>
      <c r="RTE42" s="52"/>
      <c r="RTF42" s="52"/>
      <c r="RTG42" s="52"/>
      <c r="RTH42" s="52"/>
      <c r="RTI42" s="52"/>
      <c r="RTJ42" s="52"/>
      <c r="RTK42" s="52"/>
      <c r="RTL42" s="52"/>
      <c r="RTM42" s="52"/>
      <c r="RTN42" s="52"/>
      <c r="RTO42" s="52"/>
      <c r="RTP42" s="52"/>
      <c r="RTQ42" s="52"/>
      <c r="RTR42" s="52"/>
      <c r="RTS42" s="52"/>
      <c r="RTT42" s="52"/>
      <c r="RTU42" s="52"/>
      <c r="RTV42" s="52"/>
      <c r="RTW42" s="52"/>
      <c r="RTX42" s="52"/>
      <c r="RTY42" s="52"/>
      <c r="RTZ42" s="52"/>
      <c r="RUA42" s="52"/>
      <c r="RUB42" s="52"/>
      <c r="RUC42" s="52"/>
      <c r="RUD42" s="52"/>
      <c r="RUE42" s="52"/>
      <c r="RUF42" s="52"/>
      <c r="RUG42" s="52"/>
      <c r="RUH42" s="52"/>
      <c r="RUI42" s="52"/>
      <c r="RUJ42" s="52"/>
      <c r="RUK42" s="52"/>
      <c r="RUL42" s="52"/>
      <c r="RUM42" s="52"/>
      <c r="RUN42" s="52"/>
      <c r="RUO42" s="52"/>
      <c r="RUP42" s="52"/>
      <c r="RUQ42" s="52"/>
      <c r="RUR42" s="52"/>
      <c r="RUS42" s="52"/>
      <c r="RUT42" s="52"/>
      <c r="RUU42" s="52"/>
      <c r="RUV42" s="52"/>
      <c r="RUW42" s="52"/>
      <c r="RUX42" s="52"/>
      <c r="RUY42" s="52"/>
      <c r="RUZ42" s="52"/>
      <c r="RVA42" s="52"/>
      <c r="RVB42" s="52"/>
      <c r="RVC42" s="52"/>
      <c r="RVD42" s="52"/>
      <c r="RVE42" s="52"/>
      <c r="RVF42" s="52"/>
      <c r="RVG42" s="52"/>
      <c r="RVH42" s="52"/>
      <c r="RVI42" s="52"/>
      <c r="RVJ42" s="52"/>
      <c r="RVK42" s="52"/>
      <c r="RVL42" s="52"/>
      <c r="RVM42" s="52"/>
      <c r="RVN42" s="52"/>
      <c r="RVO42" s="52"/>
      <c r="RVP42" s="52"/>
      <c r="RVQ42" s="52"/>
      <c r="RVR42" s="52"/>
      <c r="RVS42" s="52"/>
      <c r="RVT42" s="52"/>
      <c r="RVU42" s="52"/>
      <c r="RVV42" s="52"/>
      <c r="RVW42" s="52"/>
      <c r="RVX42" s="52"/>
      <c r="RVY42" s="52"/>
      <c r="RVZ42" s="52"/>
      <c r="RWA42" s="52"/>
      <c r="RWB42" s="52"/>
      <c r="RWC42" s="52"/>
      <c r="RWD42" s="52"/>
      <c r="RWE42" s="52"/>
      <c r="RWF42" s="52"/>
      <c r="RWG42" s="52"/>
      <c r="RWH42" s="52"/>
      <c r="RWI42" s="52"/>
      <c r="RWJ42" s="52"/>
      <c r="RWK42" s="52"/>
      <c r="RWL42" s="52"/>
      <c r="RWM42" s="52"/>
      <c r="RWN42" s="52"/>
      <c r="RWO42" s="52"/>
      <c r="RWP42" s="52"/>
      <c r="RWQ42" s="52"/>
      <c r="RWR42" s="52"/>
      <c r="RWS42" s="52"/>
      <c r="RWT42" s="52"/>
      <c r="RWU42" s="52"/>
      <c r="RWV42" s="52"/>
      <c r="RWW42" s="52"/>
      <c r="RWX42" s="52"/>
      <c r="RWY42" s="52"/>
      <c r="RWZ42" s="52"/>
      <c r="RXA42" s="52"/>
      <c r="RXB42" s="52"/>
      <c r="RXC42" s="52"/>
      <c r="RXD42" s="52"/>
      <c r="RXE42" s="52"/>
      <c r="RXF42" s="52"/>
      <c r="RXG42" s="52"/>
      <c r="RXH42" s="52"/>
      <c r="RXI42" s="52"/>
      <c r="RXJ42" s="52"/>
      <c r="RXK42" s="52"/>
      <c r="RXL42" s="52"/>
      <c r="RXM42" s="52"/>
      <c r="RXN42" s="52"/>
      <c r="RXO42" s="52"/>
      <c r="RXP42" s="52"/>
      <c r="RXQ42" s="52"/>
      <c r="RXR42" s="52"/>
      <c r="RXS42" s="52"/>
      <c r="RXT42" s="52"/>
      <c r="RXU42" s="52"/>
      <c r="RXV42" s="52"/>
      <c r="RXW42" s="52"/>
      <c r="RXX42" s="52"/>
      <c r="RXY42" s="52"/>
      <c r="RXZ42" s="52"/>
      <c r="RYA42" s="52"/>
      <c r="RYB42" s="52"/>
      <c r="RYC42" s="52"/>
      <c r="RYD42" s="52"/>
      <c r="RYE42" s="52"/>
      <c r="RYF42" s="52"/>
      <c r="RYG42" s="52"/>
      <c r="RYH42" s="52"/>
      <c r="RYI42" s="52"/>
      <c r="RYJ42" s="52"/>
      <c r="RYK42" s="52"/>
      <c r="RYL42" s="52"/>
      <c r="RYM42" s="52"/>
      <c r="RYN42" s="52"/>
      <c r="RYO42" s="52"/>
      <c r="RYP42" s="52"/>
      <c r="RYQ42" s="52"/>
      <c r="RYR42" s="52"/>
      <c r="RYS42" s="52"/>
      <c r="RYT42" s="52"/>
      <c r="RYU42" s="52"/>
      <c r="RYV42" s="52"/>
      <c r="RYW42" s="52"/>
      <c r="RYX42" s="52"/>
      <c r="RYY42" s="52"/>
      <c r="RYZ42" s="52"/>
      <c r="RZA42" s="52"/>
      <c r="RZB42" s="52"/>
      <c r="RZC42" s="52"/>
      <c r="RZD42" s="52"/>
      <c r="RZE42" s="52"/>
      <c r="RZF42" s="52"/>
      <c r="RZG42" s="52"/>
      <c r="RZH42" s="52"/>
      <c r="RZI42" s="52"/>
      <c r="RZJ42" s="52"/>
      <c r="RZK42" s="52"/>
      <c r="RZL42" s="52"/>
      <c r="RZM42" s="52"/>
      <c r="RZN42" s="52"/>
      <c r="RZO42" s="52"/>
      <c r="RZP42" s="52"/>
      <c r="RZQ42" s="52"/>
      <c r="RZR42" s="52"/>
      <c r="RZS42" s="52"/>
      <c r="RZT42" s="52"/>
      <c r="RZU42" s="52"/>
      <c r="RZV42" s="52"/>
      <c r="RZW42" s="52"/>
      <c r="RZX42" s="52"/>
      <c r="RZY42" s="52"/>
      <c r="RZZ42" s="52"/>
      <c r="SAA42" s="52"/>
      <c r="SAB42" s="52"/>
      <c r="SAC42" s="52"/>
      <c r="SAD42" s="52"/>
      <c r="SAE42" s="52"/>
      <c r="SAF42" s="52"/>
      <c r="SAG42" s="52"/>
      <c r="SAH42" s="52"/>
      <c r="SAI42" s="52"/>
      <c r="SAJ42" s="52"/>
      <c r="SAK42" s="52"/>
      <c r="SAL42" s="52"/>
      <c r="SAM42" s="52"/>
      <c r="SAN42" s="52"/>
      <c r="SAO42" s="52"/>
      <c r="SAP42" s="52"/>
      <c r="SAQ42" s="52"/>
      <c r="SAR42" s="52"/>
      <c r="SAS42" s="52"/>
      <c r="SAT42" s="52"/>
      <c r="SAU42" s="52"/>
      <c r="SAV42" s="52"/>
      <c r="SAW42" s="52"/>
      <c r="SAX42" s="52"/>
      <c r="SAY42" s="52"/>
      <c r="SAZ42" s="52"/>
      <c r="SBA42" s="52"/>
      <c r="SBB42" s="52"/>
      <c r="SBC42" s="52"/>
      <c r="SBD42" s="52"/>
      <c r="SBE42" s="52"/>
      <c r="SBF42" s="52"/>
      <c r="SBG42" s="52"/>
      <c r="SBH42" s="52"/>
      <c r="SBI42" s="52"/>
      <c r="SBJ42" s="52"/>
      <c r="SBK42" s="52"/>
      <c r="SBL42" s="52"/>
      <c r="SBM42" s="52"/>
      <c r="SBN42" s="52"/>
      <c r="SBO42" s="52"/>
      <c r="SBP42" s="52"/>
      <c r="SBQ42" s="52"/>
      <c r="SBR42" s="52"/>
      <c r="SBS42" s="52"/>
      <c r="SBT42" s="52"/>
      <c r="SBU42" s="52"/>
      <c r="SBV42" s="52"/>
      <c r="SBW42" s="52"/>
      <c r="SBX42" s="52"/>
      <c r="SBY42" s="52"/>
      <c r="SBZ42" s="52"/>
      <c r="SCA42" s="52"/>
      <c r="SCB42" s="52"/>
      <c r="SCC42" s="52"/>
      <c r="SCD42" s="52"/>
      <c r="SCE42" s="52"/>
      <c r="SCF42" s="52"/>
      <c r="SCG42" s="52"/>
      <c r="SCH42" s="52"/>
      <c r="SCI42" s="52"/>
      <c r="SCJ42" s="52"/>
      <c r="SCK42" s="52"/>
      <c r="SCL42" s="52"/>
      <c r="SCM42" s="52"/>
      <c r="SCN42" s="52"/>
      <c r="SCO42" s="52"/>
      <c r="SCP42" s="52"/>
      <c r="SCQ42" s="52"/>
      <c r="SCR42" s="52"/>
      <c r="SCS42" s="52"/>
      <c r="SCT42" s="52"/>
      <c r="SCU42" s="52"/>
      <c r="SCV42" s="52"/>
      <c r="SCW42" s="52"/>
      <c r="SCX42" s="52"/>
      <c r="SCY42" s="52"/>
      <c r="SCZ42" s="52"/>
      <c r="SDA42" s="52"/>
      <c r="SDB42" s="52"/>
      <c r="SDC42" s="52"/>
      <c r="SDD42" s="52"/>
      <c r="SDE42" s="52"/>
      <c r="SDF42" s="52"/>
      <c r="SDG42" s="52"/>
      <c r="SDH42" s="52"/>
      <c r="SDI42" s="52"/>
      <c r="SDJ42" s="52"/>
      <c r="SDK42" s="52"/>
      <c r="SDL42" s="52"/>
      <c r="SDM42" s="52"/>
      <c r="SDN42" s="52"/>
      <c r="SDO42" s="52"/>
      <c r="SDP42" s="52"/>
      <c r="SDQ42" s="52"/>
      <c r="SDR42" s="52"/>
      <c r="SDS42" s="52"/>
      <c r="SDT42" s="52"/>
      <c r="SDU42" s="52"/>
      <c r="SDV42" s="52"/>
      <c r="SDW42" s="52"/>
      <c r="SDX42" s="52"/>
      <c r="SDY42" s="52"/>
      <c r="SDZ42" s="52"/>
      <c r="SEA42" s="52"/>
      <c r="SEB42" s="52"/>
      <c r="SEC42" s="52"/>
      <c r="SED42" s="52"/>
      <c r="SEE42" s="52"/>
      <c r="SEF42" s="52"/>
      <c r="SEG42" s="52"/>
      <c r="SEH42" s="52"/>
      <c r="SEI42" s="52"/>
      <c r="SEJ42" s="52"/>
      <c r="SEK42" s="52"/>
      <c r="SEL42" s="52"/>
      <c r="SEM42" s="52"/>
      <c r="SEN42" s="52"/>
      <c r="SEO42" s="52"/>
      <c r="SEP42" s="52"/>
      <c r="SEQ42" s="52"/>
      <c r="SER42" s="52"/>
      <c r="SES42" s="52"/>
      <c r="SET42" s="52"/>
      <c r="SEU42" s="52"/>
      <c r="SEV42" s="52"/>
      <c r="SEW42" s="52"/>
      <c r="SEX42" s="52"/>
      <c r="SEY42" s="52"/>
      <c r="SEZ42" s="52"/>
      <c r="SFA42" s="52"/>
      <c r="SFB42" s="52"/>
      <c r="SFC42" s="52"/>
      <c r="SFD42" s="52"/>
      <c r="SFE42" s="52"/>
      <c r="SFF42" s="52"/>
      <c r="SFG42" s="52"/>
      <c r="SFH42" s="52"/>
      <c r="SFI42" s="52"/>
      <c r="SFJ42" s="52"/>
      <c r="SFK42" s="52"/>
      <c r="SFL42" s="52"/>
      <c r="SFM42" s="52"/>
      <c r="SFN42" s="52"/>
      <c r="SFO42" s="52"/>
      <c r="SFP42" s="52"/>
      <c r="SFQ42" s="52"/>
      <c r="SFR42" s="52"/>
      <c r="SFS42" s="52"/>
      <c r="SFT42" s="52"/>
      <c r="SFU42" s="52"/>
      <c r="SFV42" s="52"/>
      <c r="SFW42" s="52"/>
      <c r="SFX42" s="52"/>
      <c r="SFY42" s="52"/>
      <c r="SFZ42" s="52"/>
      <c r="SGA42" s="52"/>
      <c r="SGB42" s="52"/>
      <c r="SGC42" s="52"/>
      <c r="SGD42" s="52"/>
      <c r="SGE42" s="52"/>
      <c r="SGF42" s="52"/>
      <c r="SGG42" s="52"/>
      <c r="SGH42" s="52"/>
      <c r="SGI42" s="52"/>
      <c r="SGJ42" s="52"/>
      <c r="SGK42" s="52"/>
      <c r="SGL42" s="52"/>
      <c r="SGM42" s="52"/>
      <c r="SGN42" s="52"/>
      <c r="SGO42" s="52"/>
      <c r="SGP42" s="52"/>
      <c r="SGQ42" s="52"/>
      <c r="SGR42" s="52"/>
      <c r="SGS42" s="52"/>
      <c r="SGT42" s="52"/>
      <c r="SGU42" s="52"/>
      <c r="SGV42" s="52"/>
      <c r="SGW42" s="52"/>
      <c r="SGX42" s="52"/>
      <c r="SGY42" s="52"/>
      <c r="SGZ42" s="52"/>
      <c r="SHA42" s="52"/>
      <c r="SHB42" s="52"/>
      <c r="SHC42" s="52"/>
      <c r="SHD42" s="52"/>
      <c r="SHE42" s="52"/>
      <c r="SHF42" s="52"/>
      <c r="SHG42" s="52"/>
      <c r="SHH42" s="52"/>
      <c r="SHI42" s="52"/>
      <c r="SHJ42" s="52"/>
      <c r="SHK42" s="52"/>
      <c r="SHL42" s="52"/>
      <c r="SHM42" s="52"/>
      <c r="SHN42" s="52"/>
      <c r="SHO42" s="52"/>
      <c r="SHP42" s="52"/>
      <c r="SHQ42" s="52"/>
      <c r="SHR42" s="52"/>
      <c r="SHS42" s="52"/>
      <c r="SHT42" s="52"/>
      <c r="SHU42" s="52"/>
      <c r="SHV42" s="52"/>
      <c r="SHW42" s="52"/>
      <c r="SHX42" s="52"/>
      <c r="SHY42" s="52"/>
      <c r="SHZ42" s="52"/>
      <c r="SIA42" s="52"/>
      <c r="SIB42" s="52"/>
      <c r="SIC42" s="52"/>
      <c r="SID42" s="52"/>
      <c r="SIE42" s="52"/>
      <c r="SIF42" s="52"/>
      <c r="SIG42" s="52"/>
      <c r="SIH42" s="52"/>
      <c r="SII42" s="52"/>
      <c r="SIJ42" s="52"/>
      <c r="SIK42" s="52"/>
      <c r="SIL42" s="52"/>
      <c r="SIM42" s="52"/>
      <c r="SIN42" s="52"/>
      <c r="SIO42" s="52"/>
      <c r="SIP42" s="52"/>
      <c r="SIQ42" s="52"/>
      <c r="SIR42" s="52"/>
      <c r="SIS42" s="52"/>
      <c r="SIT42" s="52"/>
      <c r="SIU42" s="52"/>
      <c r="SIV42" s="52"/>
      <c r="SIW42" s="52"/>
      <c r="SIX42" s="52"/>
      <c r="SIY42" s="52"/>
      <c r="SIZ42" s="52"/>
      <c r="SJA42" s="52"/>
      <c r="SJB42" s="52"/>
      <c r="SJC42" s="52"/>
      <c r="SJD42" s="52"/>
      <c r="SJE42" s="52"/>
      <c r="SJF42" s="52"/>
      <c r="SJG42" s="52"/>
      <c r="SJH42" s="52"/>
      <c r="SJI42" s="52"/>
      <c r="SJJ42" s="52"/>
      <c r="SJK42" s="52"/>
      <c r="SJL42" s="52"/>
      <c r="SJM42" s="52"/>
      <c r="SJN42" s="52"/>
      <c r="SJO42" s="52"/>
      <c r="SJP42" s="52"/>
      <c r="SJQ42" s="52"/>
      <c r="SJR42" s="52"/>
      <c r="SJS42" s="52"/>
      <c r="SJT42" s="52"/>
      <c r="SJU42" s="52"/>
      <c r="SJV42" s="52"/>
      <c r="SJW42" s="52"/>
      <c r="SJX42" s="52"/>
      <c r="SJY42" s="52"/>
      <c r="SJZ42" s="52"/>
      <c r="SKA42" s="52"/>
      <c r="SKB42" s="52"/>
      <c r="SKC42" s="52"/>
      <c r="SKD42" s="52"/>
      <c r="SKE42" s="52"/>
      <c r="SKF42" s="52"/>
      <c r="SKG42" s="52"/>
      <c r="SKH42" s="52"/>
      <c r="SKI42" s="52"/>
      <c r="SKJ42" s="52"/>
      <c r="SKK42" s="52"/>
      <c r="SKL42" s="52"/>
      <c r="SKM42" s="52"/>
      <c r="SKN42" s="52"/>
      <c r="SKO42" s="52"/>
      <c r="SKP42" s="52"/>
      <c r="SKQ42" s="52"/>
      <c r="SKR42" s="52"/>
      <c r="SKS42" s="52"/>
      <c r="SKT42" s="52"/>
      <c r="SKU42" s="52"/>
      <c r="SKV42" s="52"/>
      <c r="SKW42" s="52"/>
      <c r="SKX42" s="52"/>
      <c r="SKY42" s="52"/>
      <c r="SKZ42" s="52"/>
      <c r="SLA42" s="52"/>
      <c r="SLB42" s="52"/>
      <c r="SLC42" s="52"/>
      <c r="SLD42" s="52"/>
      <c r="SLE42" s="52"/>
      <c r="SLF42" s="52"/>
      <c r="SLG42" s="52"/>
      <c r="SLH42" s="52"/>
      <c r="SLI42" s="52"/>
      <c r="SLJ42" s="52"/>
      <c r="SLK42" s="52"/>
      <c r="SLL42" s="52"/>
      <c r="SLM42" s="52"/>
      <c r="SLN42" s="52"/>
      <c r="SLO42" s="52"/>
      <c r="SLP42" s="52"/>
      <c r="SLQ42" s="52"/>
      <c r="SLR42" s="52"/>
      <c r="SLS42" s="52"/>
      <c r="SLT42" s="52"/>
      <c r="SLU42" s="52"/>
      <c r="SLV42" s="52"/>
      <c r="SLW42" s="52"/>
      <c r="SLX42" s="52"/>
      <c r="SLY42" s="52"/>
      <c r="SLZ42" s="52"/>
      <c r="SMA42" s="52"/>
      <c r="SMB42" s="52"/>
      <c r="SMC42" s="52"/>
      <c r="SMD42" s="52"/>
      <c r="SME42" s="52"/>
      <c r="SMF42" s="52"/>
      <c r="SMG42" s="52"/>
      <c r="SMH42" s="52"/>
      <c r="SMI42" s="52"/>
      <c r="SMJ42" s="52"/>
      <c r="SMK42" s="52"/>
      <c r="SML42" s="52"/>
      <c r="SMM42" s="52"/>
      <c r="SMN42" s="52"/>
      <c r="SMO42" s="52"/>
      <c r="SMP42" s="52"/>
      <c r="SMQ42" s="52"/>
      <c r="SMR42" s="52"/>
      <c r="SMS42" s="52"/>
      <c r="SMT42" s="52"/>
      <c r="SMU42" s="52"/>
      <c r="SMV42" s="52"/>
      <c r="SMW42" s="52"/>
      <c r="SMX42" s="52"/>
      <c r="SMY42" s="52"/>
      <c r="SMZ42" s="52"/>
      <c r="SNA42" s="52"/>
      <c r="SNB42" s="52"/>
      <c r="SNC42" s="52"/>
      <c r="SND42" s="52"/>
      <c r="SNE42" s="52"/>
      <c r="SNF42" s="52"/>
      <c r="SNG42" s="52"/>
      <c r="SNH42" s="52"/>
      <c r="SNI42" s="52"/>
      <c r="SNJ42" s="52"/>
      <c r="SNK42" s="52"/>
      <c r="SNL42" s="52"/>
      <c r="SNM42" s="52"/>
      <c r="SNN42" s="52"/>
      <c r="SNO42" s="52"/>
      <c r="SNP42" s="52"/>
      <c r="SNQ42" s="52"/>
      <c r="SNR42" s="52"/>
      <c r="SNS42" s="52"/>
      <c r="SNT42" s="52"/>
      <c r="SNU42" s="52"/>
      <c r="SNV42" s="52"/>
      <c r="SNW42" s="52"/>
      <c r="SNX42" s="52"/>
      <c r="SNY42" s="52"/>
      <c r="SNZ42" s="52"/>
      <c r="SOA42" s="52"/>
      <c r="SOB42" s="52"/>
      <c r="SOC42" s="52"/>
      <c r="SOD42" s="52"/>
      <c r="SOE42" s="52"/>
      <c r="SOF42" s="52"/>
      <c r="SOG42" s="52"/>
      <c r="SOH42" s="52"/>
      <c r="SOI42" s="52"/>
      <c r="SOJ42" s="52"/>
      <c r="SOK42" s="52"/>
      <c r="SOL42" s="52"/>
      <c r="SOM42" s="52"/>
      <c r="SON42" s="52"/>
      <c r="SOO42" s="52"/>
      <c r="SOP42" s="52"/>
      <c r="SOQ42" s="52"/>
      <c r="SOR42" s="52"/>
      <c r="SOS42" s="52"/>
      <c r="SOT42" s="52"/>
      <c r="SOU42" s="52"/>
      <c r="SOV42" s="52"/>
      <c r="SOW42" s="52"/>
      <c r="SOX42" s="52"/>
      <c r="SOY42" s="52"/>
      <c r="SOZ42" s="52"/>
      <c r="SPA42" s="52"/>
      <c r="SPB42" s="52"/>
      <c r="SPC42" s="52"/>
      <c r="SPD42" s="52"/>
      <c r="SPE42" s="52"/>
      <c r="SPF42" s="52"/>
      <c r="SPG42" s="52"/>
      <c r="SPH42" s="52"/>
      <c r="SPI42" s="52"/>
      <c r="SPJ42" s="52"/>
      <c r="SPK42" s="52"/>
      <c r="SPL42" s="52"/>
      <c r="SPM42" s="52"/>
      <c r="SPN42" s="52"/>
      <c r="SPO42" s="52"/>
      <c r="SPP42" s="52"/>
      <c r="SPQ42" s="52"/>
      <c r="SPR42" s="52"/>
      <c r="SPS42" s="52"/>
      <c r="SPT42" s="52"/>
      <c r="SPU42" s="52"/>
      <c r="SPV42" s="52"/>
      <c r="SPW42" s="52"/>
      <c r="SPX42" s="52"/>
      <c r="SPY42" s="52"/>
      <c r="SPZ42" s="52"/>
      <c r="SQA42" s="52"/>
      <c r="SQB42" s="52"/>
      <c r="SQC42" s="52"/>
      <c r="SQD42" s="52"/>
      <c r="SQE42" s="52"/>
      <c r="SQF42" s="52"/>
      <c r="SQG42" s="52"/>
      <c r="SQH42" s="52"/>
      <c r="SQI42" s="52"/>
      <c r="SQJ42" s="52"/>
      <c r="SQK42" s="52"/>
      <c r="SQL42" s="52"/>
      <c r="SQM42" s="52"/>
      <c r="SQN42" s="52"/>
      <c r="SQO42" s="52"/>
      <c r="SQP42" s="52"/>
      <c r="SQQ42" s="52"/>
      <c r="SQR42" s="52"/>
      <c r="SQS42" s="52"/>
      <c r="SQT42" s="52"/>
      <c r="SQU42" s="52"/>
      <c r="SQV42" s="52"/>
      <c r="SQW42" s="52"/>
      <c r="SQX42" s="52"/>
      <c r="SQY42" s="52"/>
      <c r="SQZ42" s="52"/>
      <c r="SRA42" s="52"/>
      <c r="SRB42" s="52"/>
      <c r="SRC42" s="52"/>
      <c r="SRD42" s="52"/>
      <c r="SRE42" s="52"/>
      <c r="SRF42" s="52"/>
      <c r="SRG42" s="52"/>
      <c r="SRH42" s="52"/>
      <c r="SRI42" s="52"/>
      <c r="SRJ42" s="52"/>
      <c r="SRK42" s="52"/>
      <c r="SRL42" s="52"/>
      <c r="SRM42" s="52"/>
      <c r="SRN42" s="52"/>
      <c r="SRO42" s="52"/>
      <c r="SRP42" s="52"/>
      <c r="SRQ42" s="52"/>
      <c r="SRR42" s="52"/>
      <c r="SRS42" s="52"/>
      <c r="SRT42" s="52"/>
      <c r="SRU42" s="52"/>
      <c r="SRV42" s="52"/>
      <c r="SRW42" s="52"/>
      <c r="SRX42" s="52"/>
      <c r="SRY42" s="52"/>
      <c r="SRZ42" s="52"/>
      <c r="SSA42" s="52"/>
      <c r="SSB42" s="52"/>
      <c r="SSC42" s="52"/>
      <c r="SSD42" s="52"/>
      <c r="SSE42" s="52"/>
      <c r="SSF42" s="52"/>
      <c r="SSG42" s="52"/>
      <c r="SSH42" s="52"/>
      <c r="SSI42" s="52"/>
      <c r="SSJ42" s="52"/>
      <c r="SSK42" s="52"/>
      <c r="SSL42" s="52"/>
      <c r="SSM42" s="52"/>
      <c r="SSN42" s="52"/>
      <c r="SSO42" s="52"/>
      <c r="SSP42" s="52"/>
      <c r="SSQ42" s="52"/>
      <c r="SSR42" s="52"/>
      <c r="SSS42" s="52"/>
      <c r="SST42" s="52"/>
      <c r="SSU42" s="52"/>
      <c r="SSV42" s="52"/>
      <c r="SSW42" s="52"/>
      <c r="SSX42" s="52"/>
      <c r="SSY42" s="52"/>
      <c r="SSZ42" s="52"/>
      <c r="STA42" s="52"/>
      <c r="STB42" s="52"/>
      <c r="STC42" s="52"/>
      <c r="STD42" s="52"/>
      <c r="STE42" s="52"/>
      <c r="STF42" s="52"/>
      <c r="STG42" s="52"/>
      <c r="STH42" s="52"/>
      <c r="STI42" s="52"/>
      <c r="STJ42" s="52"/>
      <c r="STK42" s="52"/>
      <c r="STL42" s="52"/>
      <c r="STM42" s="52"/>
      <c r="STN42" s="52"/>
      <c r="STO42" s="52"/>
      <c r="STP42" s="52"/>
      <c r="STQ42" s="52"/>
      <c r="STR42" s="52"/>
      <c r="STS42" s="52"/>
      <c r="STT42" s="52"/>
      <c r="STU42" s="52"/>
      <c r="STV42" s="52"/>
      <c r="STW42" s="52"/>
      <c r="STX42" s="52"/>
      <c r="STY42" s="52"/>
      <c r="STZ42" s="52"/>
      <c r="SUA42" s="52"/>
      <c r="SUB42" s="52"/>
      <c r="SUC42" s="52"/>
      <c r="SUD42" s="52"/>
      <c r="SUE42" s="52"/>
      <c r="SUF42" s="52"/>
      <c r="SUG42" s="52"/>
      <c r="SUH42" s="52"/>
      <c r="SUI42" s="52"/>
      <c r="SUJ42" s="52"/>
      <c r="SUK42" s="52"/>
      <c r="SUL42" s="52"/>
      <c r="SUM42" s="52"/>
      <c r="SUN42" s="52"/>
      <c r="SUO42" s="52"/>
      <c r="SUP42" s="52"/>
      <c r="SUQ42" s="52"/>
      <c r="SUR42" s="52"/>
      <c r="SUS42" s="52"/>
      <c r="SUT42" s="52"/>
      <c r="SUU42" s="52"/>
      <c r="SUV42" s="52"/>
      <c r="SUW42" s="52"/>
      <c r="SUX42" s="52"/>
      <c r="SUY42" s="52"/>
      <c r="SUZ42" s="52"/>
      <c r="SVA42" s="52"/>
      <c r="SVB42" s="52"/>
      <c r="SVC42" s="52"/>
      <c r="SVD42" s="52"/>
      <c r="SVE42" s="52"/>
      <c r="SVF42" s="52"/>
      <c r="SVG42" s="52"/>
      <c r="SVH42" s="52"/>
      <c r="SVI42" s="52"/>
      <c r="SVJ42" s="52"/>
      <c r="SVK42" s="52"/>
      <c r="SVL42" s="52"/>
      <c r="SVM42" s="52"/>
      <c r="SVN42" s="52"/>
      <c r="SVO42" s="52"/>
      <c r="SVP42" s="52"/>
      <c r="SVQ42" s="52"/>
      <c r="SVR42" s="52"/>
      <c r="SVS42" s="52"/>
      <c r="SVT42" s="52"/>
      <c r="SVU42" s="52"/>
      <c r="SVV42" s="52"/>
      <c r="SVW42" s="52"/>
      <c r="SVX42" s="52"/>
      <c r="SVY42" s="52"/>
      <c r="SVZ42" s="52"/>
      <c r="SWA42" s="52"/>
      <c r="SWB42" s="52"/>
      <c r="SWC42" s="52"/>
      <c r="SWD42" s="52"/>
      <c r="SWE42" s="52"/>
      <c r="SWF42" s="52"/>
      <c r="SWG42" s="52"/>
      <c r="SWH42" s="52"/>
      <c r="SWI42" s="52"/>
      <c r="SWJ42" s="52"/>
      <c r="SWK42" s="52"/>
      <c r="SWL42" s="52"/>
      <c r="SWM42" s="52"/>
      <c r="SWN42" s="52"/>
      <c r="SWO42" s="52"/>
      <c r="SWP42" s="52"/>
      <c r="SWQ42" s="52"/>
      <c r="SWR42" s="52"/>
      <c r="SWS42" s="52"/>
      <c r="SWT42" s="52"/>
      <c r="SWU42" s="52"/>
      <c r="SWV42" s="52"/>
      <c r="SWW42" s="52"/>
      <c r="SWX42" s="52"/>
      <c r="SWY42" s="52"/>
      <c r="SWZ42" s="52"/>
      <c r="SXA42" s="52"/>
      <c r="SXB42" s="52"/>
      <c r="SXC42" s="52"/>
      <c r="SXD42" s="52"/>
      <c r="SXE42" s="52"/>
      <c r="SXF42" s="52"/>
      <c r="SXG42" s="52"/>
      <c r="SXH42" s="52"/>
      <c r="SXI42" s="52"/>
      <c r="SXJ42" s="52"/>
      <c r="SXK42" s="52"/>
      <c r="SXL42" s="52"/>
      <c r="SXM42" s="52"/>
      <c r="SXN42" s="52"/>
      <c r="SXO42" s="52"/>
      <c r="SXP42" s="52"/>
      <c r="SXQ42" s="52"/>
      <c r="SXR42" s="52"/>
      <c r="SXS42" s="52"/>
      <c r="SXT42" s="52"/>
      <c r="SXU42" s="52"/>
      <c r="SXV42" s="52"/>
      <c r="SXW42" s="52"/>
      <c r="SXX42" s="52"/>
      <c r="SXY42" s="52"/>
      <c r="SXZ42" s="52"/>
      <c r="SYA42" s="52"/>
      <c r="SYB42" s="52"/>
      <c r="SYC42" s="52"/>
      <c r="SYD42" s="52"/>
      <c r="SYE42" s="52"/>
      <c r="SYF42" s="52"/>
      <c r="SYG42" s="52"/>
      <c r="SYH42" s="52"/>
      <c r="SYI42" s="52"/>
      <c r="SYJ42" s="52"/>
      <c r="SYK42" s="52"/>
      <c r="SYL42" s="52"/>
      <c r="SYM42" s="52"/>
      <c r="SYN42" s="52"/>
      <c r="SYO42" s="52"/>
      <c r="SYP42" s="52"/>
      <c r="SYQ42" s="52"/>
      <c r="SYR42" s="52"/>
      <c r="SYS42" s="52"/>
      <c r="SYT42" s="52"/>
      <c r="SYU42" s="52"/>
      <c r="SYV42" s="52"/>
      <c r="SYW42" s="52"/>
      <c r="SYX42" s="52"/>
      <c r="SYY42" s="52"/>
      <c r="SYZ42" s="52"/>
      <c r="SZA42" s="52"/>
      <c r="SZB42" s="52"/>
      <c r="SZC42" s="52"/>
      <c r="SZD42" s="52"/>
      <c r="SZE42" s="52"/>
      <c r="SZF42" s="52"/>
      <c r="SZG42" s="52"/>
      <c r="SZH42" s="52"/>
      <c r="SZI42" s="52"/>
      <c r="SZJ42" s="52"/>
      <c r="SZK42" s="52"/>
      <c r="SZL42" s="52"/>
      <c r="SZM42" s="52"/>
      <c r="SZN42" s="52"/>
      <c r="SZO42" s="52"/>
      <c r="SZP42" s="52"/>
      <c r="SZQ42" s="52"/>
      <c r="SZR42" s="52"/>
      <c r="SZS42" s="52"/>
      <c r="SZT42" s="52"/>
      <c r="SZU42" s="52"/>
      <c r="SZV42" s="52"/>
      <c r="SZW42" s="52"/>
      <c r="SZX42" s="52"/>
      <c r="SZY42" s="52"/>
      <c r="SZZ42" s="52"/>
      <c r="TAA42" s="52"/>
      <c r="TAB42" s="52"/>
      <c r="TAC42" s="52"/>
      <c r="TAD42" s="52"/>
      <c r="TAE42" s="52"/>
      <c r="TAF42" s="52"/>
      <c r="TAG42" s="52"/>
      <c r="TAH42" s="52"/>
      <c r="TAI42" s="52"/>
      <c r="TAJ42" s="52"/>
      <c r="TAK42" s="52"/>
      <c r="TAL42" s="52"/>
      <c r="TAM42" s="52"/>
      <c r="TAN42" s="52"/>
      <c r="TAO42" s="52"/>
      <c r="TAP42" s="52"/>
      <c r="TAQ42" s="52"/>
      <c r="TAR42" s="52"/>
      <c r="TAS42" s="52"/>
      <c r="TAT42" s="52"/>
      <c r="TAU42" s="52"/>
      <c r="TAV42" s="52"/>
      <c r="TAW42" s="52"/>
      <c r="TAX42" s="52"/>
      <c r="TAY42" s="52"/>
      <c r="TAZ42" s="52"/>
      <c r="TBA42" s="52"/>
      <c r="TBB42" s="52"/>
      <c r="TBC42" s="52"/>
      <c r="TBD42" s="52"/>
      <c r="TBE42" s="52"/>
      <c r="TBF42" s="52"/>
      <c r="TBG42" s="52"/>
      <c r="TBH42" s="52"/>
      <c r="TBI42" s="52"/>
      <c r="TBJ42" s="52"/>
      <c r="TBK42" s="52"/>
      <c r="TBL42" s="52"/>
      <c r="TBM42" s="52"/>
      <c r="TBN42" s="52"/>
      <c r="TBO42" s="52"/>
      <c r="TBP42" s="52"/>
      <c r="TBQ42" s="52"/>
      <c r="TBR42" s="52"/>
      <c r="TBS42" s="52"/>
      <c r="TBT42" s="52"/>
      <c r="TBU42" s="52"/>
      <c r="TBV42" s="52"/>
      <c r="TBW42" s="52"/>
      <c r="TBX42" s="52"/>
      <c r="TBY42" s="52"/>
      <c r="TBZ42" s="52"/>
      <c r="TCA42" s="52"/>
      <c r="TCB42" s="52"/>
      <c r="TCC42" s="52"/>
      <c r="TCD42" s="52"/>
      <c r="TCE42" s="52"/>
      <c r="TCF42" s="52"/>
      <c r="TCG42" s="52"/>
      <c r="TCH42" s="52"/>
      <c r="TCI42" s="52"/>
      <c r="TCJ42" s="52"/>
      <c r="TCK42" s="52"/>
      <c r="TCL42" s="52"/>
      <c r="TCM42" s="52"/>
      <c r="TCN42" s="52"/>
      <c r="TCO42" s="52"/>
      <c r="TCP42" s="52"/>
      <c r="TCQ42" s="52"/>
      <c r="TCR42" s="52"/>
      <c r="TCS42" s="52"/>
      <c r="TCT42" s="52"/>
      <c r="TCU42" s="52"/>
      <c r="TCV42" s="52"/>
      <c r="TCW42" s="52"/>
      <c r="TCX42" s="52"/>
      <c r="TCY42" s="52"/>
      <c r="TCZ42" s="52"/>
      <c r="TDA42" s="52"/>
      <c r="TDB42" s="52"/>
      <c r="TDC42" s="52"/>
      <c r="TDD42" s="52"/>
      <c r="TDE42" s="52"/>
      <c r="TDF42" s="52"/>
      <c r="TDG42" s="52"/>
      <c r="TDH42" s="52"/>
      <c r="TDI42" s="52"/>
      <c r="TDJ42" s="52"/>
      <c r="TDK42" s="52"/>
      <c r="TDL42" s="52"/>
      <c r="TDM42" s="52"/>
      <c r="TDN42" s="52"/>
      <c r="TDO42" s="52"/>
      <c r="TDP42" s="52"/>
      <c r="TDQ42" s="52"/>
      <c r="TDR42" s="52"/>
      <c r="TDS42" s="52"/>
      <c r="TDT42" s="52"/>
      <c r="TDU42" s="52"/>
      <c r="TDV42" s="52"/>
      <c r="TDW42" s="52"/>
      <c r="TDX42" s="52"/>
      <c r="TDY42" s="52"/>
      <c r="TDZ42" s="52"/>
      <c r="TEA42" s="52"/>
      <c r="TEB42" s="52"/>
      <c r="TEC42" s="52"/>
      <c r="TED42" s="52"/>
      <c r="TEE42" s="52"/>
      <c r="TEF42" s="52"/>
      <c r="TEG42" s="52"/>
      <c r="TEH42" s="52"/>
      <c r="TEI42" s="52"/>
      <c r="TEJ42" s="52"/>
      <c r="TEK42" s="52"/>
      <c r="TEL42" s="52"/>
      <c r="TEM42" s="52"/>
      <c r="TEN42" s="52"/>
      <c r="TEO42" s="52"/>
      <c r="TEP42" s="52"/>
      <c r="TEQ42" s="52"/>
      <c r="TER42" s="52"/>
      <c r="TES42" s="52"/>
      <c r="TET42" s="52"/>
      <c r="TEU42" s="52"/>
      <c r="TEV42" s="52"/>
      <c r="TEW42" s="52"/>
      <c r="TEX42" s="52"/>
      <c r="TEY42" s="52"/>
      <c r="TEZ42" s="52"/>
      <c r="TFA42" s="52"/>
      <c r="TFB42" s="52"/>
      <c r="TFC42" s="52"/>
      <c r="TFD42" s="52"/>
      <c r="TFE42" s="52"/>
      <c r="TFF42" s="52"/>
      <c r="TFG42" s="52"/>
      <c r="TFH42" s="52"/>
      <c r="TFI42" s="52"/>
      <c r="TFJ42" s="52"/>
      <c r="TFK42" s="52"/>
      <c r="TFL42" s="52"/>
      <c r="TFM42" s="52"/>
      <c r="TFN42" s="52"/>
      <c r="TFO42" s="52"/>
      <c r="TFP42" s="52"/>
      <c r="TFQ42" s="52"/>
      <c r="TFR42" s="52"/>
      <c r="TFS42" s="52"/>
      <c r="TFT42" s="52"/>
      <c r="TFU42" s="52"/>
      <c r="TFV42" s="52"/>
      <c r="TFW42" s="52"/>
      <c r="TFX42" s="52"/>
      <c r="TFY42" s="52"/>
      <c r="TFZ42" s="52"/>
      <c r="TGA42" s="52"/>
      <c r="TGB42" s="52"/>
      <c r="TGC42" s="52"/>
      <c r="TGD42" s="52"/>
      <c r="TGE42" s="52"/>
      <c r="TGF42" s="52"/>
      <c r="TGG42" s="52"/>
      <c r="TGH42" s="52"/>
      <c r="TGI42" s="52"/>
      <c r="TGJ42" s="52"/>
      <c r="TGK42" s="52"/>
      <c r="TGL42" s="52"/>
      <c r="TGM42" s="52"/>
      <c r="TGN42" s="52"/>
      <c r="TGO42" s="52"/>
      <c r="TGP42" s="52"/>
      <c r="TGQ42" s="52"/>
      <c r="TGR42" s="52"/>
      <c r="TGS42" s="52"/>
      <c r="TGT42" s="52"/>
      <c r="TGU42" s="52"/>
      <c r="TGV42" s="52"/>
      <c r="TGW42" s="52"/>
      <c r="TGX42" s="52"/>
      <c r="TGY42" s="52"/>
      <c r="TGZ42" s="52"/>
      <c r="THA42" s="52"/>
      <c r="THB42" s="52"/>
      <c r="THC42" s="52"/>
      <c r="THD42" s="52"/>
      <c r="THE42" s="52"/>
      <c r="THF42" s="52"/>
      <c r="THG42" s="52"/>
      <c r="THH42" s="52"/>
      <c r="THI42" s="52"/>
      <c r="THJ42" s="52"/>
      <c r="THK42" s="52"/>
      <c r="THL42" s="52"/>
      <c r="THM42" s="52"/>
      <c r="THN42" s="52"/>
      <c r="THO42" s="52"/>
      <c r="THP42" s="52"/>
      <c r="THQ42" s="52"/>
      <c r="THR42" s="52"/>
      <c r="THS42" s="52"/>
      <c r="THT42" s="52"/>
      <c r="THU42" s="52"/>
      <c r="THV42" s="52"/>
      <c r="THW42" s="52"/>
      <c r="THX42" s="52"/>
      <c r="THY42" s="52"/>
      <c r="THZ42" s="52"/>
      <c r="TIA42" s="52"/>
      <c r="TIB42" s="52"/>
      <c r="TIC42" s="52"/>
      <c r="TID42" s="52"/>
      <c r="TIE42" s="52"/>
      <c r="TIF42" s="52"/>
      <c r="TIG42" s="52"/>
      <c r="TIH42" s="52"/>
      <c r="TII42" s="52"/>
      <c r="TIJ42" s="52"/>
      <c r="TIK42" s="52"/>
      <c r="TIL42" s="52"/>
      <c r="TIM42" s="52"/>
      <c r="TIN42" s="52"/>
      <c r="TIO42" s="52"/>
      <c r="TIP42" s="52"/>
      <c r="TIQ42" s="52"/>
      <c r="TIR42" s="52"/>
      <c r="TIS42" s="52"/>
      <c r="TIT42" s="52"/>
      <c r="TIU42" s="52"/>
      <c r="TIV42" s="52"/>
      <c r="TIW42" s="52"/>
      <c r="TIX42" s="52"/>
      <c r="TIY42" s="52"/>
      <c r="TIZ42" s="52"/>
      <c r="TJA42" s="52"/>
      <c r="TJB42" s="52"/>
      <c r="TJC42" s="52"/>
      <c r="TJD42" s="52"/>
      <c r="TJE42" s="52"/>
      <c r="TJF42" s="52"/>
      <c r="TJG42" s="52"/>
      <c r="TJH42" s="52"/>
      <c r="TJI42" s="52"/>
      <c r="TJJ42" s="52"/>
      <c r="TJK42" s="52"/>
      <c r="TJL42" s="52"/>
      <c r="TJM42" s="52"/>
      <c r="TJN42" s="52"/>
      <c r="TJO42" s="52"/>
      <c r="TJP42" s="52"/>
      <c r="TJQ42" s="52"/>
      <c r="TJR42" s="52"/>
      <c r="TJS42" s="52"/>
      <c r="TJT42" s="52"/>
      <c r="TJU42" s="52"/>
      <c r="TJV42" s="52"/>
      <c r="TJW42" s="52"/>
      <c r="TJX42" s="52"/>
      <c r="TJY42" s="52"/>
      <c r="TJZ42" s="52"/>
      <c r="TKA42" s="52"/>
      <c r="TKB42" s="52"/>
      <c r="TKC42" s="52"/>
      <c r="TKD42" s="52"/>
      <c r="TKE42" s="52"/>
      <c r="TKF42" s="52"/>
      <c r="TKG42" s="52"/>
      <c r="TKH42" s="52"/>
      <c r="TKI42" s="52"/>
      <c r="TKJ42" s="52"/>
      <c r="TKK42" s="52"/>
      <c r="TKL42" s="52"/>
      <c r="TKM42" s="52"/>
      <c r="TKN42" s="52"/>
      <c r="TKO42" s="52"/>
      <c r="TKP42" s="52"/>
      <c r="TKQ42" s="52"/>
      <c r="TKR42" s="52"/>
      <c r="TKS42" s="52"/>
      <c r="TKT42" s="52"/>
      <c r="TKU42" s="52"/>
      <c r="TKV42" s="52"/>
      <c r="TKW42" s="52"/>
      <c r="TKX42" s="52"/>
      <c r="TKY42" s="52"/>
      <c r="TKZ42" s="52"/>
      <c r="TLA42" s="52"/>
      <c r="TLB42" s="52"/>
      <c r="TLC42" s="52"/>
      <c r="TLD42" s="52"/>
      <c r="TLE42" s="52"/>
      <c r="TLF42" s="52"/>
      <c r="TLG42" s="52"/>
      <c r="TLH42" s="52"/>
      <c r="TLI42" s="52"/>
      <c r="TLJ42" s="52"/>
      <c r="TLK42" s="52"/>
      <c r="TLL42" s="52"/>
      <c r="TLM42" s="52"/>
      <c r="TLN42" s="52"/>
      <c r="TLO42" s="52"/>
      <c r="TLP42" s="52"/>
      <c r="TLQ42" s="52"/>
      <c r="TLR42" s="52"/>
      <c r="TLS42" s="52"/>
      <c r="TLT42" s="52"/>
      <c r="TLU42" s="52"/>
      <c r="TLV42" s="52"/>
      <c r="TLW42" s="52"/>
      <c r="TLX42" s="52"/>
      <c r="TLY42" s="52"/>
      <c r="TLZ42" s="52"/>
      <c r="TMA42" s="52"/>
      <c r="TMB42" s="52"/>
      <c r="TMC42" s="52"/>
      <c r="TMD42" s="52"/>
      <c r="TME42" s="52"/>
      <c r="TMF42" s="52"/>
      <c r="TMG42" s="52"/>
      <c r="TMH42" s="52"/>
      <c r="TMI42" s="52"/>
      <c r="TMJ42" s="52"/>
      <c r="TMK42" s="52"/>
      <c r="TML42" s="52"/>
      <c r="TMM42" s="52"/>
      <c r="TMN42" s="52"/>
      <c r="TMO42" s="52"/>
      <c r="TMP42" s="52"/>
      <c r="TMQ42" s="52"/>
      <c r="TMR42" s="52"/>
      <c r="TMS42" s="52"/>
      <c r="TMT42" s="52"/>
      <c r="TMU42" s="52"/>
      <c r="TMV42" s="52"/>
      <c r="TMW42" s="52"/>
      <c r="TMX42" s="52"/>
      <c r="TMY42" s="52"/>
      <c r="TMZ42" s="52"/>
      <c r="TNA42" s="52"/>
      <c r="TNB42" s="52"/>
      <c r="TNC42" s="52"/>
      <c r="TND42" s="52"/>
      <c r="TNE42" s="52"/>
      <c r="TNF42" s="52"/>
      <c r="TNG42" s="52"/>
      <c r="TNH42" s="52"/>
      <c r="TNI42" s="52"/>
      <c r="TNJ42" s="52"/>
      <c r="TNK42" s="52"/>
      <c r="TNL42" s="52"/>
      <c r="TNM42" s="52"/>
      <c r="TNN42" s="52"/>
      <c r="TNO42" s="52"/>
      <c r="TNP42" s="52"/>
      <c r="TNQ42" s="52"/>
      <c r="TNR42" s="52"/>
      <c r="TNS42" s="52"/>
      <c r="TNT42" s="52"/>
      <c r="TNU42" s="52"/>
      <c r="TNV42" s="52"/>
      <c r="TNW42" s="52"/>
      <c r="TNX42" s="52"/>
      <c r="TNY42" s="52"/>
      <c r="TNZ42" s="52"/>
      <c r="TOA42" s="52"/>
      <c r="TOB42" s="52"/>
      <c r="TOC42" s="52"/>
      <c r="TOD42" s="52"/>
      <c r="TOE42" s="52"/>
      <c r="TOF42" s="52"/>
      <c r="TOG42" s="52"/>
      <c r="TOH42" s="52"/>
      <c r="TOI42" s="52"/>
      <c r="TOJ42" s="52"/>
      <c r="TOK42" s="52"/>
      <c r="TOL42" s="52"/>
      <c r="TOM42" s="52"/>
      <c r="TON42" s="52"/>
      <c r="TOO42" s="52"/>
      <c r="TOP42" s="52"/>
      <c r="TOQ42" s="52"/>
      <c r="TOR42" s="52"/>
      <c r="TOS42" s="52"/>
      <c r="TOT42" s="52"/>
      <c r="TOU42" s="52"/>
      <c r="TOV42" s="52"/>
      <c r="TOW42" s="52"/>
      <c r="TOX42" s="52"/>
      <c r="TOY42" s="52"/>
      <c r="TOZ42" s="52"/>
      <c r="TPA42" s="52"/>
      <c r="TPB42" s="52"/>
      <c r="TPC42" s="52"/>
      <c r="TPD42" s="52"/>
      <c r="TPE42" s="52"/>
      <c r="TPF42" s="52"/>
      <c r="TPG42" s="52"/>
      <c r="TPH42" s="52"/>
      <c r="TPI42" s="52"/>
      <c r="TPJ42" s="52"/>
      <c r="TPK42" s="52"/>
      <c r="TPL42" s="52"/>
      <c r="TPM42" s="52"/>
      <c r="TPN42" s="52"/>
      <c r="TPO42" s="52"/>
      <c r="TPP42" s="52"/>
      <c r="TPQ42" s="52"/>
      <c r="TPR42" s="52"/>
      <c r="TPS42" s="52"/>
      <c r="TPT42" s="52"/>
      <c r="TPU42" s="52"/>
      <c r="TPV42" s="52"/>
      <c r="TPW42" s="52"/>
      <c r="TPX42" s="52"/>
      <c r="TPY42" s="52"/>
      <c r="TPZ42" s="52"/>
      <c r="TQA42" s="52"/>
      <c r="TQB42" s="52"/>
      <c r="TQC42" s="52"/>
      <c r="TQD42" s="52"/>
      <c r="TQE42" s="52"/>
      <c r="TQF42" s="52"/>
      <c r="TQG42" s="52"/>
      <c r="TQH42" s="52"/>
      <c r="TQI42" s="52"/>
      <c r="TQJ42" s="52"/>
      <c r="TQK42" s="52"/>
      <c r="TQL42" s="52"/>
      <c r="TQM42" s="52"/>
      <c r="TQN42" s="52"/>
      <c r="TQO42" s="52"/>
      <c r="TQP42" s="52"/>
      <c r="TQQ42" s="52"/>
      <c r="TQR42" s="52"/>
      <c r="TQS42" s="52"/>
      <c r="TQT42" s="52"/>
      <c r="TQU42" s="52"/>
      <c r="TQV42" s="52"/>
      <c r="TQW42" s="52"/>
      <c r="TQX42" s="52"/>
      <c r="TQY42" s="52"/>
      <c r="TQZ42" s="52"/>
      <c r="TRA42" s="52"/>
      <c r="TRB42" s="52"/>
      <c r="TRC42" s="52"/>
      <c r="TRD42" s="52"/>
      <c r="TRE42" s="52"/>
      <c r="TRF42" s="52"/>
      <c r="TRG42" s="52"/>
      <c r="TRH42" s="52"/>
      <c r="TRI42" s="52"/>
      <c r="TRJ42" s="52"/>
      <c r="TRK42" s="52"/>
      <c r="TRL42" s="52"/>
      <c r="TRM42" s="52"/>
      <c r="TRN42" s="52"/>
      <c r="TRO42" s="52"/>
      <c r="TRP42" s="52"/>
      <c r="TRQ42" s="52"/>
      <c r="TRR42" s="52"/>
      <c r="TRS42" s="52"/>
      <c r="TRT42" s="52"/>
      <c r="TRU42" s="52"/>
      <c r="TRV42" s="52"/>
      <c r="TRW42" s="52"/>
      <c r="TRX42" s="52"/>
      <c r="TRY42" s="52"/>
      <c r="TRZ42" s="52"/>
      <c r="TSA42" s="52"/>
      <c r="TSB42" s="52"/>
      <c r="TSC42" s="52"/>
      <c r="TSD42" s="52"/>
      <c r="TSE42" s="52"/>
      <c r="TSF42" s="52"/>
      <c r="TSG42" s="52"/>
      <c r="TSH42" s="52"/>
      <c r="TSI42" s="52"/>
      <c r="TSJ42" s="52"/>
      <c r="TSK42" s="52"/>
      <c r="TSL42" s="52"/>
      <c r="TSM42" s="52"/>
      <c r="TSN42" s="52"/>
      <c r="TSO42" s="52"/>
      <c r="TSP42" s="52"/>
      <c r="TSQ42" s="52"/>
      <c r="TSR42" s="52"/>
      <c r="TSS42" s="52"/>
      <c r="TST42" s="52"/>
      <c r="TSU42" s="52"/>
      <c r="TSV42" s="52"/>
      <c r="TSW42" s="52"/>
      <c r="TSX42" s="52"/>
      <c r="TSY42" s="52"/>
      <c r="TSZ42" s="52"/>
      <c r="TTA42" s="52"/>
      <c r="TTB42" s="52"/>
      <c r="TTC42" s="52"/>
      <c r="TTD42" s="52"/>
      <c r="TTE42" s="52"/>
      <c r="TTF42" s="52"/>
      <c r="TTG42" s="52"/>
      <c r="TTH42" s="52"/>
      <c r="TTI42" s="52"/>
      <c r="TTJ42" s="52"/>
      <c r="TTK42" s="52"/>
      <c r="TTL42" s="52"/>
      <c r="TTM42" s="52"/>
      <c r="TTN42" s="52"/>
      <c r="TTO42" s="52"/>
      <c r="TTP42" s="52"/>
      <c r="TTQ42" s="52"/>
      <c r="TTR42" s="52"/>
      <c r="TTS42" s="52"/>
      <c r="TTT42" s="52"/>
      <c r="TTU42" s="52"/>
      <c r="TTV42" s="52"/>
      <c r="TTW42" s="52"/>
      <c r="TTX42" s="52"/>
      <c r="TTY42" s="52"/>
      <c r="TTZ42" s="52"/>
      <c r="TUA42" s="52"/>
      <c r="TUB42" s="52"/>
      <c r="TUC42" s="52"/>
      <c r="TUD42" s="52"/>
      <c r="TUE42" s="52"/>
      <c r="TUF42" s="52"/>
      <c r="TUG42" s="52"/>
      <c r="TUH42" s="52"/>
      <c r="TUI42" s="52"/>
      <c r="TUJ42" s="52"/>
      <c r="TUK42" s="52"/>
      <c r="TUL42" s="52"/>
      <c r="TUM42" s="52"/>
      <c r="TUN42" s="52"/>
      <c r="TUO42" s="52"/>
      <c r="TUP42" s="52"/>
      <c r="TUQ42" s="52"/>
      <c r="TUR42" s="52"/>
      <c r="TUS42" s="52"/>
      <c r="TUT42" s="52"/>
      <c r="TUU42" s="52"/>
      <c r="TUV42" s="52"/>
      <c r="TUW42" s="52"/>
      <c r="TUX42" s="52"/>
      <c r="TUY42" s="52"/>
      <c r="TUZ42" s="52"/>
      <c r="TVA42" s="52"/>
      <c r="TVB42" s="52"/>
      <c r="TVC42" s="52"/>
      <c r="TVD42" s="52"/>
      <c r="TVE42" s="52"/>
      <c r="TVF42" s="52"/>
      <c r="TVG42" s="52"/>
      <c r="TVH42" s="52"/>
      <c r="TVI42" s="52"/>
      <c r="TVJ42" s="52"/>
      <c r="TVK42" s="52"/>
      <c r="TVL42" s="52"/>
      <c r="TVM42" s="52"/>
      <c r="TVN42" s="52"/>
      <c r="TVO42" s="52"/>
      <c r="TVP42" s="52"/>
      <c r="TVQ42" s="52"/>
      <c r="TVR42" s="52"/>
      <c r="TVS42" s="52"/>
      <c r="TVT42" s="52"/>
      <c r="TVU42" s="52"/>
      <c r="TVV42" s="52"/>
      <c r="TVW42" s="52"/>
      <c r="TVX42" s="52"/>
      <c r="TVY42" s="52"/>
      <c r="TVZ42" s="52"/>
      <c r="TWA42" s="52"/>
      <c r="TWB42" s="52"/>
      <c r="TWC42" s="52"/>
      <c r="TWD42" s="52"/>
      <c r="TWE42" s="52"/>
      <c r="TWF42" s="52"/>
      <c r="TWG42" s="52"/>
      <c r="TWH42" s="52"/>
      <c r="TWI42" s="52"/>
      <c r="TWJ42" s="52"/>
      <c r="TWK42" s="52"/>
      <c r="TWL42" s="52"/>
      <c r="TWM42" s="52"/>
      <c r="TWN42" s="52"/>
      <c r="TWO42" s="52"/>
      <c r="TWP42" s="52"/>
      <c r="TWQ42" s="52"/>
      <c r="TWR42" s="52"/>
      <c r="TWS42" s="52"/>
      <c r="TWT42" s="52"/>
      <c r="TWU42" s="52"/>
      <c r="TWV42" s="52"/>
      <c r="TWW42" s="52"/>
      <c r="TWX42" s="52"/>
      <c r="TWY42" s="52"/>
      <c r="TWZ42" s="52"/>
      <c r="TXA42" s="52"/>
      <c r="TXB42" s="52"/>
      <c r="TXC42" s="52"/>
      <c r="TXD42" s="52"/>
      <c r="TXE42" s="52"/>
      <c r="TXF42" s="52"/>
      <c r="TXG42" s="52"/>
      <c r="TXH42" s="52"/>
      <c r="TXI42" s="52"/>
      <c r="TXJ42" s="52"/>
      <c r="TXK42" s="52"/>
      <c r="TXL42" s="52"/>
      <c r="TXM42" s="52"/>
      <c r="TXN42" s="52"/>
      <c r="TXO42" s="52"/>
      <c r="TXP42" s="52"/>
      <c r="TXQ42" s="52"/>
      <c r="TXR42" s="52"/>
      <c r="TXS42" s="52"/>
      <c r="TXT42" s="52"/>
      <c r="TXU42" s="52"/>
      <c r="TXV42" s="52"/>
      <c r="TXW42" s="52"/>
      <c r="TXX42" s="52"/>
      <c r="TXY42" s="52"/>
      <c r="TXZ42" s="52"/>
      <c r="TYA42" s="52"/>
      <c r="TYB42" s="52"/>
      <c r="TYC42" s="52"/>
      <c r="TYD42" s="52"/>
      <c r="TYE42" s="52"/>
      <c r="TYF42" s="52"/>
      <c r="TYG42" s="52"/>
      <c r="TYH42" s="52"/>
      <c r="TYI42" s="52"/>
      <c r="TYJ42" s="52"/>
      <c r="TYK42" s="52"/>
      <c r="TYL42" s="52"/>
      <c r="TYM42" s="52"/>
      <c r="TYN42" s="52"/>
      <c r="TYO42" s="52"/>
      <c r="TYP42" s="52"/>
      <c r="TYQ42" s="52"/>
      <c r="TYR42" s="52"/>
      <c r="TYS42" s="52"/>
      <c r="TYT42" s="52"/>
      <c r="TYU42" s="52"/>
      <c r="TYV42" s="52"/>
      <c r="TYW42" s="52"/>
      <c r="TYX42" s="52"/>
      <c r="TYY42" s="52"/>
      <c r="TYZ42" s="52"/>
      <c r="TZA42" s="52"/>
      <c r="TZB42" s="52"/>
      <c r="TZC42" s="52"/>
      <c r="TZD42" s="52"/>
      <c r="TZE42" s="52"/>
      <c r="TZF42" s="52"/>
      <c r="TZG42" s="52"/>
      <c r="TZH42" s="52"/>
      <c r="TZI42" s="52"/>
      <c r="TZJ42" s="52"/>
      <c r="TZK42" s="52"/>
      <c r="TZL42" s="52"/>
      <c r="TZM42" s="52"/>
      <c r="TZN42" s="52"/>
      <c r="TZO42" s="52"/>
      <c r="TZP42" s="52"/>
      <c r="TZQ42" s="52"/>
      <c r="TZR42" s="52"/>
      <c r="TZS42" s="52"/>
      <c r="TZT42" s="52"/>
      <c r="TZU42" s="52"/>
      <c r="TZV42" s="52"/>
      <c r="TZW42" s="52"/>
      <c r="TZX42" s="52"/>
      <c r="TZY42" s="52"/>
      <c r="TZZ42" s="52"/>
      <c r="UAA42" s="52"/>
      <c r="UAB42" s="52"/>
      <c r="UAC42" s="52"/>
      <c r="UAD42" s="52"/>
      <c r="UAE42" s="52"/>
      <c r="UAF42" s="52"/>
      <c r="UAG42" s="52"/>
      <c r="UAH42" s="52"/>
      <c r="UAI42" s="52"/>
      <c r="UAJ42" s="52"/>
      <c r="UAK42" s="52"/>
      <c r="UAL42" s="52"/>
      <c r="UAM42" s="52"/>
      <c r="UAN42" s="52"/>
      <c r="UAO42" s="52"/>
      <c r="UAP42" s="52"/>
      <c r="UAQ42" s="52"/>
      <c r="UAR42" s="52"/>
      <c r="UAS42" s="52"/>
      <c r="UAT42" s="52"/>
      <c r="UAU42" s="52"/>
      <c r="UAV42" s="52"/>
      <c r="UAW42" s="52"/>
      <c r="UAX42" s="52"/>
      <c r="UAY42" s="52"/>
      <c r="UAZ42" s="52"/>
      <c r="UBA42" s="52"/>
      <c r="UBB42" s="52"/>
      <c r="UBC42" s="52"/>
      <c r="UBD42" s="52"/>
      <c r="UBE42" s="52"/>
      <c r="UBF42" s="52"/>
      <c r="UBG42" s="52"/>
      <c r="UBH42" s="52"/>
      <c r="UBI42" s="52"/>
      <c r="UBJ42" s="52"/>
      <c r="UBK42" s="52"/>
      <c r="UBL42" s="52"/>
      <c r="UBM42" s="52"/>
      <c r="UBN42" s="52"/>
      <c r="UBO42" s="52"/>
      <c r="UBP42" s="52"/>
      <c r="UBQ42" s="52"/>
      <c r="UBR42" s="52"/>
      <c r="UBS42" s="52"/>
      <c r="UBT42" s="52"/>
      <c r="UBU42" s="52"/>
      <c r="UBV42" s="52"/>
      <c r="UBW42" s="52"/>
      <c r="UBX42" s="52"/>
      <c r="UBY42" s="52"/>
      <c r="UBZ42" s="52"/>
      <c r="UCA42" s="52"/>
      <c r="UCB42" s="52"/>
      <c r="UCC42" s="52"/>
      <c r="UCD42" s="52"/>
      <c r="UCE42" s="52"/>
      <c r="UCF42" s="52"/>
      <c r="UCG42" s="52"/>
      <c r="UCH42" s="52"/>
      <c r="UCI42" s="52"/>
      <c r="UCJ42" s="52"/>
      <c r="UCK42" s="52"/>
      <c r="UCL42" s="52"/>
      <c r="UCM42" s="52"/>
      <c r="UCN42" s="52"/>
      <c r="UCO42" s="52"/>
      <c r="UCP42" s="52"/>
      <c r="UCQ42" s="52"/>
      <c r="UCR42" s="52"/>
      <c r="UCS42" s="52"/>
      <c r="UCT42" s="52"/>
      <c r="UCU42" s="52"/>
      <c r="UCV42" s="52"/>
      <c r="UCW42" s="52"/>
      <c r="UCX42" s="52"/>
      <c r="UCY42" s="52"/>
      <c r="UCZ42" s="52"/>
      <c r="UDA42" s="52"/>
      <c r="UDB42" s="52"/>
      <c r="UDC42" s="52"/>
      <c r="UDD42" s="52"/>
      <c r="UDE42" s="52"/>
      <c r="UDF42" s="52"/>
      <c r="UDG42" s="52"/>
      <c r="UDH42" s="52"/>
      <c r="UDI42" s="52"/>
      <c r="UDJ42" s="52"/>
      <c r="UDK42" s="52"/>
      <c r="UDL42" s="52"/>
      <c r="UDM42" s="52"/>
      <c r="UDN42" s="52"/>
      <c r="UDO42" s="52"/>
      <c r="UDP42" s="52"/>
      <c r="UDQ42" s="52"/>
      <c r="UDR42" s="52"/>
      <c r="UDS42" s="52"/>
      <c r="UDT42" s="52"/>
      <c r="UDU42" s="52"/>
      <c r="UDV42" s="52"/>
      <c r="UDW42" s="52"/>
      <c r="UDX42" s="52"/>
      <c r="UDY42" s="52"/>
      <c r="UDZ42" s="52"/>
      <c r="UEA42" s="52"/>
      <c r="UEB42" s="52"/>
      <c r="UEC42" s="52"/>
      <c r="UED42" s="52"/>
      <c r="UEE42" s="52"/>
      <c r="UEF42" s="52"/>
      <c r="UEG42" s="52"/>
      <c r="UEH42" s="52"/>
      <c r="UEI42" s="52"/>
      <c r="UEJ42" s="52"/>
      <c r="UEK42" s="52"/>
      <c r="UEL42" s="52"/>
      <c r="UEM42" s="52"/>
      <c r="UEN42" s="52"/>
      <c r="UEO42" s="52"/>
      <c r="UEP42" s="52"/>
      <c r="UEQ42" s="52"/>
      <c r="UER42" s="52"/>
      <c r="UES42" s="52"/>
      <c r="UET42" s="52"/>
      <c r="UEU42" s="52"/>
      <c r="UEV42" s="52"/>
      <c r="UEW42" s="52"/>
      <c r="UEX42" s="52"/>
      <c r="UEY42" s="52"/>
      <c r="UEZ42" s="52"/>
      <c r="UFA42" s="52"/>
      <c r="UFB42" s="52"/>
      <c r="UFC42" s="52"/>
      <c r="UFD42" s="52"/>
      <c r="UFE42" s="52"/>
      <c r="UFF42" s="52"/>
      <c r="UFG42" s="52"/>
      <c r="UFH42" s="52"/>
      <c r="UFI42" s="52"/>
      <c r="UFJ42" s="52"/>
      <c r="UFK42" s="52"/>
      <c r="UFL42" s="52"/>
      <c r="UFM42" s="52"/>
      <c r="UFN42" s="52"/>
      <c r="UFO42" s="52"/>
      <c r="UFP42" s="52"/>
      <c r="UFQ42" s="52"/>
      <c r="UFR42" s="52"/>
      <c r="UFS42" s="52"/>
      <c r="UFT42" s="52"/>
      <c r="UFU42" s="52"/>
      <c r="UFV42" s="52"/>
      <c r="UFW42" s="52"/>
      <c r="UFX42" s="52"/>
      <c r="UFY42" s="52"/>
      <c r="UFZ42" s="52"/>
      <c r="UGA42" s="52"/>
      <c r="UGB42" s="52"/>
      <c r="UGC42" s="52"/>
      <c r="UGD42" s="52"/>
      <c r="UGE42" s="52"/>
      <c r="UGF42" s="52"/>
      <c r="UGG42" s="52"/>
      <c r="UGH42" s="52"/>
      <c r="UGI42" s="52"/>
      <c r="UGJ42" s="52"/>
      <c r="UGK42" s="52"/>
      <c r="UGL42" s="52"/>
      <c r="UGM42" s="52"/>
      <c r="UGN42" s="52"/>
      <c r="UGO42" s="52"/>
      <c r="UGP42" s="52"/>
      <c r="UGQ42" s="52"/>
      <c r="UGR42" s="52"/>
      <c r="UGS42" s="52"/>
      <c r="UGT42" s="52"/>
      <c r="UGU42" s="52"/>
      <c r="UGV42" s="52"/>
      <c r="UGW42" s="52"/>
      <c r="UGX42" s="52"/>
      <c r="UGY42" s="52"/>
      <c r="UGZ42" s="52"/>
      <c r="UHA42" s="52"/>
      <c r="UHB42" s="52"/>
      <c r="UHC42" s="52"/>
      <c r="UHD42" s="52"/>
      <c r="UHE42" s="52"/>
      <c r="UHF42" s="52"/>
      <c r="UHG42" s="52"/>
      <c r="UHH42" s="52"/>
      <c r="UHI42" s="52"/>
      <c r="UHJ42" s="52"/>
      <c r="UHK42" s="52"/>
      <c r="UHL42" s="52"/>
      <c r="UHM42" s="52"/>
      <c r="UHN42" s="52"/>
      <c r="UHO42" s="52"/>
      <c r="UHP42" s="52"/>
      <c r="UHQ42" s="52"/>
      <c r="UHR42" s="52"/>
      <c r="UHS42" s="52"/>
      <c r="UHT42" s="52"/>
      <c r="UHU42" s="52"/>
      <c r="UHV42" s="52"/>
      <c r="UHW42" s="52"/>
      <c r="UHX42" s="52"/>
      <c r="UHY42" s="52"/>
      <c r="UHZ42" s="52"/>
      <c r="UIA42" s="52"/>
      <c r="UIB42" s="52"/>
      <c r="UIC42" s="52"/>
      <c r="UID42" s="52"/>
      <c r="UIE42" s="52"/>
      <c r="UIF42" s="52"/>
      <c r="UIG42" s="52"/>
      <c r="UIH42" s="52"/>
      <c r="UII42" s="52"/>
      <c r="UIJ42" s="52"/>
      <c r="UIK42" s="52"/>
      <c r="UIL42" s="52"/>
      <c r="UIM42" s="52"/>
      <c r="UIN42" s="52"/>
      <c r="UIO42" s="52"/>
      <c r="UIP42" s="52"/>
      <c r="UIQ42" s="52"/>
      <c r="UIR42" s="52"/>
      <c r="UIS42" s="52"/>
      <c r="UIT42" s="52"/>
      <c r="UIU42" s="52"/>
      <c r="UIV42" s="52"/>
      <c r="UIW42" s="52"/>
      <c r="UIX42" s="52"/>
      <c r="UIY42" s="52"/>
      <c r="UIZ42" s="52"/>
      <c r="UJA42" s="52"/>
      <c r="UJB42" s="52"/>
      <c r="UJC42" s="52"/>
      <c r="UJD42" s="52"/>
      <c r="UJE42" s="52"/>
      <c r="UJF42" s="52"/>
      <c r="UJG42" s="52"/>
      <c r="UJH42" s="52"/>
      <c r="UJI42" s="52"/>
      <c r="UJJ42" s="52"/>
      <c r="UJK42" s="52"/>
      <c r="UJL42" s="52"/>
      <c r="UJM42" s="52"/>
      <c r="UJN42" s="52"/>
      <c r="UJO42" s="52"/>
      <c r="UJP42" s="52"/>
      <c r="UJQ42" s="52"/>
      <c r="UJR42" s="52"/>
      <c r="UJS42" s="52"/>
      <c r="UJT42" s="52"/>
      <c r="UJU42" s="52"/>
      <c r="UJV42" s="52"/>
      <c r="UJW42" s="52"/>
      <c r="UJX42" s="52"/>
      <c r="UJY42" s="52"/>
      <c r="UJZ42" s="52"/>
      <c r="UKA42" s="52"/>
      <c r="UKB42" s="52"/>
      <c r="UKC42" s="52"/>
      <c r="UKD42" s="52"/>
      <c r="UKE42" s="52"/>
      <c r="UKF42" s="52"/>
      <c r="UKG42" s="52"/>
      <c r="UKH42" s="52"/>
      <c r="UKI42" s="52"/>
      <c r="UKJ42" s="52"/>
      <c r="UKK42" s="52"/>
      <c r="UKL42" s="52"/>
      <c r="UKM42" s="52"/>
      <c r="UKN42" s="52"/>
      <c r="UKO42" s="52"/>
      <c r="UKP42" s="52"/>
      <c r="UKQ42" s="52"/>
      <c r="UKR42" s="52"/>
      <c r="UKS42" s="52"/>
      <c r="UKT42" s="52"/>
      <c r="UKU42" s="52"/>
      <c r="UKV42" s="52"/>
      <c r="UKW42" s="52"/>
      <c r="UKX42" s="52"/>
      <c r="UKY42" s="52"/>
      <c r="UKZ42" s="52"/>
      <c r="ULA42" s="52"/>
      <c r="ULB42" s="52"/>
      <c r="ULC42" s="52"/>
      <c r="ULD42" s="52"/>
      <c r="ULE42" s="52"/>
      <c r="ULF42" s="52"/>
      <c r="ULG42" s="52"/>
      <c r="ULH42" s="52"/>
      <c r="ULI42" s="52"/>
      <c r="ULJ42" s="52"/>
      <c r="ULK42" s="52"/>
      <c r="ULL42" s="52"/>
      <c r="ULM42" s="52"/>
      <c r="ULN42" s="52"/>
      <c r="ULO42" s="52"/>
      <c r="ULP42" s="52"/>
      <c r="ULQ42" s="52"/>
      <c r="ULR42" s="52"/>
      <c r="ULS42" s="52"/>
      <c r="ULT42" s="52"/>
      <c r="ULU42" s="52"/>
      <c r="ULV42" s="52"/>
      <c r="ULW42" s="52"/>
      <c r="ULX42" s="52"/>
      <c r="ULY42" s="52"/>
      <c r="ULZ42" s="52"/>
      <c r="UMA42" s="52"/>
      <c r="UMB42" s="52"/>
      <c r="UMC42" s="52"/>
      <c r="UMD42" s="52"/>
      <c r="UME42" s="52"/>
      <c r="UMF42" s="52"/>
      <c r="UMG42" s="52"/>
      <c r="UMH42" s="52"/>
      <c r="UMI42" s="52"/>
      <c r="UMJ42" s="52"/>
      <c r="UMK42" s="52"/>
      <c r="UML42" s="52"/>
      <c r="UMM42" s="52"/>
      <c r="UMN42" s="52"/>
      <c r="UMO42" s="52"/>
      <c r="UMP42" s="52"/>
      <c r="UMQ42" s="52"/>
      <c r="UMR42" s="52"/>
      <c r="UMS42" s="52"/>
      <c r="UMT42" s="52"/>
      <c r="UMU42" s="52"/>
      <c r="UMV42" s="52"/>
      <c r="UMW42" s="52"/>
      <c r="UMX42" s="52"/>
      <c r="UMY42" s="52"/>
      <c r="UMZ42" s="52"/>
      <c r="UNA42" s="52"/>
      <c r="UNB42" s="52"/>
      <c r="UNC42" s="52"/>
      <c r="UND42" s="52"/>
      <c r="UNE42" s="52"/>
      <c r="UNF42" s="52"/>
      <c r="UNG42" s="52"/>
      <c r="UNH42" s="52"/>
      <c r="UNI42" s="52"/>
      <c r="UNJ42" s="52"/>
      <c r="UNK42" s="52"/>
      <c r="UNL42" s="52"/>
      <c r="UNM42" s="52"/>
      <c r="UNN42" s="52"/>
      <c r="UNO42" s="52"/>
      <c r="UNP42" s="52"/>
      <c r="UNQ42" s="52"/>
      <c r="UNR42" s="52"/>
      <c r="UNS42" s="52"/>
      <c r="UNT42" s="52"/>
      <c r="UNU42" s="52"/>
      <c r="UNV42" s="52"/>
      <c r="UNW42" s="52"/>
      <c r="UNX42" s="52"/>
      <c r="UNY42" s="52"/>
      <c r="UNZ42" s="52"/>
      <c r="UOA42" s="52"/>
      <c r="UOB42" s="52"/>
      <c r="UOC42" s="52"/>
      <c r="UOD42" s="52"/>
      <c r="UOE42" s="52"/>
      <c r="UOF42" s="52"/>
      <c r="UOG42" s="52"/>
      <c r="UOH42" s="52"/>
      <c r="UOI42" s="52"/>
      <c r="UOJ42" s="52"/>
      <c r="UOK42" s="52"/>
      <c r="UOL42" s="52"/>
      <c r="UOM42" s="52"/>
      <c r="UON42" s="52"/>
      <c r="UOO42" s="52"/>
      <c r="UOP42" s="52"/>
      <c r="UOQ42" s="52"/>
      <c r="UOR42" s="52"/>
      <c r="UOS42" s="52"/>
      <c r="UOT42" s="52"/>
      <c r="UOU42" s="52"/>
      <c r="UOV42" s="52"/>
      <c r="UOW42" s="52"/>
      <c r="UOX42" s="52"/>
      <c r="UOY42" s="52"/>
      <c r="UOZ42" s="52"/>
      <c r="UPA42" s="52"/>
      <c r="UPB42" s="52"/>
      <c r="UPC42" s="52"/>
      <c r="UPD42" s="52"/>
      <c r="UPE42" s="52"/>
      <c r="UPF42" s="52"/>
      <c r="UPG42" s="52"/>
      <c r="UPH42" s="52"/>
      <c r="UPI42" s="52"/>
      <c r="UPJ42" s="52"/>
      <c r="UPK42" s="52"/>
      <c r="UPL42" s="52"/>
      <c r="UPM42" s="52"/>
      <c r="UPN42" s="52"/>
      <c r="UPO42" s="52"/>
      <c r="UPP42" s="52"/>
      <c r="UPQ42" s="52"/>
      <c r="UPR42" s="52"/>
      <c r="UPS42" s="52"/>
      <c r="UPT42" s="52"/>
      <c r="UPU42" s="52"/>
      <c r="UPV42" s="52"/>
      <c r="UPW42" s="52"/>
      <c r="UPX42" s="52"/>
      <c r="UPY42" s="52"/>
      <c r="UPZ42" s="52"/>
      <c r="UQA42" s="52"/>
      <c r="UQB42" s="52"/>
      <c r="UQC42" s="52"/>
      <c r="UQD42" s="52"/>
      <c r="UQE42" s="52"/>
      <c r="UQF42" s="52"/>
      <c r="UQG42" s="52"/>
      <c r="UQH42" s="52"/>
      <c r="UQI42" s="52"/>
      <c r="UQJ42" s="52"/>
      <c r="UQK42" s="52"/>
      <c r="UQL42" s="52"/>
      <c r="UQM42" s="52"/>
      <c r="UQN42" s="52"/>
      <c r="UQO42" s="52"/>
      <c r="UQP42" s="52"/>
      <c r="UQQ42" s="52"/>
      <c r="UQR42" s="52"/>
      <c r="UQS42" s="52"/>
      <c r="UQT42" s="52"/>
      <c r="UQU42" s="52"/>
      <c r="UQV42" s="52"/>
      <c r="UQW42" s="52"/>
      <c r="UQX42" s="52"/>
      <c r="UQY42" s="52"/>
      <c r="UQZ42" s="52"/>
      <c r="URA42" s="52"/>
      <c r="URB42" s="52"/>
      <c r="URC42" s="52"/>
      <c r="URD42" s="52"/>
      <c r="URE42" s="52"/>
      <c r="URF42" s="52"/>
      <c r="URG42" s="52"/>
      <c r="URH42" s="52"/>
      <c r="URI42" s="52"/>
      <c r="URJ42" s="52"/>
      <c r="URK42" s="52"/>
      <c r="URL42" s="52"/>
      <c r="URM42" s="52"/>
      <c r="URN42" s="52"/>
      <c r="URO42" s="52"/>
      <c r="URP42" s="52"/>
      <c r="URQ42" s="52"/>
      <c r="URR42" s="52"/>
      <c r="URS42" s="52"/>
      <c r="URT42" s="52"/>
      <c r="URU42" s="52"/>
      <c r="URV42" s="52"/>
      <c r="URW42" s="52"/>
      <c r="URX42" s="52"/>
      <c r="URY42" s="52"/>
      <c r="URZ42" s="52"/>
      <c r="USA42" s="52"/>
      <c r="USB42" s="52"/>
      <c r="USC42" s="52"/>
      <c r="USD42" s="52"/>
      <c r="USE42" s="52"/>
      <c r="USF42" s="52"/>
      <c r="USG42" s="52"/>
      <c r="USH42" s="52"/>
      <c r="USI42" s="52"/>
      <c r="USJ42" s="52"/>
      <c r="USK42" s="52"/>
      <c r="USL42" s="52"/>
      <c r="USM42" s="52"/>
      <c r="USN42" s="52"/>
      <c r="USO42" s="52"/>
      <c r="USP42" s="52"/>
      <c r="USQ42" s="52"/>
      <c r="USR42" s="52"/>
      <c r="USS42" s="52"/>
      <c r="UST42" s="52"/>
      <c r="USU42" s="52"/>
      <c r="USV42" s="52"/>
      <c r="USW42" s="52"/>
      <c r="USX42" s="52"/>
      <c r="USY42" s="52"/>
      <c r="USZ42" s="52"/>
      <c r="UTA42" s="52"/>
      <c r="UTB42" s="52"/>
      <c r="UTC42" s="52"/>
      <c r="UTD42" s="52"/>
      <c r="UTE42" s="52"/>
      <c r="UTF42" s="52"/>
      <c r="UTG42" s="52"/>
      <c r="UTH42" s="52"/>
      <c r="UTI42" s="52"/>
      <c r="UTJ42" s="52"/>
      <c r="UTK42" s="52"/>
      <c r="UTL42" s="52"/>
      <c r="UTM42" s="52"/>
      <c r="UTN42" s="52"/>
      <c r="UTO42" s="52"/>
      <c r="UTP42" s="52"/>
      <c r="UTQ42" s="52"/>
      <c r="UTR42" s="52"/>
      <c r="UTS42" s="52"/>
      <c r="UTT42" s="52"/>
      <c r="UTU42" s="52"/>
      <c r="UTV42" s="52"/>
      <c r="UTW42" s="52"/>
      <c r="UTX42" s="52"/>
      <c r="UTY42" s="52"/>
      <c r="UTZ42" s="52"/>
      <c r="UUA42" s="52"/>
      <c r="UUB42" s="52"/>
      <c r="UUC42" s="52"/>
      <c r="UUD42" s="52"/>
      <c r="UUE42" s="52"/>
      <c r="UUF42" s="52"/>
      <c r="UUG42" s="52"/>
      <c r="UUH42" s="52"/>
      <c r="UUI42" s="52"/>
      <c r="UUJ42" s="52"/>
      <c r="UUK42" s="52"/>
      <c r="UUL42" s="52"/>
      <c r="UUM42" s="52"/>
      <c r="UUN42" s="52"/>
      <c r="UUO42" s="52"/>
      <c r="UUP42" s="52"/>
      <c r="UUQ42" s="52"/>
      <c r="UUR42" s="52"/>
      <c r="UUS42" s="52"/>
      <c r="UUT42" s="52"/>
      <c r="UUU42" s="52"/>
      <c r="UUV42" s="52"/>
      <c r="UUW42" s="52"/>
      <c r="UUX42" s="52"/>
      <c r="UUY42" s="52"/>
      <c r="UUZ42" s="52"/>
      <c r="UVA42" s="52"/>
      <c r="UVB42" s="52"/>
      <c r="UVC42" s="52"/>
      <c r="UVD42" s="52"/>
      <c r="UVE42" s="52"/>
      <c r="UVF42" s="52"/>
      <c r="UVG42" s="52"/>
      <c r="UVH42" s="52"/>
      <c r="UVI42" s="52"/>
      <c r="UVJ42" s="52"/>
      <c r="UVK42" s="52"/>
      <c r="UVL42" s="52"/>
      <c r="UVM42" s="52"/>
      <c r="UVN42" s="52"/>
      <c r="UVO42" s="52"/>
      <c r="UVP42" s="52"/>
      <c r="UVQ42" s="52"/>
      <c r="UVR42" s="52"/>
      <c r="UVS42" s="52"/>
      <c r="UVT42" s="52"/>
      <c r="UVU42" s="52"/>
      <c r="UVV42" s="52"/>
      <c r="UVW42" s="52"/>
      <c r="UVX42" s="52"/>
      <c r="UVY42" s="52"/>
      <c r="UVZ42" s="52"/>
      <c r="UWA42" s="52"/>
      <c r="UWB42" s="52"/>
      <c r="UWC42" s="52"/>
      <c r="UWD42" s="52"/>
      <c r="UWE42" s="52"/>
      <c r="UWF42" s="52"/>
      <c r="UWG42" s="52"/>
      <c r="UWH42" s="52"/>
      <c r="UWI42" s="52"/>
      <c r="UWJ42" s="52"/>
      <c r="UWK42" s="52"/>
      <c r="UWL42" s="52"/>
      <c r="UWM42" s="52"/>
      <c r="UWN42" s="52"/>
      <c r="UWO42" s="52"/>
      <c r="UWP42" s="52"/>
      <c r="UWQ42" s="52"/>
      <c r="UWR42" s="52"/>
      <c r="UWS42" s="52"/>
      <c r="UWT42" s="52"/>
      <c r="UWU42" s="52"/>
      <c r="UWV42" s="52"/>
      <c r="UWW42" s="52"/>
      <c r="UWX42" s="52"/>
      <c r="UWY42" s="52"/>
      <c r="UWZ42" s="52"/>
      <c r="UXA42" s="52"/>
      <c r="UXB42" s="52"/>
      <c r="UXC42" s="52"/>
      <c r="UXD42" s="52"/>
      <c r="UXE42" s="52"/>
      <c r="UXF42" s="52"/>
      <c r="UXG42" s="52"/>
      <c r="UXH42" s="52"/>
      <c r="UXI42" s="52"/>
      <c r="UXJ42" s="52"/>
      <c r="UXK42" s="52"/>
      <c r="UXL42" s="52"/>
      <c r="UXM42" s="52"/>
      <c r="UXN42" s="52"/>
      <c r="UXO42" s="52"/>
      <c r="UXP42" s="52"/>
      <c r="UXQ42" s="52"/>
      <c r="UXR42" s="52"/>
      <c r="UXS42" s="52"/>
      <c r="UXT42" s="52"/>
      <c r="UXU42" s="52"/>
      <c r="UXV42" s="52"/>
      <c r="UXW42" s="52"/>
      <c r="UXX42" s="52"/>
      <c r="UXY42" s="52"/>
      <c r="UXZ42" s="52"/>
      <c r="UYA42" s="52"/>
      <c r="UYB42" s="52"/>
      <c r="UYC42" s="52"/>
      <c r="UYD42" s="52"/>
      <c r="UYE42" s="52"/>
      <c r="UYF42" s="52"/>
      <c r="UYG42" s="52"/>
      <c r="UYH42" s="52"/>
      <c r="UYI42" s="52"/>
      <c r="UYJ42" s="52"/>
      <c r="UYK42" s="52"/>
      <c r="UYL42" s="52"/>
      <c r="UYM42" s="52"/>
      <c r="UYN42" s="52"/>
      <c r="UYO42" s="52"/>
      <c r="UYP42" s="52"/>
      <c r="UYQ42" s="52"/>
      <c r="UYR42" s="52"/>
      <c r="UYS42" s="52"/>
      <c r="UYT42" s="52"/>
      <c r="UYU42" s="52"/>
      <c r="UYV42" s="52"/>
      <c r="UYW42" s="52"/>
      <c r="UYX42" s="52"/>
      <c r="UYY42" s="52"/>
      <c r="UYZ42" s="52"/>
      <c r="UZA42" s="52"/>
      <c r="UZB42" s="52"/>
      <c r="UZC42" s="52"/>
      <c r="UZD42" s="52"/>
      <c r="UZE42" s="52"/>
      <c r="UZF42" s="52"/>
      <c r="UZG42" s="52"/>
      <c r="UZH42" s="52"/>
      <c r="UZI42" s="52"/>
      <c r="UZJ42" s="52"/>
      <c r="UZK42" s="52"/>
      <c r="UZL42" s="52"/>
      <c r="UZM42" s="52"/>
      <c r="UZN42" s="52"/>
      <c r="UZO42" s="52"/>
      <c r="UZP42" s="52"/>
      <c r="UZQ42" s="52"/>
      <c r="UZR42" s="52"/>
      <c r="UZS42" s="52"/>
      <c r="UZT42" s="52"/>
      <c r="UZU42" s="52"/>
      <c r="UZV42" s="52"/>
      <c r="UZW42" s="52"/>
      <c r="UZX42" s="52"/>
      <c r="UZY42" s="52"/>
      <c r="UZZ42" s="52"/>
      <c r="VAA42" s="52"/>
      <c r="VAB42" s="52"/>
      <c r="VAC42" s="52"/>
      <c r="VAD42" s="52"/>
      <c r="VAE42" s="52"/>
      <c r="VAF42" s="52"/>
      <c r="VAG42" s="52"/>
      <c r="VAH42" s="52"/>
      <c r="VAI42" s="52"/>
      <c r="VAJ42" s="52"/>
      <c r="VAK42" s="52"/>
      <c r="VAL42" s="52"/>
      <c r="VAM42" s="52"/>
      <c r="VAN42" s="52"/>
      <c r="VAO42" s="52"/>
      <c r="VAP42" s="52"/>
      <c r="VAQ42" s="52"/>
      <c r="VAR42" s="52"/>
      <c r="VAS42" s="52"/>
      <c r="VAT42" s="52"/>
      <c r="VAU42" s="52"/>
      <c r="VAV42" s="52"/>
      <c r="VAW42" s="52"/>
      <c r="VAX42" s="52"/>
      <c r="VAY42" s="52"/>
      <c r="VAZ42" s="52"/>
      <c r="VBA42" s="52"/>
      <c r="VBB42" s="52"/>
      <c r="VBC42" s="52"/>
      <c r="VBD42" s="52"/>
      <c r="VBE42" s="52"/>
      <c r="VBF42" s="52"/>
      <c r="VBG42" s="52"/>
      <c r="VBH42" s="52"/>
      <c r="VBI42" s="52"/>
      <c r="VBJ42" s="52"/>
      <c r="VBK42" s="52"/>
      <c r="VBL42" s="52"/>
      <c r="VBM42" s="52"/>
      <c r="VBN42" s="52"/>
      <c r="VBO42" s="52"/>
      <c r="VBP42" s="52"/>
      <c r="VBQ42" s="52"/>
      <c r="VBR42" s="52"/>
      <c r="VBS42" s="52"/>
      <c r="VBT42" s="52"/>
      <c r="VBU42" s="52"/>
      <c r="VBV42" s="52"/>
      <c r="VBW42" s="52"/>
      <c r="VBX42" s="52"/>
      <c r="VBY42" s="52"/>
      <c r="VBZ42" s="52"/>
      <c r="VCA42" s="52"/>
      <c r="VCB42" s="52"/>
      <c r="VCC42" s="52"/>
      <c r="VCD42" s="52"/>
      <c r="VCE42" s="52"/>
      <c r="VCF42" s="52"/>
      <c r="VCG42" s="52"/>
      <c r="VCH42" s="52"/>
      <c r="VCI42" s="52"/>
      <c r="VCJ42" s="52"/>
      <c r="VCK42" s="52"/>
      <c r="VCL42" s="52"/>
      <c r="VCM42" s="52"/>
      <c r="VCN42" s="52"/>
      <c r="VCO42" s="52"/>
      <c r="VCP42" s="52"/>
      <c r="VCQ42" s="52"/>
      <c r="VCR42" s="52"/>
      <c r="VCS42" s="52"/>
      <c r="VCT42" s="52"/>
      <c r="VCU42" s="52"/>
      <c r="VCV42" s="52"/>
      <c r="VCW42" s="52"/>
      <c r="VCX42" s="52"/>
      <c r="VCY42" s="52"/>
      <c r="VCZ42" s="52"/>
      <c r="VDA42" s="52"/>
      <c r="VDB42" s="52"/>
      <c r="VDC42" s="52"/>
      <c r="VDD42" s="52"/>
      <c r="VDE42" s="52"/>
      <c r="VDF42" s="52"/>
      <c r="VDG42" s="52"/>
      <c r="VDH42" s="52"/>
      <c r="VDI42" s="52"/>
      <c r="VDJ42" s="52"/>
      <c r="VDK42" s="52"/>
      <c r="VDL42" s="52"/>
      <c r="VDM42" s="52"/>
      <c r="VDN42" s="52"/>
      <c r="VDO42" s="52"/>
      <c r="VDP42" s="52"/>
      <c r="VDQ42" s="52"/>
      <c r="VDR42" s="52"/>
      <c r="VDS42" s="52"/>
      <c r="VDT42" s="52"/>
      <c r="VDU42" s="52"/>
      <c r="VDV42" s="52"/>
      <c r="VDW42" s="52"/>
      <c r="VDX42" s="52"/>
      <c r="VDY42" s="52"/>
      <c r="VDZ42" s="52"/>
      <c r="VEA42" s="52"/>
      <c r="VEB42" s="52"/>
      <c r="VEC42" s="52"/>
      <c r="VED42" s="52"/>
      <c r="VEE42" s="52"/>
      <c r="VEF42" s="52"/>
      <c r="VEG42" s="52"/>
      <c r="VEH42" s="52"/>
      <c r="VEI42" s="52"/>
      <c r="VEJ42" s="52"/>
      <c r="VEK42" s="52"/>
      <c r="VEL42" s="52"/>
      <c r="VEM42" s="52"/>
      <c r="VEN42" s="52"/>
      <c r="VEO42" s="52"/>
      <c r="VEP42" s="52"/>
      <c r="VEQ42" s="52"/>
      <c r="VER42" s="52"/>
      <c r="VES42" s="52"/>
      <c r="VET42" s="52"/>
      <c r="VEU42" s="52"/>
      <c r="VEV42" s="52"/>
      <c r="VEW42" s="52"/>
      <c r="VEX42" s="52"/>
      <c r="VEY42" s="52"/>
      <c r="VEZ42" s="52"/>
      <c r="VFA42" s="52"/>
      <c r="VFB42" s="52"/>
      <c r="VFC42" s="52"/>
      <c r="VFD42" s="52"/>
      <c r="VFE42" s="52"/>
      <c r="VFF42" s="52"/>
      <c r="VFG42" s="52"/>
      <c r="VFH42" s="52"/>
      <c r="VFI42" s="52"/>
      <c r="VFJ42" s="52"/>
      <c r="VFK42" s="52"/>
      <c r="VFL42" s="52"/>
      <c r="VFM42" s="52"/>
      <c r="VFN42" s="52"/>
      <c r="VFO42" s="52"/>
      <c r="VFP42" s="52"/>
      <c r="VFQ42" s="52"/>
      <c r="VFR42" s="52"/>
      <c r="VFS42" s="52"/>
      <c r="VFT42" s="52"/>
      <c r="VFU42" s="52"/>
      <c r="VFV42" s="52"/>
      <c r="VFW42" s="52"/>
      <c r="VFX42" s="52"/>
      <c r="VFY42" s="52"/>
      <c r="VFZ42" s="52"/>
      <c r="VGA42" s="52"/>
      <c r="VGB42" s="52"/>
      <c r="VGC42" s="52"/>
      <c r="VGD42" s="52"/>
      <c r="VGE42" s="52"/>
      <c r="VGF42" s="52"/>
      <c r="VGG42" s="52"/>
      <c r="VGH42" s="52"/>
      <c r="VGI42" s="52"/>
      <c r="VGJ42" s="52"/>
      <c r="VGK42" s="52"/>
      <c r="VGL42" s="52"/>
      <c r="VGM42" s="52"/>
      <c r="VGN42" s="52"/>
      <c r="VGO42" s="52"/>
      <c r="VGP42" s="52"/>
      <c r="VGQ42" s="52"/>
      <c r="VGR42" s="52"/>
      <c r="VGS42" s="52"/>
      <c r="VGT42" s="52"/>
      <c r="VGU42" s="52"/>
      <c r="VGV42" s="52"/>
      <c r="VGW42" s="52"/>
      <c r="VGX42" s="52"/>
      <c r="VGY42" s="52"/>
      <c r="VGZ42" s="52"/>
      <c r="VHA42" s="52"/>
      <c r="VHB42" s="52"/>
      <c r="VHC42" s="52"/>
      <c r="VHD42" s="52"/>
      <c r="VHE42" s="52"/>
      <c r="VHF42" s="52"/>
      <c r="VHG42" s="52"/>
      <c r="VHH42" s="52"/>
      <c r="VHI42" s="52"/>
      <c r="VHJ42" s="52"/>
      <c r="VHK42" s="52"/>
      <c r="VHL42" s="52"/>
      <c r="VHM42" s="52"/>
      <c r="VHN42" s="52"/>
      <c r="VHO42" s="52"/>
      <c r="VHP42" s="52"/>
      <c r="VHQ42" s="52"/>
      <c r="VHR42" s="52"/>
      <c r="VHS42" s="52"/>
      <c r="VHT42" s="52"/>
      <c r="VHU42" s="52"/>
      <c r="VHV42" s="52"/>
      <c r="VHW42" s="52"/>
      <c r="VHX42" s="52"/>
      <c r="VHY42" s="52"/>
      <c r="VHZ42" s="52"/>
      <c r="VIA42" s="52"/>
      <c r="VIB42" s="52"/>
      <c r="VIC42" s="52"/>
      <c r="VID42" s="52"/>
      <c r="VIE42" s="52"/>
      <c r="VIF42" s="52"/>
      <c r="VIG42" s="52"/>
      <c r="VIH42" s="52"/>
      <c r="VII42" s="52"/>
      <c r="VIJ42" s="52"/>
      <c r="VIK42" s="52"/>
      <c r="VIL42" s="52"/>
      <c r="VIM42" s="52"/>
      <c r="VIN42" s="52"/>
      <c r="VIO42" s="52"/>
      <c r="VIP42" s="52"/>
      <c r="VIQ42" s="52"/>
      <c r="VIR42" s="52"/>
      <c r="VIS42" s="52"/>
      <c r="VIT42" s="52"/>
      <c r="VIU42" s="52"/>
      <c r="VIV42" s="52"/>
      <c r="VIW42" s="52"/>
      <c r="VIX42" s="52"/>
      <c r="VIY42" s="52"/>
      <c r="VIZ42" s="52"/>
      <c r="VJA42" s="52"/>
      <c r="VJB42" s="52"/>
      <c r="VJC42" s="52"/>
      <c r="VJD42" s="52"/>
      <c r="VJE42" s="52"/>
      <c r="VJF42" s="52"/>
      <c r="VJG42" s="52"/>
      <c r="VJH42" s="52"/>
      <c r="VJI42" s="52"/>
      <c r="VJJ42" s="52"/>
      <c r="VJK42" s="52"/>
      <c r="VJL42" s="52"/>
      <c r="VJM42" s="52"/>
      <c r="VJN42" s="52"/>
      <c r="VJO42" s="52"/>
      <c r="VJP42" s="52"/>
      <c r="VJQ42" s="52"/>
      <c r="VJR42" s="52"/>
      <c r="VJS42" s="52"/>
      <c r="VJT42" s="52"/>
      <c r="VJU42" s="52"/>
      <c r="VJV42" s="52"/>
      <c r="VJW42" s="52"/>
      <c r="VJX42" s="52"/>
      <c r="VJY42" s="52"/>
      <c r="VJZ42" s="52"/>
      <c r="VKA42" s="52"/>
      <c r="VKB42" s="52"/>
      <c r="VKC42" s="52"/>
      <c r="VKD42" s="52"/>
      <c r="VKE42" s="52"/>
      <c r="VKF42" s="52"/>
      <c r="VKG42" s="52"/>
      <c r="VKH42" s="52"/>
      <c r="VKI42" s="52"/>
      <c r="VKJ42" s="52"/>
      <c r="VKK42" s="52"/>
      <c r="VKL42" s="52"/>
      <c r="VKM42" s="52"/>
      <c r="VKN42" s="52"/>
      <c r="VKO42" s="52"/>
      <c r="VKP42" s="52"/>
      <c r="VKQ42" s="52"/>
      <c r="VKR42" s="52"/>
      <c r="VKS42" s="52"/>
      <c r="VKT42" s="52"/>
      <c r="VKU42" s="52"/>
      <c r="VKV42" s="52"/>
      <c r="VKW42" s="52"/>
      <c r="VKX42" s="52"/>
      <c r="VKY42" s="52"/>
      <c r="VKZ42" s="52"/>
      <c r="VLA42" s="52"/>
      <c r="VLB42" s="52"/>
      <c r="VLC42" s="52"/>
      <c r="VLD42" s="52"/>
      <c r="VLE42" s="52"/>
      <c r="VLF42" s="52"/>
      <c r="VLG42" s="52"/>
      <c r="VLH42" s="52"/>
      <c r="VLI42" s="52"/>
      <c r="VLJ42" s="52"/>
      <c r="VLK42" s="52"/>
      <c r="VLL42" s="52"/>
      <c r="VLM42" s="52"/>
      <c r="VLN42" s="52"/>
      <c r="VLO42" s="52"/>
      <c r="VLP42" s="52"/>
      <c r="VLQ42" s="52"/>
      <c r="VLR42" s="52"/>
      <c r="VLS42" s="52"/>
      <c r="VLT42" s="52"/>
      <c r="VLU42" s="52"/>
      <c r="VLV42" s="52"/>
      <c r="VLW42" s="52"/>
      <c r="VLX42" s="52"/>
      <c r="VLY42" s="52"/>
      <c r="VLZ42" s="52"/>
      <c r="VMA42" s="52"/>
      <c r="VMB42" s="52"/>
      <c r="VMC42" s="52"/>
      <c r="VMD42" s="52"/>
      <c r="VME42" s="52"/>
      <c r="VMF42" s="52"/>
      <c r="VMG42" s="52"/>
      <c r="VMH42" s="52"/>
      <c r="VMI42" s="52"/>
      <c r="VMJ42" s="52"/>
      <c r="VMK42" s="52"/>
      <c r="VML42" s="52"/>
      <c r="VMM42" s="52"/>
      <c r="VMN42" s="52"/>
      <c r="VMO42" s="52"/>
      <c r="VMP42" s="52"/>
      <c r="VMQ42" s="52"/>
      <c r="VMR42" s="52"/>
      <c r="VMS42" s="52"/>
      <c r="VMT42" s="52"/>
      <c r="VMU42" s="52"/>
      <c r="VMV42" s="52"/>
      <c r="VMW42" s="52"/>
      <c r="VMX42" s="52"/>
      <c r="VMY42" s="52"/>
      <c r="VMZ42" s="52"/>
      <c r="VNA42" s="52"/>
      <c r="VNB42" s="52"/>
      <c r="VNC42" s="52"/>
      <c r="VND42" s="52"/>
      <c r="VNE42" s="52"/>
      <c r="VNF42" s="52"/>
      <c r="VNG42" s="52"/>
      <c r="VNH42" s="52"/>
      <c r="VNI42" s="52"/>
      <c r="VNJ42" s="52"/>
      <c r="VNK42" s="52"/>
      <c r="VNL42" s="52"/>
      <c r="VNM42" s="52"/>
      <c r="VNN42" s="52"/>
      <c r="VNO42" s="52"/>
      <c r="VNP42" s="52"/>
      <c r="VNQ42" s="52"/>
      <c r="VNR42" s="52"/>
      <c r="VNS42" s="52"/>
      <c r="VNT42" s="52"/>
      <c r="VNU42" s="52"/>
      <c r="VNV42" s="52"/>
      <c r="VNW42" s="52"/>
      <c r="VNX42" s="52"/>
      <c r="VNY42" s="52"/>
      <c r="VNZ42" s="52"/>
      <c r="VOA42" s="52"/>
      <c r="VOB42" s="52"/>
      <c r="VOC42" s="52"/>
      <c r="VOD42" s="52"/>
      <c r="VOE42" s="52"/>
      <c r="VOF42" s="52"/>
      <c r="VOG42" s="52"/>
      <c r="VOH42" s="52"/>
      <c r="VOI42" s="52"/>
      <c r="VOJ42" s="52"/>
      <c r="VOK42" s="52"/>
      <c r="VOL42" s="52"/>
      <c r="VOM42" s="52"/>
      <c r="VON42" s="52"/>
      <c r="VOO42" s="52"/>
      <c r="VOP42" s="52"/>
      <c r="VOQ42" s="52"/>
      <c r="VOR42" s="52"/>
      <c r="VOS42" s="52"/>
      <c r="VOT42" s="52"/>
      <c r="VOU42" s="52"/>
      <c r="VOV42" s="52"/>
      <c r="VOW42" s="52"/>
      <c r="VOX42" s="52"/>
      <c r="VOY42" s="52"/>
      <c r="VOZ42" s="52"/>
      <c r="VPA42" s="52"/>
      <c r="VPB42" s="52"/>
      <c r="VPC42" s="52"/>
      <c r="VPD42" s="52"/>
      <c r="VPE42" s="52"/>
      <c r="VPF42" s="52"/>
      <c r="VPG42" s="52"/>
      <c r="VPH42" s="52"/>
      <c r="VPI42" s="52"/>
      <c r="VPJ42" s="52"/>
      <c r="VPK42" s="52"/>
      <c r="VPL42" s="52"/>
      <c r="VPM42" s="52"/>
      <c r="VPN42" s="52"/>
      <c r="VPO42" s="52"/>
      <c r="VPP42" s="52"/>
      <c r="VPQ42" s="52"/>
      <c r="VPR42" s="52"/>
      <c r="VPS42" s="52"/>
      <c r="VPT42" s="52"/>
      <c r="VPU42" s="52"/>
      <c r="VPV42" s="52"/>
      <c r="VPW42" s="52"/>
      <c r="VPX42" s="52"/>
      <c r="VPY42" s="52"/>
      <c r="VPZ42" s="52"/>
      <c r="VQA42" s="52"/>
      <c r="VQB42" s="52"/>
      <c r="VQC42" s="52"/>
      <c r="VQD42" s="52"/>
      <c r="VQE42" s="52"/>
      <c r="VQF42" s="52"/>
      <c r="VQG42" s="52"/>
      <c r="VQH42" s="52"/>
      <c r="VQI42" s="52"/>
      <c r="VQJ42" s="52"/>
      <c r="VQK42" s="52"/>
      <c r="VQL42" s="52"/>
      <c r="VQM42" s="52"/>
      <c r="VQN42" s="52"/>
      <c r="VQO42" s="52"/>
      <c r="VQP42" s="52"/>
      <c r="VQQ42" s="52"/>
      <c r="VQR42" s="52"/>
      <c r="VQS42" s="52"/>
      <c r="VQT42" s="52"/>
      <c r="VQU42" s="52"/>
      <c r="VQV42" s="52"/>
      <c r="VQW42" s="52"/>
      <c r="VQX42" s="52"/>
      <c r="VQY42" s="52"/>
      <c r="VQZ42" s="52"/>
      <c r="VRA42" s="52"/>
      <c r="VRB42" s="52"/>
      <c r="VRC42" s="52"/>
      <c r="VRD42" s="52"/>
      <c r="VRE42" s="52"/>
      <c r="VRF42" s="52"/>
      <c r="VRG42" s="52"/>
      <c r="VRH42" s="52"/>
      <c r="VRI42" s="52"/>
      <c r="VRJ42" s="52"/>
      <c r="VRK42" s="52"/>
      <c r="VRL42" s="52"/>
      <c r="VRM42" s="52"/>
      <c r="VRN42" s="52"/>
      <c r="VRO42" s="52"/>
      <c r="VRP42" s="52"/>
      <c r="VRQ42" s="52"/>
      <c r="VRR42" s="52"/>
      <c r="VRS42" s="52"/>
      <c r="VRT42" s="52"/>
      <c r="VRU42" s="52"/>
      <c r="VRV42" s="52"/>
      <c r="VRW42" s="52"/>
      <c r="VRX42" s="52"/>
      <c r="VRY42" s="52"/>
      <c r="VRZ42" s="52"/>
      <c r="VSA42" s="52"/>
      <c r="VSB42" s="52"/>
      <c r="VSC42" s="52"/>
      <c r="VSD42" s="52"/>
      <c r="VSE42" s="52"/>
      <c r="VSF42" s="52"/>
      <c r="VSG42" s="52"/>
      <c r="VSH42" s="52"/>
      <c r="VSI42" s="52"/>
      <c r="VSJ42" s="52"/>
      <c r="VSK42" s="52"/>
      <c r="VSL42" s="52"/>
      <c r="VSM42" s="52"/>
      <c r="VSN42" s="52"/>
      <c r="VSO42" s="52"/>
      <c r="VSP42" s="52"/>
      <c r="VSQ42" s="52"/>
      <c r="VSR42" s="52"/>
      <c r="VSS42" s="52"/>
      <c r="VST42" s="52"/>
      <c r="VSU42" s="52"/>
      <c r="VSV42" s="52"/>
      <c r="VSW42" s="52"/>
      <c r="VSX42" s="52"/>
      <c r="VSY42" s="52"/>
      <c r="VSZ42" s="52"/>
      <c r="VTA42" s="52"/>
      <c r="VTB42" s="52"/>
    </row>
  </sheetData>
  <sheetProtection algorithmName="SHA-512" hashValue="AAAAAAAAAAAAAAAAAAAAAAAAAAAAAAAAAAAAAAAAAAAAAAAAAAAAAAAAAAAAAAAAAAAAAAAAAAAAAAAAAAAAAA==" saltValue="4lslgwqYcgp32m6Gcu6nkA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28575</xdr:colOff>
                    <xdr:row>5</xdr:row>
                    <xdr:rowOff>28575</xdr:rowOff>
                  </from>
                  <to>
                    <xdr:col>30</xdr:col>
                    <xdr:colOff>171450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93CB-F86B-4049-BBE3-EBE310CEE880}"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MoreViews64.png" Type="http://schemas.openxmlformats.org/officeDocument/2006/relationships/image" Target="images/MoreViews64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QuarterlyView64.png" Type="http://schemas.openxmlformats.org/officeDocument/2006/relationships/image" Target="images/QuarterlyView64.png"/><Relationship Id="DailyView64.png" Type="http://schemas.openxmlformats.org/officeDocument/2006/relationships/image" Target="images/daily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HalfYearlyView64.png" Type="http://schemas.openxmlformats.org/officeDocument/2006/relationships/image" Target="images/HalfYearlyView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 getVisible="GetVisible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 getVisible="GetVisible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 getVisible="GetVisible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 getVisible="GetVisible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 getVisible="GetVisible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  <tab idMso="TabReview">
        <group id="grpSpellCheck" label="Proofing" insertBeforeMso="GroupProofing" getVisible="HideProofingGroups">
          <button id="btnSpellCheck" size="large" label="Resources" imageMso="GroupBlogProofing" onAction="SpellChecking" getEnabled="GetEnabled"/>
        </group>
        <group idMso="GroupProofing" getVisible="HideProofingGroups"/>
      </tab>
      <tab idMso="TabData">
        <group id="grpFilter" label="Filter" getVisible="HideFilterGroups" insertBeforeMso="GroupSortFilter">
          <button id="btnFilterAdd" size="large" label="Filter" imageMso="Filters" onAction="AddFilterToTasks" getEnabled="GetEnabled"/>
          <button id="btnFilterClear" size="large" label="Clear" imageMso="FilterClear" onAction="ClearFilterToTasks" getEnabled="GetEnabled"/>
        </group>
        <group idMso="GroupSortFilter" getVisible="HideFilterGroups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4</vt:i4>
      </vt:variant>
    </vt:vector>
  </HeadingPairs>
  <TitlesOfParts>
    <vt:vector size="8" baseType="lpstr">
      <vt:lpstr>Help</vt:lpstr>
      <vt:lpstr>Project Dashboard</vt:lpstr>
      <vt:lpstr>Projektplan</vt:lpstr>
      <vt:lpstr>Tabelle3</vt:lpstr>
      <vt:lpstr>DashboardTemplate!Druckbereich</vt:lpstr>
      <vt:lpstr>'Project Dashboard'!Druckbereich</vt:lpstr>
      <vt:lpstr>DashboardTemplate!Drucktitel</vt:lpstr>
      <vt:lpstr>'Project Dashboard'!Drucktitel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Dany Zimmermann</cp:lastModifiedBy>
  <cp:revision>0</cp:revision>
  <cp:lastPrinted>2016-09-14T12:04:46Z</cp:lastPrinted>
  <dcterms:created xsi:type="dcterms:W3CDTF">2016-09-10T13:03:48Z</dcterms:created>
  <dcterms:modified xsi:type="dcterms:W3CDTF">2017-09-28T05:46:37Z</dcterms:modified>
  <cp:category>Excel Template</cp:category>
  <cp:version>2.49.9</cp:version>
</cp:coreProperties>
</file>