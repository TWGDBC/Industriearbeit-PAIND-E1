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application/octet-stream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theme/themeOverride4.xml" ContentType="application/vnd.openxmlformats-officedocument.themeOverride+xml"/>
  <Override PartName="/xl/charts/chart11.xml" ContentType="application/vnd.openxmlformats-officedocument.drawingml.chart+xml"/>
  <Override PartName="/xl/theme/themeOverride5.xml" ContentType="application/vnd.openxmlformats-officedocument.themeOverride+xml"/>
  <Override PartName="/xl/charts/chart12.xml" ContentType="application/vnd.openxmlformats-officedocument.drawingml.chart+xml"/>
  <Override PartName="/xl/theme/themeOverride6.xml" ContentType="application/vnd.openxmlformats-officedocument.themeOverride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addtaskbelowselection.png" ContentType="image/png"/>
  <Override PartName="/customUI/images/Upgrade64.png" ContentType="image/png"/>
  <Override PartName="/customUI/images/GotoEnd.png" ContentType="image/png"/>
  <Override PartName="/customUI/images/MoreViews64.png" ContentType="image/png"/>
  <Override PartName="/customUI/images/Settings64.png" ContentType="image/png"/>
  <Override PartName="/customUI/images/GotoToday.png" ContentType="image/png"/>
  <Override PartName="/customUI/images/addtaskatselection.png" ContentType="image/png"/>
  <Override PartName="/customUI/images/duplicate64.png" ContentType="image/png"/>
  <Override PartName="/customUI/images/Resources64.png" ContentType="image/png"/>
  <Override PartName="/customUI/images/moveupblue16.png" ContentType="image/png"/>
  <Override PartName="/customUI/images/Weekly64.png" ContentType="image/png"/>
  <Override PartName="/customUI/images/GotoStart.png" ContentType="image/png"/>
  <Override PartName="/customUI/images/Holidays64.png" ContentType="image/png"/>
  <Override PartName="/customUI/images/YearlyView64.png" ContentType="image/png"/>
  <Override PartName="/customUI/images/editproject.png" ContentType="image/png"/>
  <Override PartName="/customUI/images/makeparent16.png" ContentType="image/png"/>
  <Override PartName="/customUI/images/QuarterlyView64.png" ContentType="image/png"/>
  <Override PartName="/customUI/images/daily64.png" ContentType="image/png"/>
  <Override PartName="/customUI/images/movedownblue16.png" ContentType="image/png"/>
  <Override PartName="/customUI/images/About64.png" ContentType="image/png"/>
  <Override PartName="/customUI/images/monthly64.png" ContentType="image/png"/>
  <Override PartName="/customUI/images/dash64.png" ContentType="image/png"/>
  <Override PartName="/customUI/images/HalfYearlyView64.png" ContentType="image/png"/>
  <Override PartName="/customUI/images/makechild16.png" ContentType="image/png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switchdrive\HSLU_5_Semester\Industriearbeit PAIND+E1\Projektmanagement\"/>
    </mc:Choice>
  </mc:AlternateContent>
  <bookViews>
    <workbookView xWindow="0" yWindow="0" windowWidth="28800" windowHeight="12210" tabRatio="433" xr2:uid="{00000000-000D-0000-FFFF-FFFF00000000}"/>
  </bookViews>
  <sheets>
    <sheet name="Projektplan" sheetId="5" r:id="rId1"/>
    <sheet name="Project Dashboard" sheetId="6" r:id="rId2"/>
    <sheet name="DashboardTemplate" sheetId="3" state="veryHidden" r:id="rId3"/>
    <sheet name="Template" sheetId="4" state="veryHidden" r:id="rId4"/>
  </sheets>
  <functionGroups builtInGroupCount="18"/>
  <definedNames>
    <definedName name="_xlnm.Print_Area" localSheetId="2">DashboardTemplate!$B$1:$G$69</definedName>
    <definedName name="_xlnm.Print_Area" localSheetId="1">'Project Dashboard'!$B$1:$G$69</definedName>
    <definedName name="_xlnm.Print_Titles" localSheetId="2">DashboardTemplate!$2:$2</definedName>
    <definedName name="_xlnm.Print_Titles" localSheetId="1">'Project Dashboard'!$2:$2</definedName>
  </definedNames>
  <calcPr calcId="171027" calcMode="manual"/>
  <pivotCaches>
    <pivotCache cacheId="152" r:id="rId5"/>
    <pivotCache cacheId="156" r:id="rId6"/>
    <pivotCache cacheId="160" r:id="rId7"/>
    <pivotCache cacheId="164" r:id="rId8"/>
    <pivotCache cacheId="168" r:id="rId9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2" i="6" l="1"/>
  <c r="E11" i="6"/>
  <c r="E10" i="6"/>
  <c r="E9" i="6"/>
  <c r="E8" i="6"/>
  <c r="E7" i="6"/>
  <c r="E6" i="6"/>
  <c r="Y13" i="6"/>
  <c r="Y12" i="6"/>
  <c r="Y11" i="6"/>
  <c r="Y8" i="6"/>
  <c r="X3" i="6"/>
  <c r="Z13" i="6" l="1"/>
  <c r="Z12" i="6"/>
  <c r="Y9" i="6"/>
  <c r="Z9" i="6" s="1"/>
  <c r="Y3" i="6"/>
  <c r="Z11" i="6"/>
  <c r="Z7" i="6"/>
  <c r="Z6" i="6"/>
  <c r="Y13" i="3"/>
  <c r="Z13" i="3" s="1"/>
  <c r="Y12" i="3"/>
  <c r="Z12" i="3" s="1"/>
  <c r="E12" i="3"/>
  <c r="Y11" i="3"/>
  <c r="Z11" i="3" s="1"/>
  <c r="E11" i="3"/>
  <c r="E10" i="3"/>
  <c r="E9" i="3"/>
  <c r="Y8" i="3"/>
  <c r="Y9" i="3" s="1"/>
  <c r="Z9" i="3" s="1"/>
  <c r="E8" i="3"/>
  <c r="Z7" i="3"/>
  <c r="E7" i="3"/>
  <c r="Z6" i="3"/>
  <c r="E6" i="3"/>
  <c r="X3" i="3"/>
  <c r="Y3" i="3" s="1"/>
  <c r="X16" i="3"/>
  <c r="X16" i="6"/>
  <c r="Z8" i="6" l="1"/>
  <c r="E4" i="6"/>
  <c r="Z8" i="3"/>
  <c r="E4" i="3"/>
</calcChain>
</file>

<file path=xl/sharedStrings.xml><?xml version="1.0" encoding="utf-8"?>
<sst xmlns="http://schemas.openxmlformats.org/spreadsheetml/2006/main" count="721" uniqueCount="235">
  <si>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</si>
  <si>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</si>
  <si>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</si>
  <si>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</si>
  <si>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</si>
  <si>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</si>
  <si>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</si>
  <si>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</si>
  <si>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</si>
  <si>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</si>
  <si>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</si>
  <si>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</si>
  <si>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</si>
  <si>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</si>
  <si>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</si>
  <si>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</si>
  <si>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</si>
  <si>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</si>
  <si>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</si>
  <si>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</si>
  <si>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</si>
  <si>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</si>
  <si>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</si>
  <si>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</si>
  <si>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</si>
  <si>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</si>
  <si>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</si>
  <si>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</si>
  <si>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</si>
  <si>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</si>
  <si>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</si>
  <si>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</si>
  <si>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</si>
  <si>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</si>
  <si>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</si>
  <si>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</si>
  <si>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</si>
  <si>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</si>
  <si>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</si>
  <si>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</si>
  <si>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</si>
  <si>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</si>
  <si>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</si>
  <si>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</si>
  <si>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</si>
  <si>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</si>
  <si>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</si>
  <si>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</si>
  <si>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</si>
  <si>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</si>
  <si>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</si>
  <si>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</si>
  <si>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</si>
  <si>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</si>
  <si>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</si>
  <si>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</si>
  <si>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</si>
  <si>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</si>
  <si>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</si>
  <si>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</si>
  <si>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</si>
  <si>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</si>
  <si>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</si>
  <si>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</si>
  <si>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</si>
  <si>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</si>
  <si>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</si>
  <si>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</si>
  <si>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</si>
  <si>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</si>
  <si>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</si>
  <si>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</si>
  <si>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</si>
  <si>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</si>
  <si>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</si>
  <si>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</si>
  <si>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</si>
  <si>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</si>
  <si>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</si>
  <si>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</si>
  <si>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</si>
  <si>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</si>
  <si>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</si>
  <si>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</si>
  <si>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</si>
  <si>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</si>
  <si>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</si>
  <si>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</si>
  <si>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</si>
  <si>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</si>
  <si>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</si>
  <si>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</si>
  <si>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</si>
  <si>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</si>
  <si>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</si>
  <si>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</si>
  <si>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</si>
  <si>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</si>
  <si>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</si>
  <si>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</si>
  <si>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</si>
  <si>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</si>
  <si>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</si>
  <si>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</si>
  <si>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</si>
  <si>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</si>
  <si>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</si>
  <si>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</si>
  <si>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</si>
  <si>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</si>
  <si>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</si>
  <si>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</si>
  <si>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</si>
  <si>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</si>
  <si>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</si>
  <si>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</si>
  <si>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</si>
  <si>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</si>
  <si>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</si>
  <si>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</si>
  <si>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</si>
  <si>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</si>
  <si>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</si>
  <si>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</si>
  <si>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</si>
  <si>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</si>
  <si>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</si>
  <si>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</si>
  <si>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</si>
  <si>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</si>
  <si>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</si>
  <si>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</si>
  <si>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</si>
  <si>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</si>
  <si>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</si>
  <si>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</si>
  <si>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</si>
  <si>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</si>
  <si>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</si>
  <si>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</si>
  <si>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</si>
  <si>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</si>
  <si>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</si>
  <si>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</si>
  <si>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</si>
  <si>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</si>
  <si>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</si>
  <si>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</si>
  <si>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</si>
  <si>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</si>
  <si>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</si>
  <si>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</si>
  <si>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</si>
  <si>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</si>
  <si>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</si>
  <si>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</si>
  <si>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TodayLineColor</t>
  </si>
  <si>
    <t>BordersColor</t>
  </si>
  <si>
    <t>liky</t>
  </si>
  <si>
    <t>0</t>
  </si>
  <si>
    <t>1</t>
  </si>
  <si>
    <t>Lead Generation</t>
  </si>
  <si>
    <t>31,726</t>
  </si>
  <si>
    <t>MP</t>
  </si>
  <si>
    <t>Percent Complete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</si>
  <si>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</si>
  <si>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</si>
  <si>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</si>
  <si>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</si>
  <si>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</si>
  <si>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</si>
  <si>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</si>
  <si>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</si>
  <si>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</si>
  <si>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</si>
  <si>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PercentageEntryMode</t>
  </si>
  <si>
    <t>PercentageCalculationType</t>
  </si>
  <si>
    <t>manual</t>
  </si>
  <si>
    <t>simple</t>
  </si>
  <si>
    <t>OverdueTaskColor</t>
  </si>
  <si>
    <t>ShowOverdueBar</t>
  </si>
  <si>
    <t>10E6A</t>
  </si>
  <si>
    <t>TR7){6SL</t>
  </si>
  <si>
    <t>0F7.(HHuQhWwXc(3+4</t>
  </si>
  <si>
    <t>Corsin Obrist</t>
  </si>
  <si>
    <t>UEad66d0b6-d26c-40ed-aeb9-eb7dff56470c</t>
  </si>
  <si>
    <t>e}f*Gtfp^mrxph]sl(xjy"h{f</t>
  </si>
  <si>
    <t xml:space="preserve">Project Lead: 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</si>
  <si>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$0 | Baseline: $0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 | Baseline: $0 | Actual: $0</t>
    </r>
  </si>
  <si>
    <t>2</t>
  </si>
  <si>
    <t>Initialisierungsphase</t>
  </si>
  <si>
    <t/>
  </si>
  <si>
    <t>3</t>
  </si>
  <si>
    <t>Normal</t>
  </si>
  <si>
    <t>Industriearbeit PAIND: "3D Laserscanner für mobilen Roboter</t>
  </si>
  <si>
    <t>User</t>
  </si>
  <si>
    <t>Projektplan</t>
  </si>
  <si>
    <t>Zeilenbeschriftungen</t>
  </si>
  <si>
    <t>(Leer)</t>
  </si>
  <si>
    <t>(Alle)</t>
  </si>
  <si>
    <t>Dauer</t>
  </si>
  <si>
    <t>Prozentuale Komp</t>
  </si>
  <si>
    <t>4</t>
  </si>
  <si>
    <t>Zwischenpräsentation</t>
  </si>
  <si>
    <t>5</t>
  </si>
  <si>
    <t>Mo.</t>
  </si>
  <si>
    <t>Di.</t>
  </si>
  <si>
    <t>Mi.</t>
  </si>
  <si>
    <t>Do.</t>
  </si>
  <si>
    <t>Fr.</t>
  </si>
  <si>
    <t>Sa.</t>
  </si>
  <si>
    <t>So.</t>
  </si>
  <si>
    <t>Sep-17      [W39]</t>
  </si>
  <si>
    <t>Sep-17      [W40]</t>
  </si>
  <si>
    <t>Okt-17      [W41]</t>
  </si>
  <si>
    <t>Okt-17      [W42]</t>
  </si>
  <si>
    <t>Okt-17      [W43]</t>
  </si>
  <si>
    <t>Okt-17      [W44]</t>
  </si>
  <si>
    <t>Okt-17      [W45]</t>
  </si>
  <si>
    <t>Nov-17      [W46]</t>
  </si>
  <si>
    <t>Informationsbeschaffung</t>
  </si>
  <si>
    <t>6</t>
  </si>
  <si>
    <t>Konzeptionsphase</t>
  </si>
  <si>
    <t>7</t>
  </si>
  <si>
    <t>Realisierungsphase</t>
  </si>
  <si>
    <t>8</t>
  </si>
  <si>
    <t>Testphase</t>
  </si>
  <si>
    <t>9</t>
  </si>
  <si>
    <t>Kick-Off Industriearbeit</t>
  </si>
  <si>
    <t>Erste Besprechung mit Dr. Björn Jensen</t>
  </si>
  <si>
    <t>10</t>
  </si>
  <si>
    <t>Dokumentation</t>
  </si>
  <si>
    <t>Abschlusspräsentation provisorisch</t>
  </si>
  <si>
    <t>11</t>
  </si>
  <si>
    <t>Poster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</si>
</sst>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\ dd/mmm/yy"/>
    <numFmt numFmtId="165" formatCode="&quot;Ft&quot;\ #,##0"/>
    <numFmt numFmtId="166" formatCode="ddd\ dd\-mmm\-yy"/>
    <numFmt numFmtId="167" formatCode="dd/mmm/yyyy"/>
    <numFmt numFmtId="168" formatCode="&quot;$&quot;\ #,##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9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i/>
      <sz val="10"/>
      <color rgb="FF565656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E69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  <border>
      <left/>
      <right/>
      <top/>
      <bottom style="thin">
        <color rgb="FFCCFFFF"/>
      </bottom>
      <diagonal/>
    </border>
  </borders>
  <cellStyleXfs count="198">
    <xf numFmtId="0" fontId="0" fillId="0" borderId="0"/>
    <xf numFmtId="0" fontId="2" fillId="0" borderId="1" applyNumberFormat="0" applyFill="0" applyAlignment="0" applyProtection="0"/>
    <xf numFmtId="9" fontId="3" fillId="0" borderId="0" applyFont="0" applyFill="0" applyBorder="0" applyAlignment="0" applyProtection="0"/>
    <xf numFmtId="0" fontId="3" fillId="0" borderId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</cellStyleXfs>
  <cellXfs count="277">
    <xf numFmtId="0" fontId="0" fillId="0" borderId="0" xfId="0"/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9" fontId="0" fillId="0" borderId="0" xfId="0" applyNumberFormat="1" applyAlignmen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3" fontId="5" fillId="0" borderId="0" xfId="0" applyNumberFormat="1" applyFont="1" applyBorder="1"/>
    <xf numFmtId="3" fontId="6" fillId="0" borderId="3" xfId="0" applyNumberFormat="1" applyFont="1" applyBorder="1"/>
    <xf numFmtId="0" fontId="4" fillId="0" borderId="3" xfId="0" applyFont="1" applyBorder="1"/>
    <xf numFmtId="3" fontId="4" fillId="0" borderId="0" xfId="0" applyNumberFormat="1" applyFont="1" applyBorder="1"/>
    <xf numFmtId="3" fontId="4" fillId="0" borderId="3" xfId="0" applyNumberFormat="1" applyFont="1" applyBorder="1"/>
    <xf numFmtId="9" fontId="0" fillId="0" borderId="0" xfId="0" applyNumberFormat="1" applyBorder="1" applyAlignment="1" applyProtection="1">
      <alignment horizontal="right"/>
      <protection locked="0"/>
    </xf>
    <xf numFmtId="9" fontId="4" fillId="0" borderId="0" xfId="2" applyFont="1" applyFill="1" applyBorder="1" applyAlignment="1" applyProtection="1">
      <alignment horizontal="center" vertical="top"/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5" fontId="4" fillId="0" borderId="0" xfId="0" applyNumberFormat="1" applyFont="1" applyBorder="1"/>
    <xf numFmtId="15" fontId="4" fillId="0" borderId="3" xfId="0" applyNumberFormat="1" applyFont="1" applyBorder="1"/>
    <xf numFmtId="0" fontId="4" fillId="0" borderId="0" xfId="0" applyFont="1" applyBorder="1" applyAlignment="1">
      <alignment horizontal="right"/>
    </xf>
    <xf numFmtId="0" fontId="4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6" fillId="0" borderId="0" xfId="3" applyFont="1" applyFill="1" applyBorder="1" applyAlignment="1" applyProtection="1">
      <alignment vertical="top"/>
      <protection locked="0"/>
    </xf>
    <xf numFmtId="0" fontId="6" fillId="0" borderId="0" xfId="3" quotePrefix="1" applyNumberFormat="1" applyFont="1" applyFill="1" applyBorder="1" applyAlignment="1" applyProtection="1">
      <alignment horizontal="right" vertical="top"/>
      <protection locked="0"/>
    </xf>
    <xf numFmtId="165" fontId="4" fillId="0" borderId="0" xfId="2" applyNumberFormat="1" applyFont="1" applyFill="1" applyBorder="1" applyAlignment="1" applyProtection="1">
      <alignment horizontal="center" vertical="top"/>
    </xf>
    <xf numFmtId="0" fontId="4" fillId="0" borderId="0" xfId="2" applyNumberFormat="1" applyFont="1" applyFill="1" applyBorder="1" applyAlignment="1" applyProtection="1">
      <alignment horizontal="center" vertical="top"/>
      <protection locked="0"/>
    </xf>
    <xf numFmtId="9" fontId="6" fillId="0" borderId="0" xfId="3" applyNumberFormat="1" applyFont="1" applyFill="1" applyBorder="1" applyAlignment="1" applyProtection="1">
      <alignment horizontal="right" vertical="top"/>
    </xf>
    <xf numFmtId="165" fontId="6" fillId="0" borderId="0" xfId="3" applyNumberFormat="1" applyFont="1" applyFill="1" applyBorder="1" applyAlignment="1" applyProtection="1">
      <alignment vertical="top"/>
    </xf>
    <xf numFmtId="0" fontId="6" fillId="0" borderId="0" xfId="3" applyFont="1" applyFill="1" applyBorder="1" applyAlignment="1" applyProtection="1">
      <alignment vertical="top"/>
    </xf>
    <xf numFmtId="49" fontId="6" fillId="0" borderId="0" xfId="3" applyNumberFormat="1" applyFont="1" applyFill="1" applyBorder="1" applyAlignment="1" applyProtection="1">
      <alignment horizontal="center" vertical="top"/>
    </xf>
    <xf numFmtId="0" fontId="0" fillId="0" borderId="0" xfId="0" applyBorder="1" applyAlignment="1"/>
    <xf numFmtId="0" fontId="4" fillId="0" borderId="0" xfId="3" applyFont="1" applyAlignment="1" applyProtection="1">
      <alignment horizontal="center" vertical="top"/>
      <protection locked="0"/>
    </xf>
    <xf numFmtId="0" fontId="4" fillId="0" borderId="0" xfId="3" applyNumberFormat="1" applyFont="1" applyFill="1" applyBorder="1" applyAlignment="1" applyProtection="1">
      <alignment horizontal="center" vertical="top"/>
      <protection locked="0"/>
    </xf>
    <xf numFmtId="0" fontId="4" fillId="0" borderId="0" xfId="3" applyFont="1" applyFill="1" applyBorder="1" applyAlignment="1" applyProtection="1">
      <alignment horizontal="center" vertical="top"/>
      <protection locked="0"/>
    </xf>
    <xf numFmtId="0" fontId="4" fillId="0" borderId="0" xfId="3" applyFont="1" applyBorder="1" applyAlignment="1" applyProtection="1">
      <alignment horizontal="center" vertical="top"/>
      <protection locked="0"/>
    </xf>
    <xf numFmtId="0" fontId="6" fillId="0" borderId="0" xfId="3" applyFont="1" applyBorder="1" applyAlignment="1" applyProtection="1">
      <alignment vertical="top"/>
      <protection locked="0"/>
    </xf>
    <xf numFmtId="166" fontId="6" fillId="0" borderId="0" xfId="3" applyNumberFormat="1" applyFont="1" applyBorder="1" applyAlignment="1" applyProtection="1">
      <alignment vertical="top"/>
      <protection locked="0"/>
    </xf>
    <xf numFmtId="49" fontId="6" fillId="0" borderId="0" xfId="3" applyNumberFormat="1" applyFont="1" applyFill="1" applyBorder="1" applyAlignment="1" applyProtection="1">
      <alignment horizontal="right" vertical="top"/>
      <protection locked="0"/>
    </xf>
    <xf numFmtId="0" fontId="3" fillId="0" borderId="0" xfId="3" applyNumberFormat="1" applyFill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8" fillId="3" borderId="0" xfId="0" applyFont="1" applyFill="1" applyAlignment="1">
      <alignment vertic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0" fillId="4" borderId="0" xfId="0" applyFill="1"/>
    <xf numFmtId="0" fontId="3" fillId="0" borderId="0" xfId="3" applyFill="1" applyBorder="1" applyProtection="1"/>
    <xf numFmtId="0" fontId="3" fillId="0" borderId="0" xfId="3" applyFont="1" applyFill="1" applyBorder="1" applyProtection="1"/>
    <xf numFmtId="0" fontId="6" fillId="0" borderId="0" xfId="3" applyFont="1" applyProtection="1"/>
    <xf numFmtId="0" fontId="4" fillId="0" borderId="0" xfId="3" applyFont="1" applyAlignment="1" applyProtection="1">
      <alignment horizontal="center" vertical="top" wrapText="1"/>
      <protection locked="0"/>
    </xf>
    <xf numFmtId="3" fontId="6" fillId="0" borderId="0" xfId="3" applyNumberFormat="1" applyFont="1" applyAlignment="1" applyProtection="1">
      <alignment vertical="top" wrapText="1"/>
      <protection locked="0"/>
    </xf>
    <xf numFmtId="164" fontId="6" fillId="0" borderId="0" xfId="3" applyNumberFormat="1" applyFont="1" applyAlignment="1" applyProtection="1">
      <alignment vertical="top" wrapText="1"/>
      <protection locked="0"/>
    </xf>
    <xf numFmtId="0" fontId="6" fillId="0" borderId="0" xfId="3" applyFont="1" applyAlignment="1" applyProtection="1">
      <alignment vertical="top" wrapText="1"/>
      <protection locked="0"/>
    </xf>
    <xf numFmtId="0" fontId="6" fillId="0" borderId="0" xfId="3" applyNumberFormat="1" applyFont="1" applyFill="1" applyBorder="1" applyAlignment="1" applyProtection="1">
      <alignment horizontal="left" vertical="top" wrapText="1"/>
      <protection locked="0"/>
    </xf>
    <xf numFmtId="0" fontId="3" fillId="0" borderId="0" xfId="3" applyProtection="1"/>
    <xf numFmtId="0" fontId="4" fillId="0" borderId="0" xfId="0" applyFont="1" applyAlignment="1" applyProtection="1">
      <alignment vertical="top" wrapText="1"/>
      <protection locked="0"/>
    </xf>
    <xf numFmtId="0" fontId="6" fillId="0" borderId="0" xfId="0" applyFont="1" applyAlignment="1" applyProtection="1">
      <alignment vertical="top" wrapText="1"/>
      <protection locked="0"/>
    </xf>
    <xf numFmtId="0" fontId="6" fillId="0" borderId="0" xfId="3" applyFont="1" applyAlignment="1" applyProtection="1">
      <alignment horizontal="left" indent="1"/>
    </xf>
    <xf numFmtId="0" fontId="6" fillId="0" borderId="0" xfId="3" applyFont="1" applyFill="1" applyBorder="1" applyAlignment="1" applyProtection="1">
      <alignment horizontal="center" vertical="center"/>
    </xf>
    <xf numFmtId="9" fontId="4" fillId="0" borderId="0" xfId="2" applyFont="1" applyFill="1" applyBorder="1" applyAlignment="1" applyProtection="1">
      <alignment horizontal="center" vertical="top" wrapText="1"/>
      <protection locked="0"/>
    </xf>
    <xf numFmtId="3" fontId="9" fillId="0" borderId="0" xfId="3" applyNumberFormat="1" applyFont="1" applyFill="1" applyBorder="1" applyAlignment="1" applyProtection="1">
      <alignment horizontal="left" vertical="top" wrapText="1"/>
      <protection locked="0"/>
    </xf>
    <xf numFmtId="164" fontId="9" fillId="0" borderId="0" xfId="3" applyNumberFormat="1" applyFont="1" applyFill="1" applyBorder="1" applyAlignment="1" applyProtection="1">
      <alignment horizontal="left" vertical="top" wrapText="1"/>
      <protection locked="0"/>
    </xf>
    <xf numFmtId="164" fontId="9" fillId="0" borderId="0" xfId="3" applyNumberFormat="1" applyFont="1" applyFill="1" applyBorder="1" applyAlignment="1" applyProtection="1">
      <alignment vertical="top" wrapText="1"/>
      <protection locked="0"/>
    </xf>
    <xf numFmtId="0" fontId="9" fillId="0" borderId="0" xfId="3" applyFont="1" applyFill="1" applyBorder="1" applyAlignment="1" applyProtection="1">
      <alignment vertical="top" wrapText="1"/>
      <protection locked="0"/>
    </xf>
    <xf numFmtId="0" fontId="10" fillId="0" borderId="0" xfId="3" applyFont="1" applyFill="1" applyBorder="1" applyProtection="1"/>
    <xf numFmtId="3" fontId="6" fillId="0" borderId="0" xfId="3" applyNumberFormat="1" applyFont="1" applyFill="1" applyBorder="1" applyAlignment="1" applyProtection="1">
      <alignment horizontal="right" vertical="top" wrapText="1"/>
      <protection locked="0"/>
    </xf>
    <xf numFmtId="164" fontId="6" fillId="0" borderId="0" xfId="3" applyNumberFormat="1" applyFont="1" applyFill="1" applyBorder="1" applyAlignment="1" applyProtection="1">
      <alignment horizontal="right" vertical="top" wrapText="1"/>
      <protection locked="0"/>
    </xf>
    <xf numFmtId="164" fontId="6" fillId="0" borderId="0" xfId="3" applyNumberFormat="1" applyFont="1" applyFill="1" applyBorder="1" applyAlignment="1" applyProtection="1">
      <alignment vertical="top" wrapText="1"/>
      <protection locked="0"/>
    </xf>
    <xf numFmtId="0" fontId="6" fillId="0" borderId="0" xfId="3" applyFont="1" applyFill="1" applyBorder="1" applyAlignment="1" applyProtection="1">
      <alignment vertical="top" wrapText="1"/>
      <protection locked="0"/>
    </xf>
    <xf numFmtId="0" fontId="11" fillId="0" borderId="0" xfId="3" applyFont="1" applyFill="1" applyBorder="1" applyAlignment="1" applyProtection="1">
      <alignment horizontal="left" vertical="top" wrapText="1"/>
      <protection locked="0"/>
    </xf>
    <xf numFmtId="15" fontId="0" fillId="0" borderId="0" xfId="0" applyNumberFormat="1"/>
    <xf numFmtId="0" fontId="3" fillId="0" borderId="0" xfId="3" applyFill="1" applyBorder="1" applyAlignment="1" applyProtection="1"/>
    <xf numFmtId="0" fontId="12" fillId="7" borderId="6" xfId="3" applyNumberFormat="1" applyFont="1" applyFill="1" applyBorder="1" applyAlignment="1" applyProtection="1">
      <alignment horizontal="center" vertical="center" shrinkToFit="1"/>
      <protection hidden="1"/>
    </xf>
    <xf numFmtId="0" fontId="12" fillId="0" borderId="6" xfId="3" applyNumberFormat="1" applyFont="1" applyFill="1" applyBorder="1" applyAlignment="1" applyProtection="1">
      <alignment horizontal="center" vertical="center" shrinkToFit="1"/>
      <protection hidden="1"/>
    </xf>
    <xf numFmtId="9" fontId="13" fillId="8" borderId="7" xfId="3" applyNumberFormat="1" applyFont="1" applyFill="1" applyBorder="1" applyAlignment="1" applyProtection="1">
      <alignment horizontal="center" vertical="top" wrapText="1"/>
      <protection locked="0"/>
    </xf>
    <xf numFmtId="0" fontId="13" fillId="8" borderId="8" xfId="3" applyNumberFormat="1" applyFont="1" applyFill="1" applyBorder="1" applyAlignment="1" applyProtection="1">
      <alignment horizontal="center" vertical="top" wrapText="1"/>
      <protection locked="0"/>
    </xf>
    <xf numFmtId="166" fontId="13" fillId="8" borderId="8" xfId="3" applyNumberFormat="1" applyFont="1" applyFill="1" applyBorder="1" applyAlignment="1" applyProtection="1">
      <alignment horizontal="center" vertical="top" wrapText="1"/>
      <protection locked="0"/>
    </xf>
    <xf numFmtId="166" fontId="13" fillId="8" borderId="7" xfId="3" applyNumberFormat="1" applyFont="1" applyFill="1" applyBorder="1" applyAlignment="1" applyProtection="1">
      <alignment horizontal="center" vertical="top" wrapText="1"/>
      <protection locked="0"/>
    </xf>
    <xf numFmtId="0" fontId="13" fillId="8" borderId="7" xfId="3" applyFont="1" applyFill="1" applyBorder="1" applyAlignment="1" applyProtection="1">
      <alignment horizontal="center" vertical="top" wrapText="1"/>
      <protection locked="0"/>
    </xf>
    <xf numFmtId="0" fontId="13" fillId="8" borderId="7" xfId="3" applyFont="1" applyFill="1" applyBorder="1" applyAlignment="1" applyProtection="1">
      <alignment horizontal="left" vertical="top" wrapText="1"/>
      <protection locked="0"/>
    </xf>
    <xf numFmtId="0" fontId="13" fillId="8" borderId="7" xfId="3" applyFont="1" applyFill="1" applyBorder="1" applyAlignment="1" applyProtection="1">
      <alignment horizontal="left" vertical="top" wrapText="1"/>
    </xf>
    <xf numFmtId="0" fontId="15" fillId="0" borderId="0" xfId="0" applyFont="1" applyBorder="1" applyAlignment="1" applyProtection="1">
      <protection locked="0"/>
    </xf>
    <xf numFmtId="0" fontId="15" fillId="0" borderId="9" xfId="0" applyNumberFormat="1" applyFont="1" applyBorder="1" applyAlignment="1" applyProtection="1">
      <protection locked="0"/>
    </xf>
    <xf numFmtId="0" fontId="15" fillId="0" borderId="9" xfId="0" applyFont="1" applyBorder="1" applyAlignment="1" applyProtection="1">
      <protection locked="0"/>
    </xf>
    <xf numFmtId="0" fontId="15" fillId="0" borderId="9" xfId="0" applyFont="1" applyBorder="1" applyAlignment="1" applyProtection="1">
      <alignment horizontal="left"/>
    </xf>
    <xf numFmtId="0" fontId="16" fillId="9" borderId="0" xfId="3" applyNumberFormat="1" applyFont="1" applyFill="1" applyBorder="1" applyAlignment="1" applyProtection="1">
      <alignment horizontal="left" vertical="center"/>
      <protection hidden="1"/>
    </xf>
    <xf numFmtId="0" fontId="16" fillId="10" borderId="0" xfId="3" applyNumberFormat="1" applyFont="1" applyFill="1" applyBorder="1" applyAlignment="1" applyProtection="1">
      <alignment horizontal="left" vertical="center"/>
      <protection hidden="1"/>
    </xf>
    <xf numFmtId="0" fontId="16" fillId="9" borderId="0" xfId="3" quotePrefix="1" applyNumberFormat="1" applyFont="1" applyFill="1" applyBorder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17" fillId="3" borderId="0" xfId="0" applyNumberFormat="1" applyFont="1" applyFill="1" applyProtection="1">
      <protection locked="0"/>
    </xf>
    <xf numFmtId="0" fontId="17" fillId="3" borderId="0" xfId="0" applyFont="1" applyFill="1" applyProtection="1">
      <protection locked="0"/>
    </xf>
    <xf numFmtId="0" fontId="18" fillId="3" borderId="0" xfId="3" applyFont="1" applyFill="1" applyAlignment="1" applyProtection="1">
      <protection locked="0"/>
    </xf>
    <xf numFmtId="167" fontId="19" fillId="11" borderId="0" xfId="3" applyNumberFormat="1" applyFont="1" applyFill="1" applyBorder="1" applyAlignment="1" applyProtection="1">
      <alignment horizontal="center" vertical="center"/>
      <protection hidden="1"/>
    </xf>
    <xf numFmtId="0" fontId="20" fillId="11" borderId="0" xfId="3" applyFont="1" applyFill="1" applyAlignment="1" applyProtection="1">
      <alignment vertical="center"/>
      <protection locked="0"/>
    </xf>
    <xf numFmtId="0" fontId="20" fillId="11" borderId="0" xfId="3" applyFont="1" applyFill="1" applyAlignment="1" applyProtection="1">
      <alignment horizontal="right" vertical="center"/>
      <protection locked="0"/>
    </xf>
    <xf numFmtId="0" fontId="20" fillId="11" borderId="0" xfId="3" applyNumberFormat="1" applyFont="1" applyFill="1" applyAlignment="1" applyProtection="1">
      <alignment vertical="center"/>
      <protection locked="0"/>
    </xf>
    <xf numFmtId="0" fontId="4" fillId="0" borderId="0" xfId="3" applyFont="1" applyAlignment="1" applyProtection="1">
      <alignment horizontal="center" vertical="top"/>
    </xf>
    <xf numFmtId="0" fontId="6" fillId="0" borderId="0" xfId="3" applyNumberFormat="1" applyFont="1" applyAlignment="1" applyProtection="1">
      <alignment vertical="top"/>
    </xf>
    <xf numFmtId="166" fontId="6" fillId="0" borderId="0" xfId="3" applyNumberFormat="1" applyFont="1" applyAlignment="1" applyProtection="1">
      <alignment vertical="top"/>
    </xf>
    <xf numFmtId="0" fontId="6" fillId="0" borderId="0" xfId="3" applyFont="1" applyAlignment="1" applyProtection="1">
      <alignment vertical="top"/>
    </xf>
    <xf numFmtId="0" fontId="6" fillId="0" borderId="0" xfId="3" applyFont="1" applyAlignment="1" applyProtection="1">
      <alignment vertical="top" wrapText="1"/>
    </xf>
    <xf numFmtId="0" fontId="6" fillId="0" borderId="0" xfId="3" applyNumberFormat="1" applyFont="1" applyFill="1" applyBorder="1" applyAlignment="1" applyProtection="1">
      <alignment horizontal="left" vertical="top"/>
    </xf>
    <xf numFmtId="15" fontId="3" fillId="0" borderId="0" xfId="3" applyNumberFormat="1" applyFill="1" applyBorder="1" applyProtection="1"/>
    <xf numFmtId="49" fontId="3" fillId="0" borderId="0" xfId="3" applyNumberFormat="1" applyFill="1" applyBorder="1" applyProtection="1"/>
    <xf numFmtId="0" fontId="3" fillId="0" borderId="0" xfId="3" applyFill="1" applyBorder="1" applyProtection="1">
      <protection locked="0"/>
    </xf>
    <xf numFmtId="4" fontId="3" fillId="0" borderId="0" xfId="3" applyNumberFormat="1" applyFill="1" applyBorder="1" applyProtection="1">
      <protection locked="0"/>
    </xf>
    <xf numFmtId="0" fontId="3" fillId="0" borderId="0" xfId="3" applyNumberFormat="1" applyFill="1" applyBorder="1" applyProtection="1">
      <protection locked="0"/>
    </xf>
    <xf numFmtId="0" fontId="3" fillId="0" borderId="0" xfId="3" quotePrefix="1" applyFill="1" applyBorder="1" applyProtection="1">
      <protection locked="0"/>
    </xf>
    <xf numFmtId="0" fontId="6" fillId="0" borderId="0" xfId="3" applyFont="1" applyAlignment="1" applyProtection="1">
      <alignment horizontal="center" vertical="top"/>
    </xf>
    <xf numFmtId="0" fontId="6" fillId="0" borderId="0" xfId="3" applyNumberFormat="1" applyFont="1" applyFill="1" applyBorder="1" applyAlignment="1" applyProtection="1">
      <alignment horizontal="right" vertical="top"/>
    </xf>
    <xf numFmtId="0" fontId="21" fillId="0" borderId="3" xfId="0" applyFont="1" applyBorder="1"/>
    <xf numFmtId="0" fontId="0" fillId="4" borderId="0" xfId="0" applyFill="1" applyProtection="1">
      <protection locked="0"/>
    </xf>
    <xf numFmtId="0" fontId="0" fillId="4" borderId="0" xfId="0" applyFill="1" applyAlignment="1" applyProtection="1">
      <protection locked="0"/>
    </xf>
    <xf numFmtId="0" fontId="22" fillId="0" borderId="0" xfId="0" applyFont="1" applyAlignment="1">
      <alignment vertical="center"/>
    </xf>
    <xf numFmtId="0" fontId="22" fillId="0" borderId="0" xfId="0" applyFont="1" applyBorder="1" applyAlignment="1">
      <alignment horizontal="center" vertical="center"/>
    </xf>
    <xf numFmtId="0" fontId="22" fillId="3" borderId="0" xfId="0" applyFont="1" applyFill="1" applyAlignment="1">
      <alignment horizontal="center" vertical="center"/>
    </xf>
    <xf numFmtId="0" fontId="7" fillId="3" borderId="0" xfId="0" applyFont="1" applyFill="1" applyBorder="1" applyAlignment="1"/>
    <xf numFmtId="0" fontId="0" fillId="3" borderId="10" xfId="0" applyFill="1" applyBorder="1"/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22" fillId="0" borderId="0" xfId="0" applyFont="1" applyBorder="1" applyAlignment="1">
      <alignment horizontal="left" vertical="center"/>
    </xf>
    <xf numFmtId="0" fontId="23" fillId="3" borderId="0" xfId="0" applyFont="1" applyFill="1" applyProtection="1">
      <protection locked="0"/>
    </xf>
    <xf numFmtId="0" fontId="23" fillId="3" borderId="5" xfId="0" applyFont="1" applyFill="1" applyBorder="1" applyProtection="1">
      <protection locked="0"/>
    </xf>
    <xf numFmtId="0" fontId="23" fillId="3" borderId="5" xfId="0" applyFont="1" applyFill="1" applyBorder="1" applyAlignment="1" applyProtection="1">
      <alignment horizontal="right"/>
      <protection locked="0"/>
    </xf>
    <xf numFmtId="0" fontId="23" fillId="3" borderId="2" xfId="0" applyFont="1" applyFill="1" applyBorder="1" applyAlignment="1" applyProtection="1">
      <alignment horizontal="right"/>
      <protection locked="0"/>
    </xf>
    <xf numFmtId="0" fontId="23" fillId="3" borderId="0" xfId="0" applyFont="1" applyFill="1" applyBorder="1" applyAlignment="1" applyProtection="1">
      <alignment horizontal="right"/>
      <protection locked="0"/>
    </xf>
    <xf numFmtId="9" fontId="23" fillId="3" borderId="5" xfId="0" applyNumberFormat="1" applyFont="1" applyFill="1" applyBorder="1" applyProtection="1">
      <protection locked="0"/>
    </xf>
    <xf numFmtId="9" fontId="23" fillId="3" borderId="5" xfId="0" applyNumberFormat="1" applyFont="1" applyFill="1" applyBorder="1" applyAlignment="1" applyProtection="1">
      <alignment horizontal="right"/>
      <protection locked="0"/>
    </xf>
    <xf numFmtId="9" fontId="23" fillId="3" borderId="0" xfId="0" applyNumberFormat="1" applyFont="1" applyFill="1" applyBorder="1" applyAlignment="1" applyProtection="1">
      <alignment horizontal="right"/>
      <protection locked="0"/>
    </xf>
    <xf numFmtId="0" fontId="23" fillId="3" borderId="0" xfId="0" applyFont="1" applyFill="1" applyAlignment="1" applyProtection="1">
      <alignment horizontal="right"/>
      <protection locked="0"/>
    </xf>
    <xf numFmtId="164" fontId="6" fillId="0" borderId="0" xfId="3" applyNumberFormat="1" applyFont="1" applyFill="1" applyBorder="1" applyAlignment="1" applyProtection="1">
      <alignment vertical="top"/>
    </xf>
    <xf numFmtId="164" fontId="6" fillId="0" borderId="0" xfId="3" applyNumberFormat="1" applyFont="1" applyFill="1" applyBorder="1" applyAlignment="1" applyProtection="1">
      <alignment horizontal="right" vertical="top"/>
    </xf>
    <xf numFmtId="3" fontId="6" fillId="0" borderId="0" xfId="3" applyNumberFormat="1" applyFont="1" applyFill="1" applyBorder="1" applyAlignment="1" applyProtection="1">
      <alignment horizontal="right" vertical="top"/>
    </xf>
    <xf numFmtId="3" fontId="4" fillId="0" borderId="0" xfId="2" applyNumberFormat="1" applyFont="1" applyFill="1" applyBorder="1" applyAlignment="1" applyProtection="1">
      <alignment horizontal="center" vertical="top"/>
    </xf>
    <xf numFmtId="9" fontId="13" fillId="8" borderId="0" xfId="3" applyNumberFormat="1" applyFont="1" applyFill="1" applyBorder="1" applyAlignment="1" applyProtection="1">
      <alignment horizontal="center" vertical="top" wrapText="1"/>
      <protection locked="0"/>
    </xf>
    <xf numFmtId="0" fontId="6" fillId="0" borderId="0" xfId="3" applyFont="1" applyAlignment="1" applyProtection="1">
      <alignment horizontal="center" vertical="top"/>
      <protection locked="0"/>
    </xf>
    <xf numFmtId="9" fontId="4" fillId="6" borderId="0" xfId="2" applyFont="1" applyFill="1" applyBorder="1" applyAlignment="1" applyProtection="1">
      <alignment horizontal="center" vertical="top" wrapText="1"/>
      <protection locked="0"/>
    </xf>
    <xf numFmtId="9" fontId="4" fillId="5" borderId="0" xfId="2" applyFont="1" applyFill="1" applyBorder="1" applyAlignment="1" applyProtection="1">
      <alignment horizontal="center" vertical="top" wrapText="1"/>
      <protection locked="0"/>
    </xf>
    <xf numFmtId="9" fontId="4" fillId="12" borderId="0" xfId="2" applyFont="1" applyFill="1" applyBorder="1" applyAlignment="1" applyProtection="1">
      <alignment horizontal="center" vertical="top" wrapText="1"/>
      <protection locked="0"/>
    </xf>
    <xf numFmtId="9" fontId="4" fillId="2" borderId="0" xfId="2" applyFont="1" applyFill="1" applyBorder="1" applyAlignment="1" applyProtection="1">
      <alignment horizontal="center" vertical="top" wrapText="1"/>
      <protection locked="0"/>
    </xf>
    <xf numFmtId="166" fontId="6" fillId="0" borderId="0" xfId="3" applyNumberFormat="1" applyFont="1" applyAlignment="1" applyProtection="1">
      <alignment horizontal="right" vertical="top"/>
    </xf>
    <xf numFmtId="0" fontId="17" fillId="3" borderId="0" xfId="0" applyFont="1" applyFill="1" applyAlignment="1" applyProtection="1">
      <alignment horizontal="right"/>
      <protection locked="0"/>
    </xf>
    <xf numFmtId="0" fontId="15" fillId="0" borderId="9" xfId="0" applyFont="1" applyBorder="1" applyAlignment="1" applyProtection="1">
      <alignment horizontal="right"/>
      <protection locked="0"/>
    </xf>
    <xf numFmtId="164" fontId="9" fillId="0" borderId="0" xfId="3" applyNumberFormat="1" applyFont="1" applyFill="1" applyBorder="1" applyAlignment="1" applyProtection="1">
      <alignment horizontal="right" vertical="top" wrapText="1"/>
      <protection locked="0"/>
    </xf>
    <xf numFmtId="164" fontId="6" fillId="0" borderId="0" xfId="3" applyNumberFormat="1" applyFont="1" applyAlignment="1" applyProtection="1">
      <alignment horizontal="right" vertical="top" wrapText="1"/>
      <protection locked="0"/>
    </xf>
    <xf numFmtId="9" fontId="4" fillId="0" borderId="0" xfId="3" applyNumberFormat="1" applyFont="1" applyAlignment="1" applyProtection="1">
      <alignment horizontal="center" vertical="top"/>
    </xf>
    <xf numFmtId="9" fontId="6" fillId="0" borderId="0" xfId="3" applyNumberFormat="1" applyFont="1" applyAlignment="1" applyProtection="1">
      <alignment horizontal="center" vertical="top"/>
    </xf>
    <xf numFmtId="9" fontId="20" fillId="11" borderId="0" xfId="3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15" fillId="0" borderId="9" xfId="0" applyNumberFormat="1" applyFont="1" applyBorder="1" applyAlignment="1" applyProtection="1">
      <protection locked="0"/>
    </xf>
    <xf numFmtId="9" fontId="4" fillId="0" borderId="0" xfId="2" applyNumberFormat="1" applyFont="1" applyFill="1" applyBorder="1" applyAlignment="1" applyProtection="1">
      <alignment horizontal="center" vertical="top" wrapText="1"/>
      <protection locked="0"/>
    </xf>
    <xf numFmtId="9" fontId="4" fillId="0" borderId="0" xfId="2" applyNumberFormat="1" applyFont="1" applyFill="1" applyBorder="1" applyAlignment="1" applyProtection="1">
      <alignment horizontal="left" vertical="top" wrapText="1" indent="1"/>
      <protection locked="0"/>
    </xf>
    <xf numFmtId="9" fontId="4" fillId="0" borderId="0" xfId="3" applyNumberFormat="1" applyFont="1" applyAlignment="1" applyProtection="1">
      <alignment horizontal="center" vertical="top" wrapText="1"/>
      <protection locked="0"/>
    </xf>
    <xf numFmtId="0" fontId="6" fillId="0" borderId="0" xfId="3" applyNumberFormat="1" applyFont="1" applyAlignment="1" applyProtection="1">
      <alignment horizontal="right" vertical="top"/>
    </xf>
    <xf numFmtId="0" fontId="20" fillId="11" borderId="0" xfId="3" applyNumberFormat="1" applyFont="1" applyFill="1" applyAlignment="1" applyProtection="1">
      <alignment horizontal="right" vertical="center"/>
      <protection locked="0"/>
    </xf>
    <xf numFmtId="0" fontId="17" fillId="3" borderId="0" xfId="0" applyNumberFormat="1" applyFont="1" applyFill="1" applyAlignment="1" applyProtection="1">
      <alignment horizontal="right"/>
      <protection locked="0"/>
    </xf>
    <xf numFmtId="0" fontId="15" fillId="0" borderId="9" xfId="0" applyNumberFormat="1" applyFont="1" applyBorder="1" applyAlignment="1" applyProtection="1">
      <alignment horizontal="right"/>
      <protection locked="0"/>
    </xf>
    <xf numFmtId="3" fontId="6" fillId="0" borderId="0" xfId="3" applyNumberFormat="1" applyFont="1" applyAlignment="1" applyProtection="1">
      <alignment horizontal="right" vertical="top" wrapText="1"/>
      <protection locked="0"/>
    </xf>
    <xf numFmtId="0" fontId="14" fillId="0" borderId="6" xfId="3" applyNumberFormat="1" applyFont="1" applyFill="1" applyBorder="1" applyAlignment="1" applyProtection="1">
      <alignment horizontal="center"/>
      <protection hidden="1"/>
    </xf>
    <xf numFmtId="168" fontId="4" fillId="0" borderId="0" xfId="2" applyNumberFormat="1" applyFont="1" applyFill="1" applyBorder="1" applyAlignment="1" applyProtection="1">
      <alignment horizontal="right" vertical="top" wrapText="1"/>
      <protection locked="0"/>
    </xf>
    <xf numFmtId="168" fontId="4" fillId="0" borderId="0" xfId="3" applyNumberFormat="1" applyFont="1" applyAlignment="1" applyProtection="1">
      <alignment horizontal="right" vertical="top" wrapText="1"/>
      <protection locked="0"/>
    </xf>
    <xf numFmtId="168" fontId="6" fillId="0" borderId="0" xfId="3" applyNumberFormat="1" applyFont="1" applyFill="1" applyBorder="1" applyAlignment="1" applyProtection="1">
      <alignment vertical="top" wrapText="1"/>
      <protection locked="0"/>
    </xf>
    <xf numFmtId="168" fontId="9" fillId="0" borderId="0" xfId="3" applyNumberFormat="1" applyFont="1" applyFill="1" applyBorder="1" applyAlignment="1" applyProtection="1">
      <alignment vertical="top" wrapText="1"/>
      <protection locked="0"/>
    </xf>
    <xf numFmtId="168" fontId="6" fillId="0" borderId="0" xfId="3" applyNumberFormat="1" applyFont="1" applyAlignment="1" applyProtection="1">
      <alignment vertical="top" wrapText="1"/>
      <protection locked="0"/>
    </xf>
    <xf numFmtId="0" fontId="13" fillId="8" borderId="7" xfId="3" applyNumberFormat="1" applyFont="1" applyFill="1" applyBorder="1" applyAlignment="1" applyProtection="1">
      <alignment horizontal="center" vertical="top" wrapText="1"/>
      <protection locked="0"/>
    </xf>
    <xf numFmtId="0" fontId="4" fillId="0" borderId="0" xfId="3" applyNumberFormat="1" applyFont="1" applyAlignment="1" applyProtection="1">
      <alignment horizontal="right" vertical="top"/>
    </xf>
    <xf numFmtId="0" fontId="1" fillId="3" borderId="0" xfId="0" applyNumberFormat="1" applyFont="1" applyFill="1" applyAlignment="1" applyProtection="1">
      <alignment horizontal="right"/>
      <protection locked="0"/>
    </xf>
    <xf numFmtId="0" fontId="15" fillId="0" borderId="0" xfId="0" applyNumberFormat="1" applyFont="1" applyBorder="1" applyAlignment="1" applyProtection="1">
      <alignment horizontal="right"/>
      <protection locked="0"/>
    </xf>
    <xf numFmtId="0" fontId="20" fillId="11" borderId="0" xfId="3" applyFont="1" applyFill="1" applyAlignment="1" applyProtection="1">
      <alignment horizontal="left" vertical="center"/>
      <protection locked="0"/>
    </xf>
    <xf numFmtId="0" fontId="15" fillId="3" borderId="0" xfId="3" applyFont="1" applyFill="1" applyAlignment="1" applyProtection="1">
      <alignment horizontal="left" vertical="center"/>
      <protection locked="0"/>
    </xf>
    <xf numFmtId="0" fontId="15" fillId="3" borderId="0" xfId="3" applyFont="1" applyFill="1" applyAlignment="1" applyProtection="1">
      <alignment vertical="center"/>
      <protection locked="0"/>
    </xf>
    <xf numFmtId="0" fontId="18" fillId="3" borderId="0" xfId="3" applyNumberFormat="1" applyFont="1" applyFill="1" applyAlignment="1" applyProtection="1">
      <protection locked="0"/>
    </xf>
    <xf numFmtId="0" fontId="22" fillId="0" borderId="0" xfId="0" applyFont="1" applyAlignment="1">
      <alignment horizontal="center"/>
    </xf>
    <xf numFmtId="0" fontId="28" fillId="0" borderId="0" xfId="3" applyFont="1" applyFill="1" applyBorder="1" applyAlignment="1" applyProtection="1"/>
    <xf numFmtId="0" fontId="27" fillId="0" borderId="11" xfId="3" applyNumberFormat="1" applyFont="1" applyFill="1" applyBorder="1" applyAlignment="1" applyProtection="1">
      <alignment horizontal="center" vertical="center" shrinkToFit="1"/>
      <protection hidden="1"/>
    </xf>
    <xf numFmtId="0" fontId="29" fillId="13" borderId="11" xfId="3" applyNumberFormat="1" applyFont="1" applyFill="1" applyBorder="1" applyAlignment="1" applyProtection="1">
      <alignment horizontal="center" vertical="center" shrinkToFit="1"/>
      <protection hidden="1"/>
    </xf>
    <xf numFmtId="0" fontId="27" fillId="7" borderId="11" xfId="3" applyNumberFormat="1" applyFont="1" applyFill="1" applyBorder="1" applyAlignment="1" applyProtection="1">
      <alignment horizontal="center" vertical="center" shrinkToFit="1"/>
      <protection hidden="1"/>
    </xf>
    <xf numFmtId="49" fontId="6" fillId="0" borderId="0" xfId="3" applyNumberFormat="1" applyFont="1" applyFill="1" applyBorder="1" applyAlignment="1" applyProtection="1">
      <alignment horizontal="left" vertical="top"/>
    </xf>
    <xf numFmtId="49" fontId="20" fillId="11" borderId="0" xfId="3" applyNumberFormat="1" applyFont="1" applyFill="1" applyAlignment="1" applyProtection="1">
      <alignment horizontal="left" vertical="center"/>
      <protection locked="0"/>
    </xf>
    <xf numFmtId="49" fontId="15" fillId="3" borderId="0" xfId="3" applyNumberFormat="1" applyFont="1" applyFill="1" applyAlignment="1" applyProtection="1">
      <alignment horizontal="left" vertical="center"/>
      <protection locked="0"/>
    </xf>
    <xf numFmtId="49" fontId="18" fillId="0" borderId="9" xfId="0" applyNumberFormat="1" applyFont="1" applyBorder="1" applyAlignment="1" applyProtection="1">
      <alignment horizontal="left"/>
    </xf>
    <xf numFmtId="49" fontId="13" fillId="8" borderId="7" xfId="3" applyNumberFormat="1" applyFont="1" applyFill="1" applyBorder="1" applyAlignment="1" applyProtection="1">
      <alignment horizontal="left" vertical="top" wrapText="1"/>
    </xf>
    <xf numFmtId="49" fontId="6" fillId="0" borderId="0" xfId="3" applyNumberFormat="1" applyFont="1" applyFill="1" applyBorder="1" applyAlignment="1" applyProtection="1">
      <alignment horizontal="left" vertical="top" wrapText="1"/>
      <protection locked="0"/>
    </xf>
    <xf numFmtId="0" fontId="26" fillId="0" borderId="13" xfId="0" applyFont="1" applyBorder="1"/>
    <xf numFmtId="49" fontId="30" fillId="0" borderId="13" xfId="3" applyNumberFormat="1" applyFont="1" applyFill="1" applyBorder="1" applyAlignment="1" applyProtection="1">
      <alignment horizontal="left" vertical="top" wrapText="1"/>
      <protection locked="0"/>
    </xf>
    <xf numFmtId="0" fontId="30" fillId="0" borderId="13" xfId="3" applyFont="1" applyFill="1" applyBorder="1" applyAlignment="1" applyProtection="1">
      <alignment vertical="top" wrapText="1"/>
      <protection locked="0"/>
    </xf>
    <xf numFmtId="168" fontId="30" fillId="0" borderId="13" xfId="3" applyNumberFormat="1" applyFont="1" applyFill="1" applyBorder="1" applyAlignment="1" applyProtection="1">
      <alignment vertical="top" wrapText="1"/>
      <protection locked="0"/>
    </xf>
    <xf numFmtId="164" fontId="30" fillId="0" borderId="13" xfId="3" applyNumberFormat="1" applyFont="1" applyFill="1" applyBorder="1" applyAlignment="1" applyProtection="1">
      <alignment horizontal="right" vertical="top" wrapText="1"/>
      <protection locked="0"/>
    </xf>
    <xf numFmtId="3" fontId="30" fillId="0" borderId="13" xfId="3" applyNumberFormat="1" applyFont="1" applyFill="1" applyBorder="1" applyAlignment="1" applyProtection="1">
      <alignment horizontal="right" vertical="top" wrapText="1"/>
      <protection locked="0"/>
    </xf>
    <xf numFmtId="9" fontId="30" fillId="0" borderId="13" xfId="2" applyNumberFormat="1" applyFont="1" applyFill="1" applyBorder="1" applyAlignment="1" applyProtection="1">
      <alignment horizontal="center" vertical="top" wrapText="1"/>
      <protection locked="0"/>
    </xf>
    <xf numFmtId="168" fontId="30" fillId="0" borderId="13" xfId="2" applyNumberFormat="1" applyFont="1" applyFill="1" applyBorder="1" applyAlignment="1" applyProtection="1">
      <alignment horizontal="right" vertical="top" wrapText="1"/>
      <protection locked="0"/>
    </xf>
    <xf numFmtId="9" fontId="30" fillId="0" borderId="13" xfId="2" applyFont="1" applyFill="1" applyBorder="1" applyAlignment="1" applyProtection="1">
      <alignment horizontal="center" vertical="top" wrapText="1"/>
      <protection locked="0"/>
    </xf>
    <xf numFmtId="9" fontId="30" fillId="2" borderId="13" xfId="2" applyFont="1" applyFill="1" applyBorder="1" applyAlignment="1" applyProtection="1">
      <alignment horizontal="center" vertical="top" wrapText="1"/>
      <protection locked="0"/>
    </xf>
    <xf numFmtId="0" fontId="30" fillId="0" borderId="13" xfId="3" applyFont="1" applyFill="1" applyBorder="1" applyAlignment="1" applyProtection="1">
      <alignment horizontal="center" vertical="center"/>
    </xf>
    <xf numFmtId="0" fontId="26" fillId="0" borderId="0" xfId="0" applyFont="1"/>
    <xf numFmtId="0" fontId="31" fillId="0" borderId="0" xfId="3" applyFont="1" applyFill="1" applyBorder="1" applyProtection="1"/>
    <xf numFmtId="0" fontId="26" fillId="0" borderId="0" xfId="0" applyFont="1" applyAlignment="1">
      <alignment horizontal="right"/>
    </xf>
    <xf numFmtId="0" fontId="26" fillId="0" borderId="13" xfId="0" applyFont="1" applyFill="1" applyBorder="1"/>
    <xf numFmtId="15" fontId="26" fillId="0" borderId="13" xfId="0" applyNumberFormat="1" applyFont="1" applyFill="1" applyBorder="1"/>
    <xf numFmtId="9" fontId="30" fillId="14" borderId="13" xfId="2" applyFont="1" applyFill="1" applyBorder="1" applyAlignment="1" applyProtection="1">
      <alignment horizontal="center" vertical="top" wrapText="1"/>
      <protection locked="0"/>
    </xf>
    <xf numFmtId="49" fontId="0" fillId="0" borderId="0" xfId="0" applyNumberFormat="1" applyAlignment="1" applyProtection="1">
      <protection locked="0"/>
    </xf>
    <xf numFmtId="168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0" fontId="4" fillId="0" borderId="0" xfId="2" applyNumberFormat="1" applyFont="1" applyFill="1" applyAlignment="1" applyProtection="1">
      <protection locked="0"/>
    </xf>
    <xf numFmtId="0" fontId="4" fillId="0" borderId="0" xfId="2" applyNumberFormat="1" applyFont="1" applyFill="1" applyAlignment="1" applyProtection="1">
      <alignment horizontal="center" vertical="top"/>
      <protection locked="0"/>
    </xf>
    <xf numFmtId="9" fontId="6" fillId="0" borderId="0" xfId="3" applyNumberFormat="1" applyFont="1" applyBorder="1" applyAlignment="1" applyProtection="1">
      <alignment vertical="top"/>
      <protection locked="0"/>
    </xf>
    <xf numFmtId="0" fontId="16" fillId="10" borderId="0" xfId="3" quotePrefix="1" applyNumberFormat="1" applyFont="1" applyFill="1" applyBorder="1" applyAlignment="1" applyProtection="1">
      <alignment horizontal="left" vertical="center"/>
      <protection hidden="1"/>
    </xf>
    <xf numFmtId="0" fontId="26" fillId="0" borderId="14" xfId="0" applyFont="1" applyBorder="1"/>
    <xf numFmtId="49" fontId="30" fillId="0" borderId="14" xfId="3" applyNumberFormat="1" applyFont="1" applyFill="1" applyBorder="1" applyAlignment="1" applyProtection="1">
      <alignment horizontal="left" vertical="top" wrapText="1"/>
      <protection locked="0"/>
    </xf>
    <xf numFmtId="0" fontId="30" fillId="0" borderId="14" xfId="3" applyFont="1" applyFill="1" applyBorder="1" applyAlignment="1" applyProtection="1">
      <alignment vertical="top" wrapText="1"/>
      <protection locked="0"/>
    </xf>
    <xf numFmtId="168" fontId="30" fillId="0" borderId="14" xfId="3" applyNumberFormat="1" applyFont="1" applyFill="1" applyBorder="1" applyAlignment="1" applyProtection="1">
      <alignment vertical="top" wrapText="1"/>
      <protection locked="0"/>
    </xf>
    <xf numFmtId="164" fontId="30" fillId="0" borderId="14" xfId="3" applyNumberFormat="1" applyFont="1" applyFill="1" applyBorder="1" applyAlignment="1" applyProtection="1">
      <alignment horizontal="right" vertical="top" wrapText="1"/>
      <protection locked="0"/>
    </xf>
    <xf numFmtId="3" fontId="30" fillId="0" borderId="14" xfId="3" applyNumberFormat="1" applyFont="1" applyFill="1" applyBorder="1" applyAlignment="1" applyProtection="1">
      <alignment horizontal="right" vertical="top" wrapText="1"/>
      <protection locked="0"/>
    </xf>
    <xf numFmtId="9" fontId="30" fillId="0" borderId="14" xfId="2" applyNumberFormat="1" applyFont="1" applyFill="1" applyBorder="1" applyAlignment="1" applyProtection="1">
      <alignment horizontal="center" vertical="top" wrapText="1"/>
      <protection locked="0"/>
    </xf>
    <xf numFmtId="168" fontId="30" fillId="0" borderId="14" xfId="2" applyNumberFormat="1" applyFont="1" applyFill="1" applyBorder="1" applyAlignment="1" applyProtection="1">
      <alignment horizontal="right" vertical="top" wrapText="1"/>
      <protection locked="0"/>
    </xf>
    <xf numFmtId="9" fontId="30" fillId="0" borderId="14" xfId="2" applyFont="1" applyFill="1" applyBorder="1" applyAlignment="1" applyProtection="1">
      <alignment horizontal="center" vertical="top" wrapText="1"/>
      <protection locked="0"/>
    </xf>
    <xf numFmtId="9" fontId="30" fillId="2" borderId="14" xfId="2" applyFont="1" applyFill="1" applyBorder="1" applyAlignment="1" applyProtection="1">
      <alignment horizontal="center" vertical="top" wrapText="1"/>
      <protection locked="0"/>
    </xf>
    <xf numFmtId="9" fontId="30" fillId="14" borderId="14" xfId="2" applyFont="1" applyFill="1" applyBorder="1" applyAlignment="1" applyProtection="1">
      <alignment horizontal="center" vertical="top" wrapText="1"/>
      <protection locked="0"/>
    </xf>
    <xf numFmtId="0" fontId="30" fillId="0" borderId="14" xfId="3" applyFont="1" applyFill="1" applyBorder="1" applyAlignment="1" applyProtection="1">
      <alignment horizontal="center" vertical="center"/>
    </xf>
    <xf numFmtId="0" fontId="26" fillId="0" borderId="14" xfId="0" applyFont="1" applyFill="1" applyBorder="1"/>
    <xf numFmtId="15" fontId="26" fillId="0" borderId="14" xfId="0" applyNumberFormat="1" applyFont="1" applyFill="1" applyBorder="1"/>
    <xf numFmtId="0" fontId="26" fillId="0" borderId="0" xfId="0" applyFont="1" applyBorder="1"/>
    <xf numFmtId="49" fontId="30" fillId="0" borderId="0" xfId="3" applyNumberFormat="1" applyFont="1" applyFill="1" applyBorder="1" applyAlignment="1" applyProtection="1">
      <alignment horizontal="left" vertical="top" wrapText="1"/>
      <protection locked="0"/>
    </xf>
    <xf numFmtId="0" fontId="30" fillId="0" borderId="0" xfId="3" applyFont="1" applyFill="1" applyBorder="1" applyAlignment="1" applyProtection="1">
      <alignment vertical="top" wrapText="1"/>
      <protection locked="0"/>
    </xf>
    <xf numFmtId="168" fontId="30" fillId="0" borderId="0" xfId="3" applyNumberFormat="1" applyFont="1" applyFill="1" applyBorder="1" applyAlignment="1" applyProtection="1">
      <alignment vertical="top" wrapText="1"/>
      <protection locked="0"/>
    </xf>
    <xf numFmtId="164" fontId="30" fillId="0" borderId="0" xfId="3" applyNumberFormat="1" applyFont="1" applyFill="1" applyBorder="1" applyAlignment="1" applyProtection="1">
      <alignment horizontal="right" vertical="top" wrapText="1"/>
      <protection locked="0"/>
    </xf>
    <xf numFmtId="3" fontId="30" fillId="0" borderId="0" xfId="3" applyNumberFormat="1" applyFont="1" applyFill="1" applyBorder="1" applyAlignment="1" applyProtection="1">
      <alignment horizontal="right" vertical="top" wrapText="1"/>
      <protection locked="0"/>
    </xf>
    <xf numFmtId="9" fontId="30" fillId="0" borderId="0" xfId="2" applyNumberFormat="1" applyFont="1" applyFill="1" applyBorder="1" applyAlignment="1" applyProtection="1">
      <alignment horizontal="center" vertical="top" wrapText="1"/>
      <protection locked="0"/>
    </xf>
    <xf numFmtId="168" fontId="30" fillId="0" borderId="0" xfId="2" applyNumberFormat="1" applyFont="1" applyFill="1" applyBorder="1" applyAlignment="1" applyProtection="1">
      <alignment horizontal="right" vertical="top" wrapText="1"/>
      <protection locked="0"/>
    </xf>
    <xf numFmtId="9" fontId="30" fillId="0" borderId="0" xfId="2" applyFont="1" applyFill="1" applyBorder="1" applyAlignment="1" applyProtection="1">
      <alignment horizontal="center" vertical="top" wrapText="1"/>
      <protection locked="0"/>
    </xf>
    <xf numFmtId="9" fontId="30" fillId="2" borderId="0" xfId="2" applyFont="1" applyFill="1" applyBorder="1" applyAlignment="1" applyProtection="1">
      <alignment horizontal="center" vertical="top" wrapText="1"/>
      <protection locked="0"/>
    </xf>
    <xf numFmtId="9" fontId="30" fillId="14" borderId="0" xfId="2" applyFont="1" applyFill="1" applyBorder="1" applyAlignment="1" applyProtection="1">
      <alignment horizontal="center" vertical="top" wrapText="1"/>
      <protection locked="0"/>
    </xf>
    <xf numFmtId="0" fontId="30" fillId="0" borderId="0" xfId="3" applyFont="1" applyFill="1" applyBorder="1" applyAlignment="1" applyProtection="1">
      <alignment horizontal="center" vertical="center"/>
    </xf>
    <xf numFmtId="0" fontId="26" fillId="0" borderId="0" xfId="0" applyFont="1" applyFill="1" applyBorder="1"/>
    <xf numFmtId="15" fontId="26" fillId="0" borderId="0" xfId="0" applyNumberFormat="1" applyFont="1" applyFill="1" applyBorder="1"/>
    <xf numFmtId="0" fontId="32" fillId="0" borderId="0" xfId="3" applyFont="1" applyFill="1" applyBorder="1" applyAlignment="1" applyProtection="1">
      <alignment horizontal="left" vertical="top" wrapText="1"/>
      <protection locked="0"/>
    </xf>
    <xf numFmtId="0" fontId="26" fillId="0" borderId="12" xfId="0" applyFont="1" applyBorder="1"/>
    <xf numFmtId="49" fontId="30" fillId="0" borderId="12" xfId="3" applyNumberFormat="1" applyFont="1" applyFill="1" applyBorder="1" applyAlignment="1" applyProtection="1">
      <alignment horizontal="left" vertical="top" wrapText="1"/>
      <protection locked="0"/>
    </xf>
    <xf numFmtId="0" fontId="30" fillId="0" borderId="12" xfId="3" applyFont="1" applyFill="1" applyBorder="1" applyAlignment="1" applyProtection="1">
      <alignment vertical="top" wrapText="1"/>
      <protection locked="0"/>
    </xf>
    <xf numFmtId="168" fontId="30" fillId="0" borderId="12" xfId="3" applyNumberFormat="1" applyFont="1" applyFill="1" applyBorder="1" applyAlignment="1" applyProtection="1">
      <alignment vertical="top" wrapText="1"/>
      <protection locked="0"/>
    </xf>
    <xf numFmtId="164" fontId="30" fillId="0" borderId="12" xfId="3" applyNumberFormat="1" applyFont="1" applyFill="1" applyBorder="1" applyAlignment="1" applyProtection="1">
      <alignment horizontal="right" vertical="top" wrapText="1"/>
      <protection locked="0"/>
    </xf>
    <xf numFmtId="3" fontId="30" fillId="0" borderId="12" xfId="3" applyNumberFormat="1" applyFont="1" applyFill="1" applyBorder="1" applyAlignment="1" applyProtection="1">
      <alignment horizontal="right" vertical="top" wrapText="1"/>
      <protection locked="0"/>
    </xf>
    <xf numFmtId="9" fontId="30" fillId="0" borderId="12" xfId="2" applyNumberFormat="1" applyFont="1" applyFill="1" applyBorder="1" applyAlignment="1" applyProtection="1">
      <alignment horizontal="center" vertical="top" wrapText="1"/>
      <protection locked="0"/>
    </xf>
    <xf numFmtId="168" fontId="30" fillId="0" borderId="12" xfId="2" applyNumberFormat="1" applyFont="1" applyFill="1" applyBorder="1" applyAlignment="1" applyProtection="1">
      <alignment horizontal="right" vertical="top" wrapText="1"/>
      <protection locked="0"/>
    </xf>
    <xf numFmtId="9" fontId="30" fillId="0" borderId="12" xfId="2" applyFont="1" applyFill="1" applyBorder="1" applyAlignment="1" applyProtection="1">
      <alignment horizontal="center" vertical="top" wrapText="1"/>
      <protection locked="0"/>
    </xf>
    <xf numFmtId="9" fontId="30" fillId="2" borderId="12" xfId="2" applyFont="1" applyFill="1" applyBorder="1" applyAlignment="1" applyProtection="1">
      <alignment horizontal="center" vertical="top" wrapText="1"/>
      <protection locked="0"/>
    </xf>
    <xf numFmtId="9" fontId="30" fillId="14" borderId="12" xfId="2" applyFont="1" applyFill="1" applyBorder="1" applyAlignment="1" applyProtection="1">
      <alignment horizontal="center" vertical="top" wrapText="1"/>
      <protection locked="0"/>
    </xf>
    <xf numFmtId="0" fontId="30" fillId="0" borderId="12" xfId="3" applyFont="1" applyFill="1" applyBorder="1" applyAlignment="1" applyProtection="1">
      <alignment horizontal="center" vertical="center"/>
    </xf>
    <xf numFmtId="0" fontId="26" fillId="0" borderId="12" xfId="0" applyFont="1" applyFill="1" applyBorder="1"/>
    <xf numFmtId="15" fontId="26" fillId="0" borderId="12" xfId="0" applyNumberFormat="1" applyFont="1" applyFill="1" applyBorder="1"/>
    <xf numFmtId="0" fontId="30" fillId="4" borderId="14" xfId="3" applyFont="1" applyFill="1" applyBorder="1" applyAlignment="1" applyProtection="1">
      <alignment horizontal="center" vertical="center"/>
    </xf>
    <xf numFmtId="0" fontId="33" fillId="0" borderId="0" xfId="2" applyNumberFormat="1" applyFont="1" applyFill="1" applyAlignment="1" applyProtection="1">
      <protection locked="0"/>
    </xf>
    <xf numFmtId="0" fontId="33" fillId="0" borderId="0" xfId="2" applyNumberFormat="1" applyFont="1" applyFill="1" applyAlignment="1" applyProtection="1">
      <alignment horizontal="center" vertical="top"/>
      <protection locked="0"/>
    </xf>
    <xf numFmtId="0" fontId="31" fillId="0" borderId="13" xfId="3" applyFont="1" applyFill="1" applyBorder="1" applyAlignment="1" applyProtection="1"/>
    <xf numFmtId="0" fontId="34" fillId="0" borderId="13" xfId="3" applyNumberFormat="1" applyFont="1" applyFill="1" applyBorder="1" applyAlignment="1" applyProtection="1">
      <alignment horizontal="center" vertical="center" shrinkToFit="1"/>
      <protection hidden="1"/>
    </xf>
    <xf numFmtId="0" fontId="31" fillId="0" borderId="0" xfId="3" applyFont="1" applyFill="1" applyBorder="1" applyAlignment="1" applyProtection="1"/>
    <xf numFmtId="0" fontId="31" fillId="0" borderId="0" xfId="3" applyFont="1" applyFill="1" applyBorder="1" applyAlignment="1" applyProtection="1">
      <alignment horizontal="right"/>
    </xf>
    <xf numFmtId="49" fontId="34" fillId="0" borderId="13" xfId="3" applyNumberFormat="1" applyFont="1" applyFill="1" applyBorder="1" applyAlignment="1" applyProtection="1">
      <alignment horizontal="left" vertical="top" wrapText="1"/>
    </xf>
    <xf numFmtId="0" fontId="34" fillId="0" borderId="13" xfId="3" applyFont="1" applyFill="1" applyBorder="1" applyAlignment="1" applyProtection="1">
      <alignment horizontal="left" vertical="top" wrapText="1"/>
      <protection locked="0"/>
    </xf>
    <xf numFmtId="0" fontId="34" fillId="0" borderId="13" xfId="3" applyFont="1" applyFill="1" applyBorder="1" applyAlignment="1" applyProtection="1">
      <alignment horizontal="center" vertical="top" wrapText="1"/>
      <protection locked="0"/>
    </xf>
    <xf numFmtId="0" fontId="34" fillId="0" borderId="13" xfId="3" applyNumberFormat="1" applyFont="1" applyFill="1" applyBorder="1" applyAlignment="1" applyProtection="1">
      <alignment horizontal="center" vertical="top" wrapText="1"/>
      <protection locked="0"/>
    </xf>
    <xf numFmtId="0" fontId="34" fillId="0" borderId="13" xfId="3" applyFont="1" applyFill="1" applyBorder="1" applyAlignment="1" applyProtection="1">
      <alignment horizontal="right" vertical="top" wrapText="1"/>
      <protection locked="0"/>
    </xf>
    <xf numFmtId="166" fontId="34" fillId="0" borderId="13" xfId="3" applyNumberFormat="1" applyFont="1" applyFill="1" applyBorder="1" applyAlignment="1" applyProtection="1">
      <alignment horizontal="right" vertical="top" wrapText="1"/>
      <protection locked="0"/>
    </xf>
    <xf numFmtId="0" fontId="34" fillId="0" borderId="13" xfId="3" applyNumberFormat="1" applyFont="1" applyFill="1" applyBorder="1" applyAlignment="1" applyProtection="1">
      <alignment horizontal="right" vertical="top" wrapText="1"/>
      <protection locked="0"/>
    </xf>
    <xf numFmtId="9" fontId="34" fillId="0" borderId="13" xfId="3" applyNumberFormat="1" applyFont="1" applyFill="1" applyBorder="1" applyAlignment="1" applyProtection="1">
      <alignment horizontal="center" vertical="top" wrapText="1"/>
      <protection locked="0"/>
    </xf>
    <xf numFmtId="9" fontId="34" fillId="2" borderId="13" xfId="3" applyNumberFormat="1" applyFont="1" applyFill="1" applyBorder="1" applyAlignment="1" applyProtection="1">
      <alignment horizontal="center" vertical="top" wrapText="1"/>
      <protection locked="0"/>
    </xf>
    <xf numFmtId="9" fontId="34" fillId="14" borderId="13" xfId="3" applyNumberFormat="1" applyFont="1" applyFill="1" applyBorder="1" applyAlignment="1" applyProtection="1">
      <alignment horizontal="center" vertical="top" wrapText="1"/>
      <protection locked="0"/>
    </xf>
    <xf numFmtId="0" fontId="30" fillId="4" borderId="12" xfId="3" applyFont="1" applyFill="1" applyBorder="1" applyAlignment="1" applyProtection="1">
      <alignment horizontal="center" vertical="center"/>
    </xf>
    <xf numFmtId="0" fontId="30" fillId="4" borderId="0" xfId="3" applyFont="1" applyFill="1" applyBorder="1" applyAlignment="1" applyProtection="1">
      <alignment horizontal="center" vertic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7" fillId="0" borderId="0" xfId="0" applyFont="1" applyAlignment="1">
      <alignment horizontal="center"/>
    </xf>
    <xf numFmtId="0" fontId="7" fillId="0" borderId="4" xfId="0" applyFont="1" applyBorder="1" applyAlignment="1">
      <alignment horizontal="center"/>
    </xf>
    <xf numFmtId="0" fontId="22" fillId="0" borderId="0" xfId="0" applyFont="1" applyAlignment="1">
      <alignment horizontal="center"/>
    </xf>
    <xf numFmtId="166" fontId="6" fillId="0" borderId="0" xfId="3" applyNumberFormat="1" applyFont="1" applyFill="1" applyBorder="1" applyAlignment="1" applyProtection="1">
      <alignment horizontal="right" vertical="top"/>
    </xf>
    <xf numFmtId="0" fontId="6" fillId="0" borderId="0" xfId="3" applyFont="1" applyFill="1" applyBorder="1" applyAlignment="1" applyProtection="1">
      <alignment horizontal="right" vertical="top"/>
    </xf>
    <xf numFmtId="0" fontId="4" fillId="0" borderId="0" xfId="2" applyNumberFormat="1" applyFont="1" applyFill="1" applyBorder="1" applyAlignment="1" applyProtection="1">
      <alignment horizontal="center" vertical="top"/>
    </xf>
  </cellXfs>
  <cellStyles count="198">
    <cellStyle name="Besuchter Hyperlink" xfId="4" builtinId="9" hidden="1"/>
    <cellStyle name="Besuchter Hyperlink" xfId="5" builtinId="9" hidden="1"/>
    <cellStyle name="Besuchter Hyperlink" xfId="6" builtinId="9" hidden="1"/>
    <cellStyle name="Besuchter Hyperlink" xfId="7" builtinId="9" hidden="1"/>
    <cellStyle name="Besuchter Hyperlink" xfId="8" builtinId="9" hidden="1"/>
    <cellStyle name="Besuchter Hyperlink" xfId="9" builtinId="9" hidden="1"/>
    <cellStyle name="Besuchter Hyperlink" xfId="10" builtinId="9" hidden="1"/>
    <cellStyle name="Besuchter Hyperlink" xfId="11" builtinId="9" hidden="1"/>
    <cellStyle name="Besuchter Hyperlink" xfId="12" builtinId="9" hidden="1"/>
    <cellStyle name="Besuchter Hyperlink" xfId="13" builtinId="9" hidden="1"/>
    <cellStyle name="Besuchter Hyperlink" xfId="14" builtinId="9" hidden="1"/>
    <cellStyle name="Besuchter Hyperlink" xfId="15" builtinId="9" hidden="1"/>
    <cellStyle name="Besuchter Hyperlink" xfId="16" builtinId="9" hidden="1"/>
    <cellStyle name="Besuchter Hyperlink" xfId="17" builtinId="9" hidden="1"/>
    <cellStyle name="Besuchter Hyperlink" xfId="18" builtinId="9" hidden="1"/>
    <cellStyle name="Besuchter Hyperlink" xfId="19" builtinId="9" hidden="1"/>
    <cellStyle name="Besuchter Hyperlink" xfId="20" builtinId="9" hidden="1"/>
    <cellStyle name="Besuchter Hyperlink" xfId="21" builtinId="9" hidden="1"/>
    <cellStyle name="Besuchter Hyperlink" xfId="22" builtinId="9" hidden="1"/>
    <cellStyle name="Besuchter Hyperlink" xfId="23" builtinId="9" hidden="1"/>
    <cellStyle name="Besuchter Hyperlink" xfId="24" builtinId="9" hidden="1"/>
    <cellStyle name="Besuchter Hyperlink" xfId="25" builtinId="9" hidden="1"/>
    <cellStyle name="Besuchter Hyperlink" xfId="26" builtinId="9" hidden="1"/>
    <cellStyle name="Besuchter Hyperlink" xfId="27" builtinId="9" hidden="1"/>
    <cellStyle name="Besuchter Hyperlink" xfId="28" builtinId="9" hidden="1"/>
    <cellStyle name="Besuchter Hyperlink" xfId="29" builtinId="9" hidden="1"/>
    <cellStyle name="Besuchter Hyperlink" xfId="30" builtinId="9" hidden="1"/>
    <cellStyle name="Besuchter Hyperlink" xfId="31" builtinId="9" hidden="1"/>
    <cellStyle name="Besuchter Hyperlink" xfId="32" builtinId="9" hidden="1"/>
    <cellStyle name="Besuchter Hyperlink" xfId="33" builtinId="9" hidden="1"/>
    <cellStyle name="Besuchter Hyperlink" xfId="34" builtinId="9" hidden="1"/>
    <cellStyle name="Besuchter Hyperlink" xfId="35" builtinId="9" hidden="1"/>
    <cellStyle name="Besuchter Hyperlink" xfId="36" builtinId="9" hidden="1"/>
    <cellStyle name="Besuchter Hyperlink" xfId="37" builtinId="9" hidden="1"/>
    <cellStyle name="Besuchter Hyperlink" xfId="38" builtinId="9" hidden="1"/>
    <cellStyle name="Besuchter Hyperlink" xfId="39" builtinId="9" hidden="1"/>
    <cellStyle name="Besuchter Hyperlink" xfId="40" builtinId="9" hidden="1"/>
    <cellStyle name="Besuchter Hyperlink" xfId="41" builtinId="9" hidden="1"/>
    <cellStyle name="Besuchter Hyperlink" xfId="42" builtinId="9" hidden="1"/>
    <cellStyle name="Besuchter Hyperlink" xfId="43" builtinId="9" hidden="1"/>
    <cellStyle name="Besuchter Hyperlink" xfId="44" builtinId="9" hidden="1"/>
    <cellStyle name="Besuchter Hyperlink" xfId="45" builtinId="9" hidden="1"/>
    <cellStyle name="Besuchter Hyperlink" xfId="46" builtinId="9" hidden="1"/>
    <cellStyle name="Besuchter Hyperlink" xfId="47" builtinId="9" hidden="1"/>
    <cellStyle name="Besuchter Hyperlink" xfId="48" builtinId="9" hidden="1"/>
    <cellStyle name="Besuchter Hyperlink" xfId="49" builtinId="9" hidden="1"/>
    <cellStyle name="Besuchter Hyperlink" xfId="50" builtinId="9" hidden="1"/>
    <cellStyle name="Besuchter Hyperlink" xfId="51" builtinId="9" hidden="1"/>
    <cellStyle name="Besuchter Hyperlink" xfId="52" builtinId="9" hidden="1"/>
    <cellStyle name="Besuchter Hyperlink" xfId="53" builtinId="9" hidden="1"/>
    <cellStyle name="Besuchter Hyperlink" xfId="54" builtinId="9" hidden="1"/>
    <cellStyle name="Besuchter Hyperlink" xfId="55" builtinId="9" hidden="1"/>
    <cellStyle name="Besuchter Hyperlink" xfId="56" builtinId="9" hidden="1"/>
    <cellStyle name="Besuchter Hyperlink" xfId="57" builtinId="9" hidden="1"/>
    <cellStyle name="Besuchter Hyperlink" xfId="58" builtinId="9" hidden="1"/>
    <cellStyle name="Besuchter Hyperlink" xfId="59" builtinId="9" hidden="1"/>
    <cellStyle name="Besuchter Hyperlink" xfId="60" builtinId="9" hidden="1"/>
    <cellStyle name="Besuchter Hyperlink" xfId="61" builtinId="9" hidden="1"/>
    <cellStyle name="Besuchter Hyperlink" xfId="62" builtinId="9" hidden="1"/>
    <cellStyle name="Besuchter Hyperlink" xfId="63" builtinId="9" hidden="1"/>
    <cellStyle name="Besuchter Hyperlink" xfId="64" builtinId="9" hidden="1"/>
    <cellStyle name="Besuchter Hyperlink" xfId="65" builtinId="9" hidden="1"/>
    <cellStyle name="Besuchter Hyperlink" xfId="66" builtinId="9" hidden="1"/>
    <cellStyle name="Besuchter Hyperlink" xfId="67" builtinId="9" hidden="1"/>
    <cellStyle name="Besuchter Hyperlink" xfId="68" builtinId="9" hidden="1"/>
    <cellStyle name="Besuchter Hyperlink" xfId="69" builtinId="9" hidden="1"/>
    <cellStyle name="Besuchter Hyperlink" xfId="70" builtinId="9" hidden="1"/>
    <cellStyle name="Besuchter Hyperlink" xfId="71" builtinId="9" hidden="1"/>
    <cellStyle name="Besuchter Hyperlink" xfId="72" builtinId="9" hidden="1"/>
    <cellStyle name="Besuchter Hyperlink" xfId="73" builtinId="9" hidden="1"/>
    <cellStyle name="Besuchter Hyperlink" xfId="74" builtinId="9" hidden="1"/>
    <cellStyle name="Besuchter Hyperlink" xfId="75" builtinId="9" hidden="1"/>
    <cellStyle name="Besuchter Hyperlink" xfId="76" builtinId="9" hidden="1"/>
    <cellStyle name="Besuchter Hyperlink" xfId="77" builtinId="9" hidden="1"/>
    <cellStyle name="Besuchter Hyperlink" xfId="78" builtinId="9" hidden="1"/>
    <cellStyle name="Besuchter Hyperlink" xfId="79" builtinId="9" hidden="1"/>
    <cellStyle name="Besuchter Hyperlink" xfId="80" builtinId="9" hidden="1"/>
    <cellStyle name="Besuchter Hyperlink" xfId="81" builtinId="9" hidden="1"/>
    <cellStyle name="Besuchter Hyperlink" xfId="82" builtinId="9" hidden="1"/>
    <cellStyle name="Besuchter Hyperlink" xfId="83" builtinId="9" hidden="1"/>
    <cellStyle name="Besuchter Hyperlink" xfId="84" builtinId="9" hidden="1"/>
    <cellStyle name="Besuchter Hyperlink" xfId="85" builtinId="9" hidden="1"/>
    <cellStyle name="Besuchter Hyperlink" xfId="86" builtinId="9" hidden="1"/>
    <cellStyle name="Besuchter Hyperlink" xfId="87" builtinId="9" hidden="1"/>
    <cellStyle name="Besuchter Hyperlink" xfId="88" builtinId="9" hidden="1"/>
    <cellStyle name="Besuchter Hyperlink" xfId="89" builtinId="9" hidden="1"/>
    <cellStyle name="Besuchter Hyperlink" xfId="90" builtinId="9" hidden="1"/>
    <cellStyle name="Besuchter Hyperlink" xfId="91" builtinId="9" hidden="1"/>
    <cellStyle name="Besuchter Hyperlink" xfId="92" builtinId="9" hidden="1"/>
    <cellStyle name="Besuchter Hyperlink" xfId="93" builtinId="9" hidden="1"/>
    <cellStyle name="Besuchter Hyperlink" xfId="94" builtinId="9" hidden="1"/>
    <cellStyle name="Besuchter Hyperlink" xfId="95" builtinId="9" hidden="1"/>
    <cellStyle name="Besuchter Hyperlink" xfId="96" builtinId="9" hidden="1"/>
    <cellStyle name="Besuchter Hyperlink" xfId="97" builtinId="9" hidden="1"/>
    <cellStyle name="Besuchter Hyperlink" xfId="98" builtinId="9" hidden="1"/>
    <cellStyle name="Besuchter Hyperlink" xfId="99" builtinId="9" hidden="1"/>
    <cellStyle name="Besuchter Hyperlink" xfId="100" builtinId="9" hidden="1"/>
    <cellStyle name="Besuchter Hyperlink" xfId="101" builtinId="9" hidden="1"/>
    <cellStyle name="Besuchter Hyperlink" xfId="102" builtinId="9" hidden="1"/>
    <cellStyle name="Besuchter Hyperlink" xfId="103" builtinId="9" hidden="1"/>
    <cellStyle name="Besuchter Hyperlink" xfId="104" builtinId="9" hidden="1"/>
    <cellStyle name="Besuchter Hyperlink" xfId="105" builtinId="9" hidden="1"/>
    <cellStyle name="Besuchter Hyperlink" xfId="106" builtinId="9" hidden="1"/>
    <cellStyle name="Besuchter Hyperlink" xfId="107" builtinId="9" hidden="1"/>
    <cellStyle name="Besuchter Hyperlink" xfId="108" builtinId="9" hidden="1"/>
    <cellStyle name="Besuchter Hyperlink" xfId="109" builtinId="9" hidden="1"/>
    <cellStyle name="Besuchter Hyperlink" xfId="110" builtinId="9" hidden="1"/>
    <cellStyle name="Besuchter Hyperlink" xfId="111" builtinId="9" hidden="1"/>
    <cellStyle name="Besuchter Hyperlink" xfId="112" builtinId="9" hidden="1"/>
    <cellStyle name="Besuchter Hyperlink" xfId="113" builtinId="9" hidden="1"/>
    <cellStyle name="Besuchter Hyperlink" xfId="114" builtinId="9" hidden="1"/>
    <cellStyle name="Besuchter Hyperlink" xfId="115" builtinId="9" hidden="1"/>
    <cellStyle name="Besuchter Hyperlink" xfId="116" builtinId="9" hidden="1"/>
    <cellStyle name="Besuchter Hyperlink" xfId="117" builtinId="9" hidden="1"/>
    <cellStyle name="Besuchter Hyperlink" xfId="118" builtinId="9" hidden="1"/>
    <cellStyle name="Besuchter Hyperlink" xfId="119" builtinId="9" hidden="1"/>
    <cellStyle name="Besuchter Hyperlink" xfId="120" builtinId="9" hidden="1"/>
    <cellStyle name="Besuchter Hyperlink" xfId="121" builtinId="9" hidden="1"/>
    <cellStyle name="Besuchter Hyperlink" xfId="122" builtinId="9" hidden="1"/>
    <cellStyle name="Besuchter Hyperlink" xfId="123" builtinId="9" hidden="1"/>
    <cellStyle name="Besuchter Hyperlink" xfId="124" builtinId="9" hidden="1"/>
    <cellStyle name="Besuchter Hyperlink" xfId="125" builtinId="9" hidden="1"/>
    <cellStyle name="Besuchter Hyperlink" xfId="126" builtinId="9" hidden="1"/>
    <cellStyle name="Besuchter Hyperlink" xfId="127" builtinId="9" hidden="1"/>
    <cellStyle name="Besuchter Hyperlink" xfId="128" builtinId="9" hidden="1"/>
    <cellStyle name="Besuchter Hyperlink" xfId="129" builtinId="9" hidden="1"/>
    <cellStyle name="Besuchter Hyperlink" xfId="130" builtinId="9" hidden="1"/>
    <cellStyle name="Besuchter Hyperlink" xfId="131" builtinId="9" hidden="1"/>
    <cellStyle name="Besuchter Hyperlink" xfId="132" builtinId="9" hidden="1"/>
    <cellStyle name="Besuchter Hyperlink" xfId="133" builtinId="9" hidden="1"/>
    <cellStyle name="Besuchter Hyperlink" xfId="134" builtinId="9" hidden="1"/>
    <cellStyle name="Besuchter Hyperlink" xfId="135" builtinId="9" hidden="1"/>
    <cellStyle name="Besuchter Hyperlink" xfId="136" builtinId="9" hidden="1"/>
    <cellStyle name="Besuchter Hyperlink" xfId="137" builtinId="9" hidden="1"/>
    <cellStyle name="Besuchter Hyperlink" xfId="138" builtinId="9" hidden="1"/>
    <cellStyle name="Besuchter Hyperlink" xfId="139" builtinId="9" hidden="1"/>
    <cellStyle name="Besuchter Hyperlink" xfId="140" builtinId="9" hidden="1"/>
    <cellStyle name="Besuchter Hyperlink" xfId="141" builtinId="9" hidden="1"/>
    <cellStyle name="Besuchter Hyperlink" xfId="142" builtinId="9" hidden="1"/>
    <cellStyle name="Besuchter Hyperlink" xfId="143" builtinId="9" hidden="1"/>
    <cellStyle name="Besuchter Hyperlink" xfId="144" builtinId="9" hidden="1"/>
    <cellStyle name="Besuchter Hyperlink" xfId="145" builtinId="9" hidden="1"/>
    <cellStyle name="Besuchter Hyperlink" xfId="146" builtinId="9" hidden="1"/>
    <cellStyle name="Besuchter Hyperlink" xfId="147" builtinId="9" hidden="1"/>
    <cellStyle name="Besuchter Hyperlink" xfId="148" builtinId="9" hidden="1"/>
    <cellStyle name="Besuchter Hyperlink" xfId="149" builtinId="9" hidden="1"/>
    <cellStyle name="Besuchter Hyperlink" xfId="150" builtinId="9" hidden="1"/>
    <cellStyle name="Besuchter Hyperlink" xfId="151" builtinId="9" hidden="1"/>
    <cellStyle name="Besuchter Hyperlink" xfId="152" builtinId="9" hidden="1"/>
    <cellStyle name="Besuchter Hyperlink" xfId="153" builtinId="9" hidden="1"/>
    <cellStyle name="Besuchter Hyperlink" xfId="154" builtinId="9" hidden="1"/>
    <cellStyle name="Besuchter Hyperlink" xfId="155" builtinId="9" hidden="1"/>
    <cellStyle name="Besuchter Hyperlink" xfId="156" builtinId="9" hidden="1"/>
    <cellStyle name="Besuchter Hyperlink" xfId="157" builtinId="9" hidden="1"/>
    <cellStyle name="Besuchter Hyperlink" xfId="158" builtinId="9" hidden="1"/>
    <cellStyle name="Besuchter Hyperlink" xfId="159" builtinId="9" hidden="1"/>
    <cellStyle name="Besuchter Hyperlink" xfId="160" builtinId="9" hidden="1"/>
    <cellStyle name="Besuchter Hyperlink" xfId="161" builtinId="9" hidden="1"/>
    <cellStyle name="Besuchter Hyperlink" xfId="162" builtinId="9" hidden="1"/>
    <cellStyle name="Besuchter Hyperlink" xfId="163" builtinId="9" hidden="1"/>
    <cellStyle name="Besuchter Hyperlink" xfId="164" builtinId="9" hidden="1"/>
    <cellStyle name="Besuchter Hyperlink" xfId="165" builtinId="9" hidden="1"/>
    <cellStyle name="Besuchter Hyperlink" xfId="166" builtinId="9" hidden="1"/>
    <cellStyle name="Besuchter Hyperlink" xfId="167" builtinId="9" hidden="1"/>
    <cellStyle name="Besuchter Hyperlink" xfId="168" builtinId="9" hidden="1"/>
    <cellStyle name="Besuchter Hyperlink" xfId="169" builtinId="9" hidden="1"/>
    <cellStyle name="Besuchter Hyperlink" xfId="170" builtinId="9" hidden="1"/>
    <cellStyle name="Besuchter Hyperlink" xfId="171" builtinId="9" hidden="1"/>
    <cellStyle name="Besuchter Hyperlink" xfId="172" builtinId="9" hidden="1"/>
    <cellStyle name="Besuchter Hyperlink" xfId="173" builtinId="9" hidden="1"/>
    <cellStyle name="Besuchter Hyperlink" xfId="174" builtinId="9" hidden="1"/>
    <cellStyle name="Besuchter Hyperlink" xfId="175" builtinId="9" hidden="1"/>
    <cellStyle name="Besuchter Hyperlink" xfId="176" builtinId="9" hidden="1"/>
    <cellStyle name="Besuchter Hyperlink" xfId="177" builtinId="9" hidden="1"/>
    <cellStyle name="Besuchter Hyperlink" xfId="178" builtinId="9" hidden="1"/>
    <cellStyle name="Besuchter Hyperlink" xfId="179" builtinId="9" hidden="1"/>
    <cellStyle name="Besuchter Hyperlink" xfId="180" builtinId="9" hidden="1"/>
    <cellStyle name="Besuchter Hyperlink" xfId="181" builtinId="9" hidden="1"/>
    <cellStyle name="Besuchter Hyperlink" xfId="182" builtinId="9" hidden="1"/>
    <cellStyle name="Besuchter Hyperlink" xfId="183" builtinId="9" hidden="1"/>
    <cellStyle name="Besuchter Hyperlink" xfId="184" builtinId="9" hidden="1"/>
    <cellStyle name="Besuchter Hyperlink" xfId="185" builtinId="9" hidden="1"/>
    <cellStyle name="Besuchter Hyperlink" xfId="186" builtinId="9" hidden="1"/>
    <cellStyle name="Besuchter Hyperlink" xfId="187" builtinId="9" hidden="1"/>
    <cellStyle name="Besuchter Hyperlink" xfId="188" builtinId="9" hidden="1"/>
    <cellStyle name="Besuchter Hyperlink" xfId="189" builtinId="9" hidden="1"/>
    <cellStyle name="Besuchter Hyperlink" xfId="190" builtinId="9" hidden="1"/>
    <cellStyle name="Besuchter Hyperlink" xfId="191" builtinId="9" hidden="1"/>
    <cellStyle name="Besuchter Hyperlink" xfId="192" builtinId="9" hidden="1"/>
    <cellStyle name="Besuchter Hyperlink" xfId="193" builtinId="9" hidden="1"/>
    <cellStyle name="Besuchter Hyperlink" xfId="194" builtinId="9" hidden="1"/>
    <cellStyle name="Besuchter Hyperlink" xfId="195" builtinId="9" hidden="1"/>
    <cellStyle name="Besuchter Hyperlink" xfId="196" builtinId="9" hidden="1"/>
    <cellStyle name="Besuchter Hyperlink" xfId="197" builtinId="9" hidden="1"/>
    <cellStyle name="Normal 3" xfId="3" xr:uid="{00000000-0005-0000-0000-0000C5000000}"/>
    <cellStyle name="Percent 2" xfId="2" xr:uid="{00000000-0005-0000-0000-0000C6000000}"/>
    <cellStyle name="Standard" xfId="0" builtinId="0"/>
    <cellStyle name="Überschrift 1" xfId="1" builtinId="16"/>
  </cellStyles>
  <dxfs count="74"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8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border diagonalUp="0" diagonalDown="0">
        <left style="thin">
          <color rgb="FFF2F2F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fill>
        <patternFill patternType="none">
          <fgColor rgb="FF000000"/>
          <bgColor rgb="FFFFFFFF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125F-4551-A045-BB075AF111A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3-125F-4551-A045-BB075AF111AD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5-125F-4551-A045-BB075AF111AD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7-125F-4551-A045-BB075AF111AD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'Project Dashboard'!$D$9:$D$12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'Project Dashboard'!$E$9:$E$12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5F-4551-A045-BB075AF11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52BB-4362-9F22-3255549BBE3A}"/>
              </c:ext>
            </c:extLst>
          </c:dPt>
          <c:val>
            <c:numRef>
              <c:f>'Project Dashboard'!$X$3:$Y$3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BB-4362-9F22-3255549BB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[Gantt_Grobplanung_V1.xlsm]Project Dashboard!PvtParentECS</c:name>
    <c:fmtId val="6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Dashboard'!$BK$4</c:f>
              <c:strCache>
                <c:ptCount val="1"/>
                <c:pt idx="0">
                  <c:v>Ergebnis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Dashboard'!$BJ$5:$BJ$15</c:f>
              <c:strCache>
                <c:ptCount val="11"/>
                <c:pt idx="0">
                  <c:v>Realisierungsphase</c:v>
                </c:pt>
                <c:pt idx="1">
                  <c:v>Initialisierungsphase</c:v>
                </c:pt>
                <c:pt idx="2">
                  <c:v>Kick-Off Industriearbeit</c:v>
                </c:pt>
                <c:pt idx="3">
                  <c:v>Informationsbeschaffung</c:v>
                </c:pt>
                <c:pt idx="4">
                  <c:v>Erste Besprechung mit Dr. Björn Jensen</c:v>
                </c:pt>
                <c:pt idx="5">
                  <c:v>Testphase</c:v>
                </c:pt>
                <c:pt idx="6">
                  <c:v>Dokumentation</c:v>
                </c:pt>
                <c:pt idx="7">
                  <c:v>Konzeptionsphase</c:v>
                </c:pt>
                <c:pt idx="8">
                  <c:v>Abschlusspräsentation provisorisch</c:v>
                </c:pt>
                <c:pt idx="9">
                  <c:v>Zwischenpräsentation</c:v>
                </c:pt>
                <c:pt idx="10">
                  <c:v>Poster</c:v>
                </c:pt>
              </c:strCache>
            </c:strRef>
          </c:cat>
          <c:val>
            <c:numRef>
              <c:f>'Project Dashboard'!$BK$5:$BK$15</c:f>
              <c:numCache>
                <c:formatCode>#,##0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2783-4CA5-B524-B78728A800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186544"/>
        <c:axId val="392189024"/>
      </c:barChart>
      <c:catAx>
        <c:axId val="3921865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189024"/>
        <c:crosses val="autoZero"/>
        <c:auto val="1"/>
        <c:lblAlgn val="ctr"/>
        <c:lblOffset val="100"/>
        <c:noMultiLvlLbl val="0"/>
      </c:catAx>
      <c:valAx>
        <c:axId val="392189024"/>
        <c:scaling>
          <c:orientation val="minMax"/>
        </c:scaling>
        <c:delete val="1"/>
        <c:axPos val="b"/>
        <c:numFmt formatCode="#,##0" sourceLinked="1"/>
        <c:majorTickMark val="out"/>
        <c:minorTickMark val="none"/>
        <c:tickLblPos val="none"/>
        <c:crossAx val="39218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[Gantt_Grobplanung_V1.xlsm]Project Dashboard!PvtParentPerc</c:name>
    <c:fmtId val="5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Dashboard'!$BO$4</c:f>
              <c:strCache>
                <c:ptCount val="1"/>
                <c:pt idx="0">
                  <c:v>Ergebnis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Dashboard'!$BN$5:$BN$15</c:f>
              <c:strCache>
                <c:ptCount val="11"/>
                <c:pt idx="0">
                  <c:v>Realisierungsphase</c:v>
                </c:pt>
                <c:pt idx="1">
                  <c:v>Testphase</c:v>
                </c:pt>
                <c:pt idx="2">
                  <c:v>Poster</c:v>
                </c:pt>
                <c:pt idx="3">
                  <c:v>Zwischenpräsentation</c:v>
                </c:pt>
                <c:pt idx="4">
                  <c:v>Konzeptionsphase</c:v>
                </c:pt>
                <c:pt idx="5">
                  <c:v>Dokumentation</c:v>
                </c:pt>
                <c:pt idx="6">
                  <c:v>Informationsbeschaffung</c:v>
                </c:pt>
                <c:pt idx="7">
                  <c:v>Abschlusspräsentation provisorisch</c:v>
                </c:pt>
                <c:pt idx="8">
                  <c:v>Initialisierungsphase</c:v>
                </c:pt>
                <c:pt idx="9">
                  <c:v>Erste Besprechung mit Dr. Björn Jensen</c:v>
                </c:pt>
                <c:pt idx="10">
                  <c:v>Kick-Off Industriearbeit</c:v>
                </c:pt>
              </c:strCache>
            </c:strRef>
          </c:cat>
          <c:val>
            <c:numRef>
              <c:f>'Project Dashboard'!$BO$5:$BO$15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0.8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F5-4951-8E7F-2215DDBFAA9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232688"/>
        <c:axId val="392235168"/>
      </c:barChart>
      <c:catAx>
        <c:axId val="3922326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235168"/>
        <c:crosses val="autoZero"/>
        <c:auto val="1"/>
        <c:lblAlgn val="ctr"/>
        <c:lblOffset val="100"/>
        <c:noMultiLvlLbl val="0"/>
      </c:catAx>
      <c:valAx>
        <c:axId val="392235168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922326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[Gantt_Grobplanung_V1.xlsm]Project Dashboard!PvtResourcePerc</c:name>
    <c:fmtId val="5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Dashboard'!$BR$4</c:f>
              <c:strCache>
                <c:ptCount val="1"/>
                <c:pt idx="0">
                  <c:v>Ergebnis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Dashboard'!$BQ$5</c:f>
              <c:strCache>
                <c:ptCount val="1"/>
                <c:pt idx="0">
                  <c:v>(Leer)</c:v>
                </c:pt>
              </c:strCache>
            </c:strRef>
          </c:cat>
          <c:val>
            <c:numRef>
              <c:f>'Project Dashboard'!$BR$5</c:f>
              <c:numCache>
                <c:formatCode>0%</c:formatCode>
                <c:ptCount val="1"/>
                <c:pt idx="0">
                  <c:v>0.25454545454545452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CC-4D0D-BD3B-FCADD7AE0A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278032"/>
        <c:axId val="392280512"/>
      </c:barChart>
      <c:catAx>
        <c:axId val="392278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280512"/>
        <c:crosses val="autoZero"/>
        <c:auto val="1"/>
        <c:lblAlgn val="ctr"/>
        <c:lblOffset val="100"/>
        <c:noMultiLvlLbl val="0"/>
      </c:catAx>
      <c:valAx>
        <c:axId val="39228051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92278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[Gantt_Grobplanung_V1.xlsm]Project Dashboard!pvtResourceDur</c:name>
    <c:fmtId val="5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Dashboard'!$BU$4</c:f>
              <c:strCache>
                <c:ptCount val="1"/>
                <c:pt idx="0">
                  <c:v>Ergebnis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Dashboard'!$BT$5</c:f>
              <c:strCache>
                <c:ptCount val="1"/>
                <c:pt idx="0">
                  <c:v>(Leer)</c:v>
                </c:pt>
              </c:strCache>
            </c:strRef>
          </c:cat>
          <c:val>
            <c:numRef>
              <c:f>'Project Dashboard'!$BU$5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81-4117-BFA2-F35020DD9E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330080"/>
        <c:axId val="392333072"/>
      </c:barChart>
      <c:catAx>
        <c:axId val="3923300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333072"/>
        <c:crosses val="autoZero"/>
        <c:auto val="1"/>
        <c:lblAlgn val="ctr"/>
        <c:lblOffset val="100"/>
        <c:noMultiLvlLbl val="0"/>
      </c:catAx>
      <c:valAx>
        <c:axId val="39233307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923300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186544"/>
        <c:axId val="392189024"/>
      </c:barChart>
      <c:catAx>
        <c:axId val="3921865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189024"/>
        <c:crosses val="autoZero"/>
        <c:auto val="1"/>
        <c:lblAlgn val="ctr"/>
        <c:lblOffset val="100"/>
        <c:noMultiLvlLbl val="0"/>
      </c:catAx>
      <c:valAx>
        <c:axId val="392189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9218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232688"/>
        <c:axId val="392235168"/>
      </c:barChart>
      <c:catAx>
        <c:axId val="3922326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235168"/>
        <c:crosses val="autoZero"/>
        <c:auto val="1"/>
        <c:lblAlgn val="ctr"/>
        <c:lblOffset val="100"/>
        <c:noMultiLvlLbl val="0"/>
      </c:catAx>
      <c:valAx>
        <c:axId val="392235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922326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278032"/>
        <c:axId val="392280512"/>
      </c:barChart>
      <c:catAx>
        <c:axId val="392278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280512"/>
        <c:crosses val="autoZero"/>
        <c:auto val="1"/>
        <c:lblAlgn val="ctr"/>
        <c:lblOffset val="100"/>
        <c:noMultiLvlLbl val="0"/>
      </c:catAx>
      <c:valAx>
        <c:axId val="39228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92278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330080"/>
        <c:axId val="392333072"/>
      </c:barChart>
      <c:catAx>
        <c:axId val="3923300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333072"/>
        <c:crosses val="autoZero"/>
        <c:auto val="1"/>
        <c:lblAlgn val="ctr"/>
        <c:lblOffset val="100"/>
        <c:noMultiLvlLbl val="0"/>
      </c:catAx>
      <c:valAx>
        <c:axId val="392333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923300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Scroll" dx="22" fmlaLink="$VEY$2" horiz="1" max="10000" min="1" page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VEY$2" horiz="1" max="10000" min="1" page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28575</xdr:rowOff>
        </xdr:from>
        <xdr:to>
          <xdr:col>28</xdr:col>
          <xdr:colOff>642097</xdr:colOff>
          <xdr:row>5</xdr:row>
          <xdr:rowOff>219075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28</xdr:col>
      <xdr:colOff>296704</xdr:colOff>
      <xdr:row>9</xdr:row>
      <xdr:rowOff>30004</xdr:rowOff>
    </xdr:from>
    <xdr:to>
      <xdr:col>28</xdr:col>
      <xdr:colOff>436721</xdr:colOff>
      <xdr:row>9</xdr:row>
      <xdr:rowOff>170021</xdr:rowOff>
    </xdr:to>
    <xdr:sp macro="" textlink="">
      <xdr:nvSpPr>
        <xdr:cNvPr id="32" name="S_E_10">
          <a:extLst>
            <a:ext uri="{FF2B5EF4-FFF2-40B4-BE49-F238E27FC236}">
              <a16:creationId xmlns:a16="http://schemas.microsoft.com/office/drawing/2014/main" id="{0EDE832A-6BF7-4092-AF8C-5F526F49CD1E}"/>
            </a:ext>
          </a:extLst>
        </xdr:cNvPr>
        <xdr:cNvSpPr/>
      </xdr:nvSpPr>
      <xdr:spPr>
        <a:xfrm>
          <a:off x="7564279" y="925354"/>
          <a:ext cx="140017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35</xdr:col>
      <xdr:colOff>296704</xdr:colOff>
      <xdr:row>10</xdr:row>
      <xdr:rowOff>30004</xdr:rowOff>
    </xdr:from>
    <xdr:to>
      <xdr:col>35</xdr:col>
      <xdr:colOff>436721</xdr:colOff>
      <xdr:row>10</xdr:row>
      <xdr:rowOff>170021</xdr:rowOff>
    </xdr:to>
    <xdr:sp macro="" textlink="">
      <xdr:nvSpPr>
        <xdr:cNvPr id="33" name="S_E_3">
          <a:extLst>
            <a:ext uri="{FF2B5EF4-FFF2-40B4-BE49-F238E27FC236}">
              <a16:creationId xmlns:a16="http://schemas.microsoft.com/office/drawing/2014/main" id="{424106D5-0581-40BC-BA3D-398066D8C5ED}"/>
            </a:ext>
          </a:extLst>
        </xdr:cNvPr>
        <xdr:cNvSpPr/>
      </xdr:nvSpPr>
      <xdr:spPr>
        <a:xfrm>
          <a:off x="12698254" y="1125379"/>
          <a:ext cx="140017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39</xdr:col>
      <xdr:colOff>296704</xdr:colOff>
      <xdr:row>11</xdr:row>
      <xdr:rowOff>30004</xdr:rowOff>
    </xdr:from>
    <xdr:to>
      <xdr:col>39</xdr:col>
      <xdr:colOff>436722</xdr:colOff>
      <xdr:row>11</xdr:row>
      <xdr:rowOff>170021</xdr:rowOff>
    </xdr:to>
    <xdr:sp macro="" textlink="">
      <xdr:nvSpPr>
        <xdr:cNvPr id="34" name="S_E_2">
          <a:extLst>
            <a:ext uri="{FF2B5EF4-FFF2-40B4-BE49-F238E27FC236}">
              <a16:creationId xmlns:a16="http://schemas.microsoft.com/office/drawing/2014/main" id="{58986558-07A3-48FB-B2F7-56B424F54FB7}"/>
            </a:ext>
          </a:extLst>
        </xdr:cNvPr>
        <xdr:cNvSpPr/>
      </xdr:nvSpPr>
      <xdr:spPr>
        <a:xfrm>
          <a:off x="15631954" y="1325404"/>
          <a:ext cx="140018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55</xdr:col>
      <xdr:colOff>291942</xdr:colOff>
      <xdr:row>12</xdr:row>
      <xdr:rowOff>30004</xdr:rowOff>
    </xdr:from>
    <xdr:to>
      <xdr:col>55</xdr:col>
      <xdr:colOff>431958</xdr:colOff>
      <xdr:row>12</xdr:row>
      <xdr:rowOff>170021</xdr:rowOff>
    </xdr:to>
    <xdr:sp macro="" textlink="">
      <xdr:nvSpPr>
        <xdr:cNvPr id="35" name="S_E_6">
          <a:extLst>
            <a:ext uri="{FF2B5EF4-FFF2-40B4-BE49-F238E27FC236}">
              <a16:creationId xmlns:a16="http://schemas.microsoft.com/office/drawing/2014/main" id="{AF436C40-93BE-441E-A55B-451D00C26C4F}"/>
            </a:ext>
          </a:extLst>
        </xdr:cNvPr>
        <xdr:cNvSpPr/>
      </xdr:nvSpPr>
      <xdr:spPr>
        <a:xfrm>
          <a:off x="27228642" y="1525429"/>
          <a:ext cx="140016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79</xdr:col>
      <xdr:colOff>44292</xdr:colOff>
      <xdr:row>13</xdr:row>
      <xdr:rowOff>30004</xdr:rowOff>
    </xdr:from>
    <xdr:to>
      <xdr:col>79</xdr:col>
      <xdr:colOff>184308</xdr:colOff>
      <xdr:row>13</xdr:row>
      <xdr:rowOff>170021</xdr:rowOff>
    </xdr:to>
    <xdr:sp macro="" textlink="">
      <xdr:nvSpPr>
        <xdr:cNvPr id="36" name="S_E_7">
          <a:extLst>
            <a:ext uri="{FF2B5EF4-FFF2-40B4-BE49-F238E27FC236}">
              <a16:creationId xmlns:a16="http://schemas.microsoft.com/office/drawing/2014/main" id="{48C46ED8-E6D5-4046-86DC-CFA6AA3DA8DE}"/>
            </a:ext>
          </a:extLst>
        </xdr:cNvPr>
        <xdr:cNvSpPr/>
      </xdr:nvSpPr>
      <xdr:spPr>
        <a:xfrm>
          <a:off x="41497092" y="1725454"/>
          <a:ext cx="140016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74</xdr:col>
      <xdr:colOff>34767</xdr:colOff>
      <xdr:row>14</xdr:row>
      <xdr:rowOff>30004</xdr:rowOff>
    </xdr:from>
    <xdr:to>
      <xdr:col>74</xdr:col>
      <xdr:colOff>174783</xdr:colOff>
      <xdr:row>14</xdr:row>
      <xdr:rowOff>170021</xdr:rowOff>
    </xdr:to>
    <xdr:sp macro="" textlink="">
      <xdr:nvSpPr>
        <xdr:cNvPr id="37" name="S_E_4">
          <a:extLst>
            <a:ext uri="{FF2B5EF4-FFF2-40B4-BE49-F238E27FC236}">
              <a16:creationId xmlns:a16="http://schemas.microsoft.com/office/drawing/2014/main" id="{EC22BA78-9D3B-4BA1-B885-78CFEC784FF7}"/>
            </a:ext>
          </a:extLst>
        </xdr:cNvPr>
        <xdr:cNvSpPr/>
      </xdr:nvSpPr>
      <xdr:spPr>
        <a:xfrm>
          <a:off x="40287417" y="1925479"/>
          <a:ext cx="140016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83</xdr:col>
      <xdr:colOff>58579</xdr:colOff>
      <xdr:row>15</xdr:row>
      <xdr:rowOff>30004</xdr:rowOff>
    </xdr:from>
    <xdr:to>
      <xdr:col>83</xdr:col>
      <xdr:colOff>198596</xdr:colOff>
      <xdr:row>15</xdr:row>
      <xdr:rowOff>170021</xdr:rowOff>
    </xdr:to>
    <xdr:sp macro="" textlink="">
      <xdr:nvSpPr>
        <xdr:cNvPr id="38" name="S_E_8">
          <a:extLst>
            <a:ext uri="{FF2B5EF4-FFF2-40B4-BE49-F238E27FC236}">
              <a16:creationId xmlns:a16="http://schemas.microsoft.com/office/drawing/2014/main" id="{7B9EA88B-73E3-471F-9C36-2359980D9BEA}"/>
            </a:ext>
          </a:extLst>
        </xdr:cNvPr>
        <xdr:cNvSpPr/>
      </xdr:nvSpPr>
      <xdr:spPr>
        <a:xfrm>
          <a:off x="42463879" y="2125504"/>
          <a:ext cx="140017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83</xdr:col>
      <xdr:colOff>58579</xdr:colOff>
      <xdr:row>17</xdr:row>
      <xdr:rowOff>30004</xdr:rowOff>
    </xdr:from>
    <xdr:to>
      <xdr:col>83</xdr:col>
      <xdr:colOff>198596</xdr:colOff>
      <xdr:row>17</xdr:row>
      <xdr:rowOff>170021</xdr:rowOff>
    </xdr:to>
    <xdr:sp macro="" textlink="">
      <xdr:nvSpPr>
        <xdr:cNvPr id="39" name="S_E_11">
          <a:extLst>
            <a:ext uri="{FF2B5EF4-FFF2-40B4-BE49-F238E27FC236}">
              <a16:creationId xmlns:a16="http://schemas.microsoft.com/office/drawing/2014/main" id="{F2056349-764F-4EBB-A20D-21E5CE4A711C}"/>
            </a:ext>
          </a:extLst>
        </xdr:cNvPr>
        <xdr:cNvSpPr/>
      </xdr:nvSpPr>
      <xdr:spPr>
        <a:xfrm>
          <a:off x="42463879" y="2525554"/>
          <a:ext cx="140017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38</xdr:col>
      <xdr:colOff>0</xdr:colOff>
      <xdr:row>9</xdr:row>
      <xdr:rowOff>0</xdr:rowOff>
    </xdr:from>
    <xdr:to>
      <xdr:col>38</xdr:col>
      <xdr:colOff>1270</xdr:colOff>
      <xdr:row>20</xdr:row>
      <xdr:rowOff>0</xdr:rowOff>
    </xdr:to>
    <xdr:sp macro="" textlink="">
      <xdr:nvSpPr>
        <xdr:cNvPr id="40" name="S_Today_LineLeft">
          <a:extLst>
            <a:ext uri="{FF2B5EF4-FFF2-40B4-BE49-F238E27FC236}">
              <a16:creationId xmlns:a16="http://schemas.microsoft.com/office/drawing/2014/main" id="{CED1665C-BC02-4886-B340-116AC4859260}"/>
            </a:ext>
          </a:extLst>
        </xdr:cNvPr>
        <xdr:cNvSpPr/>
      </xdr:nvSpPr>
      <xdr:spPr>
        <a:xfrm>
          <a:off x="14601825" y="895350"/>
          <a:ext cx="1270" cy="2200275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1270</xdr:colOff>
      <xdr:row>20</xdr:row>
      <xdr:rowOff>0</xdr:rowOff>
    </xdr:to>
    <xdr:sp macro="" textlink="">
      <xdr:nvSpPr>
        <xdr:cNvPr id="41" name="S_Today_LineRight">
          <a:extLst>
            <a:ext uri="{FF2B5EF4-FFF2-40B4-BE49-F238E27FC236}">
              <a16:creationId xmlns:a16="http://schemas.microsoft.com/office/drawing/2014/main" id="{76D2933D-2D1B-4F8A-98B3-7BEEA46F1A89}"/>
            </a:ext>
          </a:extLst>
        </xdr:cNvPr>
        <xdr:cNvSpPr/>
      </xdr:nvSpPr>
      <xdr:spPr>
        <a:xfrm>
          <a:off x="15335250" y="895350"/>
          <a:ext cx="1270" cy="2200275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" name="BC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 Tasks Left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3" name="chrt_ProjectProgres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4" name="chrt_ProjectProgress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5" name="EstimatedBudge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6" name="BC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$ ,0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7" name="BCLabel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8" name="EC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$ ,0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9" name="ECLabel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0" name="AC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$ ,0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1" name="ACLabel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12" name="EstimatedBudge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$ ,0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13" name="EstimatedBudge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  <a:cs typeface="Calibri"/>
            </a:rPr>
            <a:pPr algn="ctr"/>
            <a:t>$ ,0 spent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14" name="EstimatedBudge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15" name="chrt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16" name="chrt2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17" name="chrt3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18" name="chrt4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9" name="BC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133350</xdr:colOff>
          <xdr:row>1</xdr:row>
          <xdr:rowOff>0</xdr:rowOff>
        </xdr:from>
        <xdr:to>
          <xdr:col>5</xdr:col>
          <xdr:colOff>676275</xdr:colOff>
          <xdr:row>1</xdr:row>
          <xdr:rowOff>228600</xdr:rowOff>
        </xdr:to>
        <xdr:sp macro="" textlink="">
          <xdr:nvSpPr>
            <xdr:cNvPr id="5121" name="btnRefreshDashboard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 Tasks Left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#BEZUG!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#BEZUG!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#BEZUG!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#BEZUG!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133350</xdr:colOff>
          <xdr:row>1</xdr:row>
          <xdr:rowOff>0</xdr:rowOff>
        </xdr:from>
        <xdr:to>
          <xdr:col>5</xdr:col>
          <xdr:colOff>676275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28575</xdr:rowOff>
        </xdr:from>
        <xdr:to>
          <xdr:col>32</xdr:col>
          <xdr:colOff>28575</xdr:colOff>
          <xdr:row>5</xdr:row>
          <xdr:rowOff>219075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y Zimmermann" refreshedDate="43006.337293750003" missingItemsLimit="0" createdVersion="5" refreshedVersion="6" minRefreshableVersion="3" recordCount="1" xr:uid="{00000000-000A-0000-FFFF-FFFF8A000000}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y Zimmermann" refreshedDate="43006.337294444442" missingItemsLimit="0" createdVersion="6" refreshedVersion="6" minRefreshableVersion="3" recordCount="11" xr:uid="{AF2896F2-C6E7-472D-BE7D-C055E4FC7E5D}">
  <cacheSource type="worksheet">
    <worksheetSource name="shData"/>
  </cacheSource>
  <cacheFields count="29">
    <cacheField name="tType" numFmtId="0">
      <sharedItems count="1">
        <s v="M"/>
      </sharedItems>
    </cacheField>
    <cacheField name="WBS" numFmtId="49">
      <sharedItems/>
    </cacheField>
    <cacheField name="Task" numFmtId="0">
      <sharedItems count="11">
        <s v="Kick-Off Industriearbeit"/>
        <s v="Erste Besprechung mit Dr. Björn Jensen"/>
        <s v="Initialisierungsphase"/>
        <s v="Informationsbeschaffung"/>
        <s v="Konzeptionsphase"/>
        <s v="Zwischenpräsentation"/>
        <s v="Realisierungsphase"/>
        <s v="Testphase"/>
        <s v="Dokumentation"/>
        <s v="Abschlusspräsentation provisorisch"/>
        <s v="Poster"/>
      </sharedItems>
    </cacheField>
    <cacheField name="TaskLead" numFmtId="0">
      <sharedItems containsNonDate="0" containsString="0" containsBlank="1"/>
    </cacheField>
    <cacheField name="TaskLeadCost" numFmtId="0">
      <sharedItems containsNonDate="0" containsString="0" containsBlank="1"/>
    </cacheField>
    <cacheField name="BSD" numFmtId="0">
      <sharedItems containsNonDate="0" containsString="0" containsBlank="1"/>
    </cacheField>
    <cacheField name="BED" numFmtId="0">
      <sharedItems containsNonDate="0" containsString="0" containsBlank="1"/>
    </cacheField>
    <cacheField name="BD" numFmtId="0">
      <sharedItems containsNonDate="0" containsString="0" containsBlank="1"/>
    </cacheField>
    <cacheField name="ESD" numFmtId="0">
      <sharedItems containsSemiMixedTypes="0" containsNonDate="0" containsDate="1" containsString="0" minDate="2017-09-18T00:00:00" maxDate="2018-01-31T00:00:00"/>
    </cacheField>
    <cacheField name="EED" numFmtId="0">
      <sharedItems containsSemiMixedTypes="0" containsNonDate="0" containsDate="1" containsString="0" minDate="2017-09-18T00:00:00" maxDate="2018-01-31T00:00:00"/>
    </cacheField>
    <cacheField name="ED" numFmtId="0">
      <sharedItems containsSemiMixedTypes="0" containsString="0" containsNumber="1" containsInteger="1" minValue="1" maxValue="81"/>
    </cacheField>
    <cacheField name="PercentageCompleted" numFmtId="9">
      <sharedItems containsSemiMixedTypes="0" containsString="0" containsNumber="1" minValue="0" maxValue="1"/>
    </cacheField>
    <cacheField name="ASD" numFmtId="0">
      <sharedItems containsNonDate="0" containsString="0" containsBlank="1"/>
    </cacheField>
    <cacheField name="AED" numFmtId="0">
      <sharedItems containsNonDate="0" containsString="0" containsBlank="1"/>
    </cacheField>
    <cacheField name="AD" numFmtId="0">
      <sharedItems containsNonDate="0" containsString="0" containsBlank="1"/>
    </cacheField>
    <cacheField name="BCS" numFmtId="0">
      <sharedItems containsNonDate="0" containsString="0" containsBlank="1"/>
    </cacheField>
    <cacheField name="ECS" numFmtId="0">
      <sharedItems containsNonDate="0" containsString="0" containsBlank="1"/>
    </cacheField>
    <cacheField name="ACS" numFmtId="0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y Zimmermann" refreshedDate="43006.337294791665" missingItemsLimit="0" createdVersion="6" refreshedVersion="6" minRefreshableVersion="3" recordCount="11" xr:uid="{0E61AC43-0645-4C58-913B-4DAE41EE6432}">
  <cacheSource type="worksheet">
    <worksheetSource name="shData"/>
  </cacheSource>
  <cacheFields count="29">
    <cacheField name="tType" numFmtId="0">
      <sharedItems count="1">
        <s v="M"/>
      </sharedItems>
    </cacheField>
    <cacheField name="WBS" numFmtId="49">
      <sharedItems/>
    </cacheField>
    <cacheField name="Task" numFmtId="0">
      <sharedItems/>
    </cacheField>
    <cacheField name="TaskLead" numFmtId="0">
      <sharedItems containsNonDate="0" containsString="0" containsBlank="1" count="1">
        <m/>
      </sharedItems>
    </cacheField>
    <cacheField name="TaskLeadCost" numFmtId="0">
      <sharedItems containsNonDate="0" containsString="0" containsBlank="1"/>
    </cacheField>
    <cacheField name="BSD" numFmtId="0">
      <sharedItems containsNonDate="0" containsString="0" containsBlank="1"/>
    </cacheField>
    <cacheField name="BED" numFmtId="0">
      <sharedItems containsNonDate="0" containsString="0" containsBlank="1"/>
    </cacheField>
    <cacheField name="BD" numFmtId="0">
      <sharedItems containsNonDate="0" containsString="0" containsBlank="1"/>
    </cacheField>
    <cacheField name="ESD" numFmtId="0">
      <sharedItems containsSemiMixedTypes="0" containsNonDate="0" containsDate="1" containsString="0" minDate="2017-09-18T00:00:00" maxDate="2018-01-31T00:00:00"/>
    </cacheField>
    <cacheField name="EED" numFmtId="0">
      <sharedItems containsSemiMixedTypes="0" containsNonDate="0" containsDate="1" containsString="0" minDate="2017-09-18T00:00:00" maxDate="2018-01-31T00:00:00"/>
    </cacheField>
    <cacheField name="ED" numFmtId="0">
      <sharedItems containsSemiMixedTypes="0" containsString="0" containsNumber="1" containsInteger="1" minValue="1" maxValue="81"/>
    </cacheField>
    <cacheField name="PercentageCompleted" numFmtId="9">
      <sharedItems containsSemiMixedTypes="0" containsString="0" containsNumber="1" minValue="0" maxValue="1"/>
    </cacheField>
    <cacheField name="ASD" numFmtId="0">
      <sharedItems containsNonDate="0" containsString="0" containsBlank="1"/>
    </cacheField>
    <cacheField name="AED" numFmtId="0">
      <sharedItems containsNonDate="0" containsString="0" containsBlank="1"/>
    </cacheField>
    <cacheField name="AD" numFmtId="0">
      <sharedItems containsNonDate="0" containsString="0" containsBlank="1"/>
    </cacheField>
    <cacheField name="BCS" numFmtId="0">
      <sharedItems containsNonDate="0" containsString="0" containsBlank="1"/>
    </cacheField>
    <cacheField name="ECS" numFmtId="0">
      <sharedItems containsNonDate="0" containsString="0" containsBlank="1"/>
    </cacheField>
    <cacheField name="ACS" numFmtId="0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y Zimmermann" refreshedDate="43006.33729502315" missingItemsLimit="0" createdVersion="6" refreshedVersion="6" minRefreshableVersion="3" recordCount="11" xr:uid="{0B9E774A-90B1-4045-AEB5-07CC7B7A3A3F}">
  <cacheSource type="worksheet">
    <worksheetSource name="shData"/>
  </cacheSource>
  <cacheFields count="29">
    <cacheField name="tType" numFmtId="0">
      <sharedItems count="1">
        <s v="M"/>
      </sharedItems>
    </cacheField>
    <cacheField name="WBS" numFmtId="49">
      <sharedItems/>
    </cacheField>
    <cacheField name="Task" numFmtId="0">
      <sharedItems/>
    </cacheField>
    <cacheField name="TaskLead" numFmtId="0">
      <sharedItems containsNonDate="0" containsString="0" containsBlank="1" count="1">
        <m/>
      </sharedItems>
    </cacheField>
    <cacheField name="TaskLeadCost" numFmtId="0">
      <sharedItems containsNonDate="0" containsString="0" containsBlank="1"/>
    </cacheField>
    <cacheField name="BSD" numFmtId="0">
      <sharedItems containsNonDate="0" containsString="0" containsBlank="1"/>
    </cacheField>
    <cacheField name="BED" numFmtId="0">
      <sharedItems containsNonDate="0" containsString="0" containsBlank="1"/>
    </cacheField>
    <cacheField name="BD" numFmtId="0">
      <sharedItems containsNonDate="0" containsString="0" containsBlank="1"/>
    </cacheField>
    <cacheField name="ESD" numFmtId="0">
      <sharedItems containsSemiMixedTypes="0" containsNonDate="0" containsDate="1" containsString="0" minDate="2017-09-18T00:00:00" maxDate="2018-01-31T00:00:00"/>
    </cacheField>
    <cacheField name="EED" numFmtId="0">
      <sharedItems containsSemiMixedTypes="0" containsNonDate="0" containsDate="1" containsString="0" minDate="2017-09-18T00:00:00" maxDate="2018-01-31T00:00:00"/>
    </cacheField>
    <cacheField name="ED" numFmtId="0">
      <sharedItems containsSemiMixedTypes="0" containsString="0" containsNumber="1" containsInteger="1" minValue="1" maxValue="81"/>
    </cacheField>
    <cacheField name="PercentageCompleted" numFmtId="9">
      <sharedItems containsSemiMixedTypes="0" containsString="0" containsNumber="1" minValue="0" maxValue="1"/>
    </cacheField>
    <cacheField name="ASD" numFmtId="0">
      <sharedItems containsNonDate="0" containsString="0" containsBlank="1"/>
    </cacheField>
    <cacheField name="AED" numFmtId="0">
      <sharedItems containsNonDate="0" containsString="0" containsBlank="1"/>
    </cacheField>
    <cacheField name="AD" numFmtId="0">
      <sharedItems containsNonDate="0" containsString="0" containsBlank="1"/>
    </cacheField>
    <cacheField name="BCS" numFmtId="0">
      <sharedItems containsNonDate="0" containsString="0" containsBlank="1"/>
    </cacheField>
    <cacheField name="ECS" numFmtId="0">
      <sharedItems containsNonDate="0" containsString="0" containsBlank="1"/>
    </cacheField>
    <cacheField name="ACS" numFmtId="0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y Zimmermann" refreshedDate="43006.337295254627" missingItemsLimit="0" createdVersion="6" refreshedVersion="6" minRefreshableVersion="3" recordCount="11" xr:uid="{2E3FF932-12C5-4D65-80D0-00ABD6A03B0A}">
  <cacheSource type="worksheet">
    <worksheetSource name="shData"/>
  </cacheSource>
  <cacheFields count="29">
    <cacheField name="tType" numFmtId="0">
      <sharedItems count="1">
        <s v="M"/>
      </sharedItems>
    </cacheField>
    <cacheField name="WBS" numFmtId="49">
      <sharedItems/>
    </cacheField>
    <cacheField name="Task" numFmtId="0">
      <sharedItems count="11">
        <s v="Kick-Off Industriearbeit"/>
        <s v="Erste Besprechung mit Dr. Björn Jensen"/>
        <s v="Initialisierungsphase"/>
        <s v="Informationsbeschaffung"/>
        <s v="Konzeptionsphase"/>
        <s v="Zwischenpräsentation"/>
        <s v="Realisierungsphase"/>
        <s v="Testphase"/>
        <s v="Dokumentation"/>
        <s v="Abschlusspräsentation provisorisch"/>
        <s v="Poster"/>
      </sharedItems>
    </cacheField>
    <cacheField name="TaskLead" numFmtId="0">
      <sharedItems containsNonDate="0" containsString="0" containsBlank="1"/>
    </cacheField>
    <cacheField name="TaskLeadCost" numFmtId="0">
      <sharedItems containsNonDate="0" containsString="0" containsBlank="1"/>
    </cacheField>
    <cacheField name="BSD" numFmtId="0">
      <sharedItems containsNonDate="0" containsString="0" containsBlank="1"/>
    </cacheField>
    <cacheField name="BED" numFmtId="0">
      <sharedItems containsNonDate="0" containsString="0" containsBlank="1"/>
    </cacheField>
    <cacheField name="BD" numFmtId="0">
      <sharedItems containsNonDate="0" containsString="0" containsBlank="1"/>
    </cacheField>
    <cacheField name="ESD" numFmtId="0">
      <sharedItems containsSemiMixedTypes="0" containsNonDate="0" containsDate="1" containsString="0" minDate="2017-09-18T00:00:00" maxDate="2018-01-31T00:00:00"/>
    </cacheField>
    <cacheField name="EED" numFmtId="0">
      <sharedItems containsSemiMixedTypes="0" containsNonDate="0" containsDate="1" containsString="0" minDate="2017-09-18T00:00:00" maxDate="2018-01-31T00:00:00"/>
    </cacheField>
    <cacheField name="ED" numFmtId="0">
      <sharedItems containsSemiMixedTypes="0" containsString="0" containsNumber="1" containsInteger="1" minValue="1" maxValue="81"/>
    </cacheField>
    <cacheField name="PercentageCompleted" numFmtId="9">
      <sharedItems containsSemiMixedTypes="0" containsString="0" containsNumber="1" minValue="0" maxValue="1"/>
    </cacheField>
    <cacheField name="ASD" numFmtId="0">
      <sharedItems containsNonDate="0" containsString="0" containsBlank="1"/>
    </cacheField>
    <cacheField name="AED" numFmtId="0">
      <sharedItems containsNonDate="0" containsString="0" containsBlank="1"/>
    </cacheField>
    <cacheField name="AD" numFmtId="0">
      <sharedItems containsNonDate="0" containsString="0" containsBlank="1"/>
    </cacheField>
    <cacheField name="BCS" numFmtId="0">
      <sharedItems containsNonDate="0" containsString="0" containsBlank="1"/>
    </cacheField>
    <cacheField name="ECS" numFmtId="0">
      <sharedItems containsNonDate="0" containsString="0" containsBlank="1"/>
    </cacheField>
    <cacheField name="ACS" numFmtId="0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1"/>
    <x v="0"/>
    <m/>
    <m/>
    <m/>
    <m/>
    <m/>
    <d v="2017-09-18T00:00:00"/>
    <d v="2017-09-18T00:00:00"/>
    <n v="1"/>
    <n v="1"/>
    <m/>
    <m/>
    <m/>
    <m/>
    <m/>
    <m/>
    <m/>
    <m/>
    <m/>
    <m/>
    <m/>
    <m/>
    <m/>
    <m/>
    <m/>
    <m/>
    <m/>
  </r>
  <r>
    <x v="0"/>
    <s v="2"/>
    <x v="1"/>
    <m/>
    <m/>
    <m/>
    <m/>
    <m/>
    <d v="2017-09-25T00:00:00"/>
    <d v="2017-09-25T00:00:00"/>
    <n v="1"/>
    <n v="1"/>
    <m/>
    <m/>
    <m/>
    <m/>
    <m/>
    <m/>
    <m/>
    <m/>
    <m/>
    <m/>
    <m/>
    <m/>
    <m/>
    <m/>
    <m/>
    <m/>
    <m/>
  </r>
  <r>
    <x v="0"/>
    <s v="3"/>
    <x v="2"/>
    <m/>
    <m/>
    <m/>
    <m/>
    <m/>
    <d v="2017-09-18T00:00:00"/>
    <d v="2017-09-29T00:00:00"/>
    <n v="11"/>
    <n v="0.8"/>
    <m/>
    <m/>
    <m/>
    <m/>
    <m/>
    <m/>
    <m/>
    <m/>
    <m/>
    <m/>
    <m/>
    <m/>
    <m/>
    <m/>
    <m/>
    <m/>
    <m/>
  </r>
  <r>
    <x v="0"/>
    <s v="4"/>
    <x v="3"/>
    <m/>
    <m/>
    <m/>
    <m/>
    <m/>
    <d v="2017-09-25T00:00:00"/>
    <d v="2017-10-15T00:00:00"/>
    <n v="18"/>
    <n v="0"/>
    <m/>
    <m/>
    <m/>
    <m/>
    <m/>
    <m/>
    <m/>
    <m/>
    <m/>
    <m/>
    <m/>
    <m/>
    <m/>
    <m/>
    <m/>
    <m/>
    <m/>
  </r>
  <r>
    <x v="0"/>
    <s v="5"/>
    <x v="4"/>
    <m/>
    <m/>
    <m/>
    <m/>
    <m/>
    <d v="2017-10-09T00:00:00"/>
    <d v="2017-11-08T00:00:00"/>
    <n v="27"/>
    <n v="0"/>
    <m/>
    <m/>
    <m/>
    <m/>
    <m/>
    <m/>
    <m/>
    <m/>
    <m/>
    <m/>
    <m/>
    <m/>
    <m/>
    <m/>
    <m/>
    <m/>
    <m/>
  </r>
  <r>
    <x v="0"/>
    <s v="6"/>
    <x v="5"/>
    <m/>
    <m/>
    <m/>
    <m/>
    <m/>
    <d v="2017-11-03T00:00:00"/>
    <d v="2017-11-03T00:00:00"/>
    <n v="1"/>
    <n v="0"/>
    <m/>
    <m/>
    <m/>
    <m/>
    <m/>
    <m/>
    <m/>
    <m/>
    <m/>
    <m/>
    <m/>
    <m/>
    <m/>
    <m/>
    <m/>
    <m/>
    <m/>
  </r>
  <r>
    <x v="0"/>
    <s v="7"/>
    <x v="6"/>
    <m/>
    <m/>
    <m/>
    <m/>
    <m/>
    <d v="2017-11-06T00:00:00"/>
    <d v="2017-12-03T00:00:00"/>
    <n v="24"/>
    <n v="0"/>
    <m/>
    <m/>
    <m/>
    <m/>
    <m/>
    <m/>
    <m/>
    <m/>
    <m/>
    <m/>
    <m/>
    <m/>
    <m/>
    <m/>
    <m/>
    <m/>
    <m/>
  </r>
  <r>
    <x v="0"/>
    <s v="8"/>
    <x v="7"/>
    <m/>
    <m/>
    <m/>
    <m/>
    <m/>
    <d v="2017-11-29T00:00:00"/>
    <d v="2017-12-20T00:00:00"/>
    <n v="19"/>
    <n v="0"/>
    <m/>
    <m/>
    <m/>
    <m/>
    <m/>
    <m/>
    <m/>
    <m/>
    <m/>
    <m/>
    <m/>
    <m/>
    <m/>
    <m/>
    <m/>
    <m/>
    <m/>
  </r>
  <r>
    <x v="0"/>
    <s v="9"/>
    <x v="8"/>
    <m/>
    <m/>
    <m/>
    <m/>
    <m/>
    <d v="2017-09-20T00:00:00"/>
    <d v="2017-12-22T00:00:00"/>
    <n v="81"/>
    <n v="0"/>
    <m/>
    <m/>
    <m/>
    <m/>
    <m/>
    <m/>
    <m/>
    <m/>
    <m/>
    <m/>
    <m/>
    <m/>
    <m/>
    <m/>
    <m/>
    <m/>
    <m/>
  </r>
  <r>
    <x v="0"/>
    <s v="10"/>
    <x v="9"/>
    <m/>
    <m/>
    <m/>
    <m/>
    <m/>
    <d v="2017-12-18T00:00:00"/>
    <d v="2018-01-26T00:00:00"/>
    <n v="35"/>
    <n v="0"/>
    <m/>
    <m/>
    <m/>
    <m/>
    <m/>
    <m/>
    <m/>
    <m/>
    <m/>
    <m/>
    <m/>
    <m/>
    <m/>
    <m/>
    <m/>
    <m/>
    <m/>
  </r>
  <r>
    <x v="0"/>
    <s v="11"/>
    <x v="10"/>
    <m/>
    <m/>
    <m/>
    <m/>
    <m/>
    <d v="2018-01-30T00:00:00"/>
    <d v="2018-01-30T00:00:00"/>
    <n v="1"/>
    <n v="0"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1"/>
    <s v="Kick-Off Industriearbeit"/>
    <x v="0"/>
    <m/>
    <m/>
    <m/>
    <m/>
    <d v="2017-09-18T00:00:00"/>
    <d v="2017-09-18T00:00:00"/>
    <n v="1"/>
    <n v="1"/>
    <m/>
    <m/>
    <m/>
    <m/>
    <m/>
    <m/>
    <m/>
    <m/>
    <m/>
    <m/>
    <m/>
    <m/>
    <m/>
    <m/>
    <m/>
    <m/>
    <m/>
  </r>
  <r>
    <x v="0"/>
    <s v="2"/>
    <s v="Erste Besprechung mit Dr. Björn Jensen"/>
    <x v="0"/>
    <m/>
    <m/>
    <m/>
    <m/>
    <d v="2017-09-25T00:00:00"/>
    <d v="2017-09-25T00:00:00"/>
    <n v="1"/>
    <n v="1"/>
    <m/>
    <m/>
    <m/>
    <m/>
    <m/>
    <m/>
    <m/>
    <m/>
    <m/>
    <m/>
    <m/>
    <m/>
    <m/>
    <m/>
    <m/>
    <m/>
    <m/>
  </r>
  <r>
    <x v="0"/>
    <s v="3"/>
    <s v="Initialisierungsphase"/>
    <x v="0"/>
    <m/>
    <m/>
    <m/>
    <m/>
    <d v="2017-09-18T00:00:00"/>
    <d v="2017-09-29T00:00:00"/>
    <n v="11"/>
    <n v="0.8"/>
    <m/>
    <m/>
    <m/>
    <m/>
    <m/>
    <m/>
    <m/>
    <m/>
    <m/>
    <m/>
    <m/>
    <m/>
    <m/>
    <m/>
    <m/>
    <m/>
    <m/>
  </r>
  <r>
    <x v="0"/>
    <s v="4"/>
    <s v="Informationsbeschaffung"/>
    <x v="0"/>
    <m/>
    <m/>
    <m/>
    <m/>
    <d v="2017-09-25T00:00:00"/>
    <d v="2017-10-15T00:00:00"/>
    <n v="18"/>
    <n v="0"/>
    <m/>
    <m/>
    <m/>
    <m/>
    <m/>
    <m/>
    <m/>
    <m/>
    <m/>
    <m/>
    <m/>
    <m/>
    <m/>
    <m/>
    <m/>
    <m/>
    <m/>
  </r>
  <r>
    <x v="0"/>
    <s v="5"/>
    <s v="Konzeptionsphase"/>
    <x v="0"/>
    <m/>
    <m/>
    <m/>
    <m/>
    <d v="2017-10-09T00:00:00"/>
    <d v="2017-11-08T00:00:00"/>
    <n v="27"/>
    <n v="0"/>
    <m/>
    <m/>
    <m/>
    <m/>
    <m/>
    <m/>
    <m/>
    <m/>
    <m/>
    <m/>
    <m/>
    <m/>
    <m/>
    <m/>
    <m/>
    <m/>
    <m/>
  </r>
  <r>
    <x v="0"/>
    <s v="6"/>
    <s v="Zwischenpräsentation"/>
    <x v="0"/>
    <m/>
    <m/>
    <m/>
    <m/>
    <d v="2017-11-03T00:00:00"/>
    <d v="2017-11-03T00:00:00"/>
    <n v="1"/>
    <n v="0"/>
    <m/>
    <m/>
    <m/>
    <m/>
    <m/>
    <m/>
    <m/>
    <m/>
    <m/>
    <m/>
    <m/>
    <m/>
    <m/>
    <m/>
    <m/>
    <m/>
    <m/>
  </r>
  <r>
    <x v="0"/>
    <s v="7"/>
    <s v="Realisierungsphase"/>
    <x v="0"/>
    <m/>
    <m/>
    <m/>
    <m/>
    <d v="2017-11-06T00:00:00"/>
    <d v="2017-12-03T00:00:00"/>
    <n v="24"/>
    <n v="0"/>
    <m/>
    <m/>
    <m/>
    <m/>
    <m/>
    <m/>
    <m/>
    <m/>
    <m/>
    <m/>
    <m/>
    <m/>
    <m/>
    <m/>
    <m/>
    <m/>
    <m/>
  </r>
  <r>
    <x v="0"/>
    <s v="8"/>
    <s v="Testphase"/>
    <x v="0"/>
    <m/>
    <m/>
    <m/>
    <m/>
    <d v="2017-11-29T00:00:00"/>
    <d v="2017-12-20T00:00:00"/>
    <n v="19"/>
    <n v="0"/>
    <m/>
    <m/>
    <m/>
    <m/>
    <m/>
    <m/>
    <m/>
    <m/>
    <m/>
    <m/>
    <m/>
    <m/>
    <m/>
    <m/>
    <m/>
    <m/>
    <m/>
  </r>
  <r>
    <x v="0"/>
    <s v="9"/>
    <s v="Dokumentation"/>
    <x v="0"/>
    <m/>
    <m/>
    <m/>
    <m/>
    <d v="2017-09-20T00:00:00"/>
    <d v="2017-12-22T00:00:00"/>
    <n v="81"/>
    <n v="0"/>
    <m/>
    <m/>
    <m/>
    <m/>
    <m/>
    <m/>
    <m/>
    <m/>
    <m/>
    <m/>
    <m/>
    <m/>
    <m/>
    <m/>
    <m/>
    <m/>
    <m/>
  </r>
  <r>
    <x v="0"/>
    <s v="10"/>
    <s v="Abschlusspräsentation provisorisch"/>
    <x v="0"/>
    <m/>
    <m/>
    <m/>
    <m/>
    <d v="2017-12-18T00:00:00"/>
    <d v="2018-01-26T00:00:00"/>
    <n v="35"/>
    <n v="0"/>
    <m/>
    <m/>
    <m/>
    <m/>
    <m/>
    <m/>
    <m/>
    <m/>
    <m/>
    <m/>
    <m/>
    <m/>
    <m/>
    <m/>
    <m/>
    <m/>
    <m/>
  </r>
  <r>
    <x v="0"/>
    <s v="11"/>
    <s v="Poster"/>
    <x v="0"/>
    <m/>
    <m/>
    <m/>
    <m/>
    <d v="2018-01-30T00:00:00"/>
    <d v="2018-01-30T00:00:00"/>
    <n v="1"/>
    <n v="0"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1"/>
    <s v="Kick-Off Industriearbeit"/>
    <x v="0"/>
    <m/>
    <m/>
    <m/>
    <m/>
    <d v="2017-09-18T00:00:00"/>
    <d v="2017-09-18T00:00:00"/>
    <n v="1"/>
    <n v="1"/>
    <m/>
    <m/>
    <m/>
    <m/>
    <m/>
    <m/>
    <m/>
    <m/>
    <m/>
    <m/>
    <m/>
    <m/>
    <m/>
    <m/>
    <m/>
    <m/>
    <m/>
  </r>
  <r>
    <x v="0"/>
    <s v="2"/>
    <s v="Erste Besprechung mit Dr. Björn Jensen"/>
    <x v="0"/>
    <m/>
    <m/>
    <m/>
    <m/>
    <d v="2017-09-25T00:00:00"/>
    <d v="2017-09-25T00:00:00"/>
    <n v="1"/>
    <n v="1"/>
    <m/>
    <m/>
    <m/>
    <m/>
    <m/>
    <m/>
    <m/>
    <m/>
    <m/>
    <m/>
    <m/>
    <m/>
    <m/>
    <m/>
    <m/>
    <m/>
    <m/>
  </r>
  <r>
    <x v="0"/>
    <s v="3"/>
    <s v="Initialisierungsphase"/>
    <x v="0"/>
    <m/>
    <m/>
    <m/>
    <m/>
    <d v="2017-09-18T00:00:00"/>
    <d v="2017-09-29T00:00:00"/>
    <n v="11"/>
    <n v="0.8"/>
    <m/>
    <m/>
    <m/>
    <m/>
    <m/>
    <m/>
    <m/>
    <m/>
    <m/>
    <m/>
    <m/>
    <m/>
    <m/>
    <m/>
    <m/>
    <m/>
    <m/>
  </r>
  <r>
    <x v="0"/>
    <s v="4"/>
    <s v="Informationsbeschaffung"/>
    <x v="0"/>
    <m/>
    <m/>
    <m/>
    <m/>
    <d v="2017-09-25T00:00:00"/>
    <d v="2017-10-15T00:00:00"/>
    <n v="18"/>
    <n v="0"/>
    <m/>
    <m/>
    <m/>
    <m/>
    <m/>
    <m/>
    <m/>
    <m/>
    <m/>
    <m/>
    <m/>
    <m/>
    <m/>
    <m/>
    <m/>
    <m/>
    <m/>
  </r>
  <r>
    <x v="0"/>
    <s v="5"/>
    <s v="Konzeptionsphase"/>
    <x v="0"/>
    <m/>
    <m/>
    <m/>
    <m/>
    <d v="2017-10-09T00:00:00"/>
    <d v="2017-11-08T00:00:00"/>
    <n v="27"/>
    <n v="0"/>
    <m/>
    <m/>
    <m/>
    <m/>
    <m/>
    <m/>
    <m/>
    <m/>
    <m/>
    <m/>
    <m/>
    <m/>
    <m/>
    <m/>
    <m/>
    <m/>
    <m/>
  </r>
  <r>
    <x v="0"/>
    <s v="6"/>
    <s v="Zwischenpräsentation"/>
    <x v="0"/>
    <m/>
    <m/>
    <m/>
    <m/>
    <d v="2017-11-03T00:00:00"/>
    <d v="2017-11-03T00:00:00"/>
    <n v="1"/>
    <n v="0"/>
    <m/>
    <m/>
    <m/>
    <m/>
    <m/>
    <m/>
    <m/>
    <m/>
    <m/>
    <m/>
    <m/>
    <m/>
    <m/>
    <m/>
    <m/>
    <m/>
    <m/>
  </r>
  <r>
    <x v="0"/>
    <s v="7"/>
    <s v="Realisierungsphase"/>
    <x v="0"/>
    <m/>
    <m/>
    <m/>
    <m/>
    <d v="2017-11-06T00:00:00"/>
    <d v="2017-12-03T00:00:00"/>
    <n v="24"/>
    <n v="0"/>
    <m/>
    <m/>
    <m/>
    <m/>
    <m/>
    <m/>
    <m/>
    <m/>
    <m/>
    <m/>
    <m/>
    <m/>
    <m/>
    <m/>
    <m/>
    <m/>
    <m/>
  </r>
  <r>
    <x v="0"/>
    <s v="8"/>
    <s v="Testphase"/>
    <x v="0"/>
    <m/>
    <m/>
    <m/>
    <m/>
    <d v="2017-11-29T00:00:00"/>
    <d v="2017-12-20T00:00:00"/>
    <n v="19"/>
    <n v="0"/>
    <m/>
    <m/>
    <m/>
    <m/>
    <m/>
    <m/>
    <m/>
    <m/>
    <m/>
    <m/>
    <m/>
    <m/>
    <m/>
    <m/>
    <m/>
    <m/>
    <m/>
  </r>
  <r>
    <x v="0"/>
    <s v="9"/>
    <s v="Dokumentation"/>
    <x v="0"/>
    <m/>
    <m/>
    <m/>
    <m/>
    <d v="2017-09-20T00:00:00"/>
    <d v="2017-12-22T00:00:00"/>
    <n v="81"/>
    <n v="0"/>
    <m/>
    <m/>
    <m/>
    <m/>
    <m/>
    <m/>
    <m/>
    <m/>
    <m/>
    <m/>
    <m/>
    <m/>
    <m/>
    <m/>
    <m/>
    <m/>
    <m/>
  </r>
  <r>
    <x v="0"/>
    <s v="10"/>
    <s v="Abschlusspräsentation provisorisch"/>
    <x v="0"/>
    <m/>
    <m/>
    <m/>
    <m/>
    <d v="2017-12-18T00:00:00"/>
    <d v="2018-01-26T00:00:00"/>
    <n v="35"/>
    <n v="0"/>
    <m/>
    <m/>
    <m/>
    <m/>
    <m/>
    <m/>
    <m/>
    <m/>
    <m/>
    <m/>
    <m/>
    <m/>
    <m/>
    <m/>
    <m/>
    <m/>
    <m/>
  </r>
  <r>
    <x v="0"/>
    <s v="11"/>
    <s v="Poster"/>
    <x v="0"/>
    <m/>
    <m/>
    <m/>
    <m/>
    <d v="2018-01-30T00:00:00"/>
    <d v="2018-01-30T00:00:00"/>
    <n v="1"/>
    <n v="0"/>
    <m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1"/>
    <x v="0"/>
    <m/>
    <m/>
    <m/>
    <m/>
    <m/>
    <d v="2017-09-18T00:00:00"/>
    <d v="2017-09-18T00:00:00"/>
    <n v="1"/>
    <n v="1"/>
    <m/>
    <m/>
    <m/>
    <m/>
    <m/>
    <m/>
    <m/>
    <m/>
    <m/>
    <m/>
    <m/>
    <m/>
    <m/>
    <m/>
    <m/>
    <m/>
    <m/>
  </r>
  <r>
    <x v="0"/>
    <s v="2"/>
    <x v="1"/>
    <m/>
    <m/>
    <m/>
    <m/>
    <m/>
    <d v="2017-09-25T00:00:00"/>
    <d v="2017-09-25T00:00:00"/>
    <n v="1"/>
    <n v="1"/>
    <m/>
    <m/>
    <m/>
    <m/>
    <m/>
    <m/>
    <m/>
    <m/>
    <m/>
    <m/>
    <m/>
    <m/>
    <m/>
    <m/>
    <m/>
    <m/>
    <m/>
  </r>
  <r>
    <x v="0"/>
    <s v="3"/>
    <x v="2"/>
    <m/>
    <m/>
    <m/>
    <m/>
    <m/>
    <d v="2017-09-18T00:00:00"/>
    <d v="2017-09-29T00:00:00"/>
    <n v="11"/>
    <n v="0.8"/>
    <m/>
    <m/>
    <m/>
    <m/>
    <m/>
    <m/>
    <m/>
    <m/>
    <m/>
    <m/>
    <m/>
    <m/>
    <m/>
    <m/>
    <m/>
    <m/>
    <m/>
  </r>
  <r>
    <x v="0"/>
    <s v="4"/>
    <x v="3"/>
    <m/>
    <m/>
    <m/>
    <m/>
    <m/>
    <d v="2017-09-25T00:00:00"/>
    <d v="2017-10-15T00:00:00"/>
    <n v="18"/>
    <n v="0"/>
    <m/>
    <m/>
    <m/>
    <m/>
    <m/>
    <m/>
    <m/>
    <m/>
    <m/>
    <m/>
    <m/>
    <m/>
    <m/>
    <m/>
    <m/>
    <m/>
    <m/>
  </r>
  <r>
    <x v="0"/>
    <s v="5"/>
    <x v="4"/>
    <m/>
    <m/>
    <m/>
    <m/>
    <m/>
    <d v="2017-10-09T00:00:00"/>
    <d v="2017-11-08T00:00:00"/>
    <n v="27"/>
    <n v="0"/>
    <m/>
    <m/>
    <m/>
    <m/>
    <m/>
    <m/>
    <m/>
    <m/>
    <m/>
    <m/>
    <m/>
    <m/>
    <m/>
    <m/>
    <m/>
    <m/>
    <m/>
  </r>
  <r>
    <x v="0"/>
    <s v="6"/>
    <x v="5"/>
    <m/>
    <m/>
    <m/>
    <m/>
    <m/>
    <d v="2017-11-03T00:00:00"/>
    <d v="2017-11-03T00:00:00"/>
    <n v="1"/>
    <n v="0"/>
    <m/>
    <m/>
    <m/>
    <m/>
    <m/>
    <m/>
    <m/>
    <m/>
    <m/>
    <m/>
    <m/>
    <m/>
    <m/>
    <m/>
    <m/>
    <m/>
    <m/>
  </r>
  <r>
    <x v="0"/>
    <s v="7"/>
    <x v="6"/>
    <m/>
    <m/>
    <m/>
    <m/>
    <m/>
    <d v="2017-11-06T00:00:00"/>
    <d v="2017-12-03T00:00:00"/>
    <n v="24"/>
    <n v="0"/>
    <m/>
    <m/>
    <m/>
    <m/>
    <m/>
    <m/>
    <m/>
    <m/>
    <m/>
    <m/>
    <m/>
    <m/>
    <m/>
    <m/>
    <m/>
    <m/>
    <m/>
  </r>
  <r>
    <x v="0"/>
    <s v="8"/>
    <x v="7"/>
    <m/>
    <m/>
    <m/>
    <m/>
    <m/>
    <d v="2017-11-29T00:00:00"/>
    <d v="2017-12-20T00:00:00"/>
    <n v="19"/>
    <n v="0"/>
    <m/>
    <m/>
    <m/>
    <m/>
    <m/>
    <m/>
    <m/>
    <m/>
    <m/>
    <m/>
    <m/>
    <m/>
    <m/>
    <m/>
    <m/>
    <m/>
    <m/>
  </r>
  <r>
    <x v="0"/>
    <s v="9"/>
    <x v="8"/>
    <m/>
    <m/>
    <m/>
    <m/>
    <m/>
    <d v="2017-09-20T00:00:00"/>
    <d v="2017-12-22T00:00:00"/>
    <n v="81"/>
    <n v="0"/>
    <m/>
    <m/>
    <m/>
    <m/>
    <m/>
    <m/>
    <m/>
    <m/>
    <m/>
    <m/>
    <m/>
    <m/>
    <m/>
    <m/>
    <m/>
    <m/>
    <m/>
  </r>
  <r>
    <x v="0"/>
    <s v="10"/>
    <x v="9"/>
    <m/>
    <m/>
    <m/>
    <m/>
    <m/>
    <d v="2017-12-18T00:00:00"/>
    <d v="2018-01-26T00:00:00"/>
    <n v="35"/>
    <n v="0"/>
    <m/>
    <m/>
    <m/>
    <m/>
    <m/>
    <m/>
    <m/>
    <m/>
    <m/>
    <m/>
    <m/>
    <m/>
    <m/>
    <m/>
    <m/>
    <m/>
    <m/>
  </r>
  <r>
    <x v="0"/>
    <s v="11"/>
    <x v="10"/>
    <m/>
    <m/>
    <m/>
    <m/>
    <m/>
    <d v="2018-01-30T00:00:00"/>
    <d v="2018-01-30T00:00:00"/>
    <n v="1"/>
    <n v="0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566083-81C7-4AF1-926C-7B6EE89DAD71}" name="PvtParentPerc" cacheId="15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9">
  <location ref="BN4:BO1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12">
        <item x="2"/>
        <item x="5"/>
        <item x="3"/>
        <item x="4"/>
        <item x="7"/>
        <item x="6"/>
        <item x="0"/>
        <item x="1"/>
        <item x="8"/>
        <item x="9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1">
    <i>
      <x v="5"/>
    </i>
    <i>
      <x v="4"/>
    </i>
    <i>
      <x v="10"/>
    </i>
    <i>
      <x v="1"/>
    </i>
    <i>
      <x v="3"/>
    </i>
    <i>
      <x v="8"/>
    </i>
    <i>
      <x v="2"/>
    </i>
    <i>
      <x v="9"/>
    </i>
    <i>
      <x/>
    </i>
    <i>
      <x v="7"/>
    </i>
    <i>
      <x v="6"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70">
      <pivotArea type="all" dataOnly="0" outline="0" fieldPosition="0"/>
    </format>
  </formats>
  <chartFormats count="2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53FA77-1A27-47D5-AECA-777C1CBF58C5}" name="PvtResourcePerc" cacheId="16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9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71">
      <pivotArea type="all" dataOnly="0" outline="0" fieldPosition="0"/>
    </format>
  </formats>
  <chartFormats count="5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231E7D-6620-42BE-A7A2-0BCC698C0728}" name="pvtResourceDur" cacheId="16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9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72">
      <pivotArea type="all" dataOnly="0" outline="0" fieldPosition="0"/>
    </format>
  </formats>
  <chartFormats count="3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A95C25-ADA5-4AE8-9C81-261B9CFBF53F}" name="PvtParentECS" cacheId="16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3">
  <location ref="BJ4:BK1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1">
        <item x="2"/>
        <item x="5"/>
        <item x="3"/>
        <item x="4"/>
        <item x="7"/>
        <item x="6"/>
        <item x="0"/>
        <item x="1"/>
        <item x="8"/>
        <item x="9"/>
        <item x="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1">
    <i>
      <x v="5"/>
    </i>
    <i>
      <x/>
    </i>
    <i>
      <x v="6"/>
    </i>
    <i>
      <x v="2"/>
    </i>
    <i>
      <x v="7"/>
    </i>
    <i>
      <x v="4"/>
    </i>
    <i>
      <x v="8"/>
    </i>
    <i>
      <x v="3"/>
    </i>
    <i>
      <x v="9"/>
    </i>
    <i>
      <x v="1"/>
    </i>
    <i>
      <x v="10"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73">
      <pivotArea type="all" dataOnly="0" outline="0" fieldPosition="0"/>
    </format>
  </formats>
  <chartFormats count="4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vtResourceDur" cacheId="15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62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vtResourcePerc" cacheId="15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63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vtParentPerc" cacheId="15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64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vtParentECS" cacheId="15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65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B4601D-7EDA-47CD-9ADE-5088B57A0272}" name="shData" displayName="shData" ref="AD2:BF13" totalsRowShown="0" headerRowDxfId="69" dataDxfId="68" tableBorderDxfId="67" headerRowCellStyle="Normal 3" dataCellStyle="Percent 2">
  <autoFilter ref="AD2:BF13" xr:uid="{00000000-0009-0000-0100-000001000000}"/>
  <tableColumns count="29">
    <tableColumn id="1" xr3:uid="{66E295D4-1674-491D-9279-F6F890B3FC52}" name="tType" dataDxfId="29"/>
    <tableColumn id="2" xr3:uid="{BFDD05CC-F078-4201-876D-9F4DD75E32F9}" name="WBS" dataDxfId="28" dataCellStyle="Normal 3"/>
    <tableColumn id="3" xr3:uid="{F4AF9ECA-12D4-422F-A8FA-0C3EFE43C01F}" name="Task" dataDxfId="27" dataCellStyle="Normal 3"/>
    <tableColumn id="4" xr3:uid="{BDC6ED6A-5BA2-4B8C-ABAC-EB1E96300D0A}" name="TaskLead" dataDxfId="26" dataCellStyle="Normal 3"/>
    <tableColumn id="18" xr3:uid="{57F00153-C5E9-4CA4-88A5-4F1C48FE69BD}" name="TaskLeadCost" dataDxfId="25" dataCellStyle="Normal 3"/>
    <tableColumn id="5" xr3:uid="{91A43BB4-EC96-4767-9F12-D8539DD6791C}" name="BSD" dataDxfId="24" dataCellStyle="Normal 3"/>
    <tableColumn id="6" xr3:uid="{2C1717DB-DAC4-44FF-9E44-DF758E0E5421}" name="BED" dataDxfId="23" dataCellStyle="Normal 3"/>
    <tableColumn id="7" xr3:uid="{24C26721-A4FF-4DDC-8D75-63F63E0C7779}" name="BD" dataDxfId="22" dataCellStyle="Normal 3"/>
    <tableColumn id="8" xr3:uid="{56A055E2-AE28-46BB-A904-4DA02E1EA210}" name="ESD" dataDxfId="21" dataCellStyle="Normal 3"/>
    <tableColumn id="9" xr3:uid="{C039FCBA-8EF3-48BB-B3BD-7F87250C22D7}" name="EED" dataDxfId="20" dataCellStyle="Normal 3"/>
    <tableColumn id="10" xr3:uid="{438B41AE-D0E3-439B-97DB-97863B0571A8}" name="ED" dataDxfId="19" dataCellStyle="Normal 3"/>
    <tableColumn id="11" xr3:uid="{4A6440CC-9D1C-4773-8DED-3CA752627267}" name="PercentageCompleted" dataDxfId="18" dataCellStyle="Normal 3"/>
    <tableColumn id="12" xr3:uid="{1159FD0B-B340-4DFD-9A2B-3E153173763C}" name="ASD" dataDxfId="17" dataCellStyle="Normal 3"/>
    <tableColumn id="13" xr3:uid="{7E024411-2769-486D-900B-11247401D9CE}" name="AED" dataDxfId="16" dataCellStyle="Normal 3"/>
    <tableColumn id="14" xr3:uid="{0AF08FE9-C1D7-4F6A-A9F4-2DA2719610E2}" name="AD" dataDxfId="15" dataCellStyle="Percent 2"/>
    <tableColumn id="15" xr3:uid="{27D475CA-09F0-4477-AC36-1B55383E374B}" name="BCS" dataDxfId="14" dataCellStyle="Percent 2"/>
    <tableColumn id="16" xr3:uid="{9F1BC8F5-6B17-44D1-93DE-7509412B7E15}" name="ECS" dataDxfId="13" dataCellStyle="Percent 2"/>
    <tableColumn id="17" xr3:uid="{3AD8FDD4-E384-4833-9664-BC7C14BAD896}" name="ACS" dataDxfId="12" dataCellStyle="Percent 2"/>
    <tableColumn id="19" xr3:uid="{A8B05E1A-F7C8-4402-B53A-319C0AF371AD}" name="Notes" dataDxfId="11" dataCellStyle="Percent 2"/>
    <tableColumn id="20" xr3:uid="{8CE38904-2665-4F3B-9FB8-3A3FA366022E}" name="CC1" dataDxfId="10" dataCellStyle="Percent 2"/>
    <tableColumn id="21" xr3:uid="{0801D386-5CDD-41B7-A871-A29621F00523}" name="CC2" dataDxfId="9" dataCellStyle="Percent 2"/>
    <tableColumn id="22" xr3:uid="{0CCCC4DB-3D18-4359-8A2A-B4530A14938E}" name="CC3" dataDxfId="8" dataCellStyle="Percent 2"/>
    <tableColumn id="23" xr3:uid="{734145B2-86BD-4920-BEB8-7864F59A446D}" name="CC4" dataDxfId="7" dataCellStyle="Percent 2"/>
    <tableColumn id="24" xr3:uid="{5302FD2C-025D-4F18-9D32-90CBCB55F06C}" name="CC5" dataDxfId="6" dataCellStyle="Percent 2"/>
    <tableColumn id="25" xr3:uid="{1C60CD81-B50A-4D7D-B697-9699BE016A72}" name="CC6" dataDxfId="5" dataCellStyle="Percent 2"/>
    <tableColumn id="26" xr3:uid="{4AB1821B-9A84-4770-AC81-ED27BC7A539B}" name="CC7" dataDxfId="4" dataCellStyle="Percent 2"/>
    <tableColumn id="27" xr3:uid="{267DF6D1-9359-4D5B-90AB-B22A8A10B48B}" name="CC8" dataDxfId="2" dataCellStyle="Percent 2"/>
    <tableColumn id="28" xr3:uid="{217FBA0B-66EF-4D48-B69E-B7BAA0A60B39}" name="CC9" dataDxfId="3" dataCellStyle="Percent 2"/>
    <tableColumn id="29" xr3:uid="{717BD4F0-0D52-4B13-BF0A-B363FEE01F01}" name="CC10" dataDxfId="66" dataCellStyle="Percent 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3" totalsRowShown="0" headerRowDxfId="61" dataDxfId="60" tableBorderDxfId="59" headerRowCellStyle="Normal 3" dataCellStyle="Percent 2">
  <autoFilter ref="AD2:BF3" xr:uid="{00000000-0009-0000-0100-000001000000}"/>
  <tableColumns count="29">
    <tableColumn id="1" xr3:uid="{00000000-0010-0000-0000-000001000000}" name="tType" dataDxfId="58"/>
    <tableColumn id="2" xr3:uid="{00000000-0010-0000-0000-000002000000}" name="WBS" dataDxfId="57" dataCellStyle="Normal 3"/>
    <tableColumn id="3" xr3:uid="{00000000-0010-0000-0000-000003000000}" name="Task" dataDxfId="56" dataCellStyle="Normal 3"/>
    <tableColumn id="4" xr3:uid="{00000000-0010-0000-0000-000004000000}" name="TaskLead" dataDxfId="55" dataCellStyle="Normal 3"/>
    <tableColumn id="18" xr3:uid="{00000000-0010-0000-0000-000012000000}" name="TaskLeadCost" dataDxfId="54" dataCellStyle="Normal 3"/>
    <tableColumn id="5" xr3:uid="{00000000-0010-0000-0000-000005000000}" name="BSD" dataDxfId="53" dataCellStyle="Normal 3"/>
    <tableColumn id="6" xr3:uid="{00000000-0010-0000-0000-000006000000}" name="BED" dataDxfId="52" dataCellStyle="Normal 3"/>
    <tableColumn id="7" xr3:uid="{00000000-0010-0000-0000-000007000000}" name="BD" dataDxfId="51" dataCellStyle="Normal 3"/>
    <tableColumn id="8" xr3:uid="{00000000-0010-0000-0000-000008000000}" name="ESD" dataDxfId="50" dataCellStyle="Normal 3"/>
    <tableColumn id="9" xr3:uid="{00000000-0010-0000-0000-000009000000}" name="EED" dataDxfId="49" dataCellStyle="Normal 3"/>
    <tableColumn id="10" xr3:uid="{00000000-0010-0000-0000-00000A000000}" name="ED" dataDxfId="48" dataCellStyle="Normal 3"/>
    <tableColumn id="11" xr3:uid="{00000000-0010-0000-0000-00000B000000}" name="PercentageCompleted" dataDxfId="47" dataCellStyle="Normal 3"/>
    <tableColumn id="12" xr3:uid="{00000000-0010-0000-0000-00000C000000}" name="ASD" dataDxfId="46" dataCellStyle="Normal 3"/>
    <tableColumn id="13" xr3:uid="{00000000-0010-0000-0000-00000D000000}" name="AED" dataDxfId="45" dataCellStyle="Normal 3"/>
    <tableColumn id="14" xr3:uid="{00000000-0010-0000-0000-00000E000000}" name="AD" dataDxfId="44" dataCellStyle="Percent 2"/>
    <tableColumn id="15" xr3:uid="{00000000-0010-0000-0000-00000F000000}" name="BCS" dataDxfId="43" dataCellStyle="Percent 2"/>
    <tableColumn id="16" xr3:uid="{00000000-0010-0000-0000-000010000000}" name="ECS" dataDxfId="42" dataCellStyle="Percent 2"/>
    <tableColumn id="17" xr3:uid="{00000000-0010-0000-0000-000011000000}" name="ACS" dataDxfId="41" dataCellStyle="Percent 2"/>
    <tableColumn id="19" xr3:uid="{00000000-0010-0000-0000-000013000000}" name="Notes" dataDxfId="40" dataCellStyle="Percent 2"/>
    <tableColumn id="20" xr3:uid="{00000000-0010-0000-0000-000014000000}" name="CC1" dataDxfId="39" dataCellStyle="Percent 2"/>
    <tableColumn id="21" xr3:uid="{00000000-0010-0000-0000-000015000000}" name="CC2" dataDxfId="38" dataCellStyle="Percent 2"/>
    <tableColumn id="22" xr3:uid="{00000000-0010-0000-0000-000016000000}" name="CC3" dataDxfId="37" dataCellStyle="Percent 2"/>
    <tableColumn id="23" xr3:uid="{00000000-0010-0000-0000-000017000000}" name="CC4" dataDxfId="36" dataCellStyle="Percent 2"/>
    <tableColumn id="24" xr3:uid="{00000000-0010-0000-0000-000018000000}" name="CC5" dataDxfId="35" dataCellStyle="Percent 2"/>
    <tableColumn id="25" xr3:uid="{00000000-0010-0000-0000-000019000000}" name="CC6" dataDxfId="34" dataCellStyle="Percent 2"/>
    <tableColumn id="26" xr3:uid="{00000000-0010-0000-0000-00001A000000}" name="CC7" dataDxfId="33" dataCellStyle="Percent 2"/>
    <tableColumn id="27" xr3:uid="{00000000-0010-0000-0000-00001B000000}" name="CC8" dataDxfId="32" dataCellStyle="Percent 2"/>
    <tableColumn id="28" xr3:uid="{00000000-0010-0000-0000-00001C000000}" name="CC9" dataDxfId="31" dataCellStyle="Percent 2"/>
    <tableColumn id="29" xr3:uid="{00000000-0010-0000-0000-00001D000000}" name="CC10" dataDxfId="3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2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ivotTable" Target="../pivotTables/pivotTable7.xml"/><Relationship Id="rId7" Type="http://schemas.openxmlformats.org/officeDocument/2006/relationships/vmlDrawing" Target="../drawings/vmlDrawing3.v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8.xml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8821-0872-4CEA-9FFA-669FC903123C}">
  <sheetPr codeName="Sheet5">
    <outlinePr summaryBelow="0"/>
    <pageSetUpPr fitToPage="1"/>
  </sheetPr>
  <dimension ref="A1:VTB44"/>
  <sheetViews>
    <sheetView showGridLines="0" showRowColHeaders="0" tabSelected="1" topLeftCell="G6" zoomScale="70" zoomScaleNormal="70" workbookViewId="0">
      <selection activeCell="AG36" sqref="AG36"/>
    </sheetView>
  </sheetViews>
  <sheetFormatPr baseColWidth="10" defaultColWidth="0" defaultRowHeight="16.149999999999999" customHeight="1" x14ac:dyDescent="0.2"/>
  <cols>
    <col min="1" max="1" width="5.28515625" style="45" hidden="1" customWidth="1"/>
    <col min="2" max="2" width="3.140625" style="45" hidden="1" customWidth="1"/>
    <col min="3" max="3" width="11.28515625" style="45" hidden="1" customWidth="1"/>
    <col min="4" max="4" width="11" style="45" hidden="1" customWidth="1"/>
    <col min="5" max="5" width="13" style="45" hidden="1" customWidth="1"/>
    <col min="6" max="6" width="12.28515625" style="45" hidden="1" customWidth="1"/>
    <col min="7" max="7" width="6.28515625" style="181" bestFit="1" customWidth="1"/>
    <col min="8" max="8" width="40.28515625" style="51" customWidth="1"/>
    <col min="9" max="9" width="17.28515625" style="51" customWidth="1"/>
    <col min="10" max="10" width="10.85546875" style="162" hidden="1" customWidth="1"/>
    <col min="11" max="12" width="14.7109375" style="50" hidden="1" customWidth="1"/>
    <col min="13" max="13" width="10.28515625" style="49" hidden="1" customWidth="1"/>
    <col min="14" max="15" width="14.7109375" style="143" customWidth="1"/>
    <col min="16" max="16" width="8.85546875" style="156" customWidth="1"/>
    <col min="17" max="17" width="8.7109375" style="151" customWidth="1"/>
    <col min="18" max="19" width="14.7109375" style="50" hidden="1" customWidth="1"/>
    <col min="20" max="20" width="8.7109375" style="49" hidden="1" customWidth="1"/>
    <col min="21" max="23" width="7" style="159" hidden="1" customWidth="1"/>
    <col min="24" max="24" width="14.28515625" style="48" hidden="1" customWidth="1"/>
    <col min="25" max="25" width="7.28515625" style="48" hidden="1" customWidth="1"/>
    <col min="26" max="26" width="6.28515625" style="48" hidden="1" customWidth="1"/>
    <col min="27" max="27" width="6.85546875" style="48" hidden="1" customWidth="1"/>
    <col min="28" max="28" width="6" style="48" hidden="1" customWidth="1"/>
    <col min="29" max="41" width="11" style="47" bestFit="1" customWidth="1"/>
    <col min="42" max="72" width="10.85546875" style="47" bestFit="1" customWidth="1"/>
    <col min="73" max="73" width="11.28515625" style="47" bestFit="1" customWidth="1"/>
    <col min="74" max="74" width="3.85546875" style="47" bestFit="1" customWidth="1"/>
    <col min="75" max="75" width="3.140625" style="47" bestFit="1" customWidth="1"/>
    <col min="76" max="77" width="3.85546875" style="47" bestFit="1" customWidth="1"/>
    <col min="78" max="78" width="4" style="47" bestFit="1" customWidth="1"/>
    <col min="79" max="79" width="3.140625" style="47" bestFit="1" customWidth="1"/>
    <col min="80" max="80" width="3.42578125" style="47" bestFit="1" customWidth="1"/>
    <col min="81" max="81" width="3.85546875" style="47" bestFit="1" customWidth="1"/>
    <col min="82" max="82" width="3.140625" style="47" bestFit="1" customWidth="1"/>
    <col min="83" max="84" width="3.85546875" style="47" bestFit="1" customWidth="1"/>
    <col min="85" max="85" width="9" style="46" hidden="1" customWidth="1"/>
    <col min="86" max="16384" width="9" style="45" hidden="1"/>
  </cols>
  <sheetData>
    <row r="1" spans="1:2129 15008:15070 15386:15394" ht="15" hidden="1" x14ac:dyDescent="0.25">
      <c r="A1" s="45" t="s">
        <v>17</v>
      </c>
      <c r="B1" s="45" t="s">
        <v>76</v>
      </c>
      <c r="C1" t="s">
        <v>75</v>
      </c>
      <c r="D1" s="45" t="s">
        <v>74</v>
      </c>
      <c r="E1" s="45" t="s">
        <v>73</v>
      </c>
      <c r="F1" s="45" t="s">
        <v>72</v>
      </c>
      <c r="G1" s="176" t="s">
        <v>44</v>
      </c>
      <c r="H1" s="99" t="s">
        <v>43</v>
      </c>
      <c r="I1" s="98" t="s">
        <v>42</v>
      </c>
      <c r="J1" s="96" t="s">
        <v>41</v>
      </c>
      <c r="K1" s="98" t="s">
        <v>40</v>
      </c>
      <c r="L1" s="97" t="s">
        <v>39</v>
      </c>
      <c r="M1" s="96" t="s">
        <v>38</v>
      </c>
      <c r="N1" s="139" t="s">
        <v>37</v>
      </c>
      <c r="O1" s="139" t="s">
        <v>35</v>
      </c>
      <c r="P1" s="152" t="s">
        <v>33</v>
      </c>
      <c r="Q1" s="144" t="s">
        <v>32</v>
      </c>
      <c r="R1" s="97" t="s">
        <v>36</v>
      </c>
      <c r="S1" s="97" t="s">
        <v>34</v>
      </c>
      <c r="T1" s="96" t="s">
        <v>31</v>
      </c>
      <c r="U1" s="164" t="s">
        <v>30</v>
      </c>
      <c r="V1" s="164" t="s">
        <v>29</v>
      </c>
      <c r="W1" s="164" t="s">
        <v>28</v>
      </c>
      <c r="X1" s="95" t="s">
        <v>27</v>
      </c>
      <c r="Y1" s="33" t="s">
        <v>145</v>
      </c>
      <c r="Z1" s="33" t="s">
        <v>144</v>
      </c>
      <c r="AA1" s="33" t="s">
        <v>170</v>
      </c>
      <c r="AB1" s="33" t="s">
        <v>171</v>
      </c>
      <c r="AC1" s="47" t="s">
        <v>143</v>
      </c>
      <c r="CF1" s="47" t="s">
        <v>142</v>
      </c>
      <c r="CCW1" s="45" t="s">
        <v>141</v>
      </c>
      <c r="VEF1" s="45" t="s">
        <v>140</v>
      </c>
      <c r="VEG1" s="45" t="s">
        <v>4</v>
      </c>
      <c r="VEH1" s="45" t="s">
        <v>6</v>
      </c>
      <c r="VEI1" s="45" t="s">
        <v>139</v>
      </c>
      <c r="VEJ1" s="45" t="s">
        <v>138</v>
      </c>
      <c r="VEK1" s="45" t="s">
        <v>137</v>
      </c>
      <c r="VEL1" s="45" t="s">
        <v>136</v>
      </c>
      <c r="VEM1" s="45" t="s">
        <v>135</v>
      </c>
      <c r="VEN1" s="45" t="s">
        <v>134</v>
      </c>
      <c r="VEO1" s="45" t="s">
        <v>133</v>
      </c>
      <c r="VEP1" s="45" t="s">
        <v>179</v>
      </c>
      <c r="VEQ1" s="45" t="s">
        <v>180</v>
      </c>
      <c r="VER1" s="45" t="s">
        <v>172</v>
      </c>
      <c r="VES1" s="45" t="s">
        <v>173</v>
      </c>
      <c r="VET1" s="45" t="s">
        <v>132</v>
      </c>
      <c r="VEU1" s="45" t="s">
        <v>131</v>
      </c>
      <c r="VEV1" s="45" t="s">
        <v>130</v>
      </c>
      <c r="VEW1" s="45" t="s">
        <v>129</v>
      </c>
      <c r="VEX1" s="45" t="s">
        <v>128</v>
      </c>
      <c r="VEY1" s="45" t="s">
        <v>127</v>
      </c>
      <c r="VEZ1" s="45" t="s">
        <v>126</v>
      </c>
      <c r="VFA1" s="45" t="s">
        <v>125</v>
      </c>
      <c r="VFB1" s="45" t="s">
        <v>124</v>
      </c>
      <c r="VFC1" s="45" t="s">
        <v>123</v>
      </c>
      <c r="VFD1" s="45" t="s">
        <v>122</v>
      </c>
      <c r="VFE1" s="45" t="s">
        <v>121</v>
      </c>
      <c r="VFF1" s="45" t="s">
        <v>120</v>
      </c>
      <c r="VFG1" s="45" t="s">
        <v>119</v>
      </c>
      <c r="VFH1" s="45" t="s">
        <v>118</v>
      </c>
      <c r="VFI1" s="45" t="s">
        <v>117</v>
      </c>
      <c r="VFJ1" s="45" t="s">
        <v>116</v>
      </c>
      <c r="VFK1" s="45" t="s">
        <v>115</v>
      </c>
      <c r="VFL1" s="45" t="s">
        <v>114</v>
      </c>
      <c r="VFM1" s="45" t="s">
        <v>166</v>
      </c>
      <c r="VFN1" s="45" t="s">
        <v>113</v>
      </c>
      <c r="VFO1" s="45" t="s">
        <v>112</v>
      </c>
      <c r="VFP1" s="45" t="s">
        <v>111</v>
      </c>
      <c r="VFQ1" s="45" t="s">
        <v>110</v>
      </c>
      <c r="VFR1" s="45" t="s">
        <v>109</v>
      </c>
      <c r="VFS1" s="45" t="s">
        <v>108</v>
      </c>
      <c r="VFT1" s="45" t="s">
        <v>107</v>
      </c>
      <c r="VFU1" s="45" t="s">
        <v>106</v>
      </c>
      <c r="VFV1" s="45" t="s">
        <v>105</v>
      </c>
      <c r="VFW1" s="45" t="s">
        <v>104</v>
      </c>
      <c r="VFX1" s="45" t="s">
        <v>103</v>
      </c>
      <c r="VFY1" s="45" t="s">
        <v>102</v>
      </c>
      <c r="VFZ1" s="45" t="s">
        <v>101</v>
      </c>
      <c r="VGA1" s="45" t="s">
        <v>100</v>
      </c>
      <c r="VGB1" s="45" t="s">
        <v>99</v>
      </c>
      <c r="VGC1" s="45" t="s">
        <v>98</v>
      </c>
      <c r="VGD1" s="45" t="s">
        <v>97</v>
      </c>
      <c r="VGE1" s="45" t="s">
        <v>96</v>
      </c>
      <c r="VGF1" s="45" t="s">
        <v>95</v>
      </c>
      <c r="VGG1" s="45" t="s">
        <v>94</v>
      </c>
      <c r="VGH1" s="45" t="s">
        <v>93</v>
      </c>
      <c r="VGI1" s="45" t="s">
        <v>92</v>
      </c>
      <c r="VGJ1" s="45" t="s">
        <v>91</v>
      </c>
      <c r="VGK1" s="45" t="s">
        <v>156</v>
      </c>
      <c r="VGL1" s="45" t="s">
        <v>157</v>
      </c>
      <c r="VGM1" s="45" t="s">
        <v>158</v>
      </c>
      <c r="VGN1" s="45" t="s">
        <v>165</v>
      </c>
      <c r="VGO1" s="45" t="s">
        <v>175</v>
      </c>
      <c r="VGP1" s="45" t="s">
        <v>176</v>
      </c>
    </row>
    <row r="2" spans="1:2129 15008:15070 15386:15394" ht="12.75" hidden="1" x14ac:dyDescent="0.2">
      <c r="A2" s="108" t="s">
        <v>90</v>
      </c>
      <c r="B2" s="108" t="s">
        <v>90</v>
      </c>
      <c r="C2" s="108" t="s">
        <v>90</v>
      </c>
      <c r="D2" s="108" t="s">
        <v>90</v>
      </c>
      <c r="E2" s="108" t="s">
        <v>90</v>
      </c>
      <c r="F2" s="108" t="s">
        <v>90</v>
      </c>
      <c r="G2" s="176" t="s">
        <v>90</v>
      </c>
      <c r="H2" s="99" t="s">
        <v>90</v>
      </c>
      <c r="I2" s="98" t="s">
        <v>90</v>
      </c>
      <c r="J2" s="96" t="s">
        <v>90</v>
      </c>
      <c r="K2" s="98" t="s">
        <v>90</v>
      </c>
      <c r="L2" s="97" t="s">
        <v>90</v>
      </c>
      <c r="M2" s="96" t="s">
        <v>90</v>
      </c>
      <c r="N2" s="139" t="s">
        <v>90</v>
      </c>
      <c r="O2" s="139" t="s">
        <v>90</v>
      </c>
      <c r="P2" s="152" t="s">
        <v>90</v>
      </c>
      <c r="Q2" s="145" t="s">
        <v>90</v>
      </c>
      <c r="R2" s="97" t="s">
        <v>90</v>
      </c>
      <c r="S2" s="97" t="s">
        <v>90</v>
      </c>
      <c r="T2" s="96" t="s">
        <v>90</v>
      </c>
      <c r="U2" s="152" t="s">
        <v>90</v>
      </c>
      <c r="V2" s="152" t="s">
        <v>90</v>
      </c>
      <c r="W2" s="152" t="s">
        <v>90</v>
      </c>
      <c r="X2" s="107" t="s">
        <v>90</v>
      </c>
      <c r="Y2" s="134" t="s">
        <v>90</v>
      </c>
      <c r="Z2" s="134" t="s">
        <v>90</v>
      </c>
      <c r="AA2" s="134" t="s">
        <v>90</v>
      </c>
      <c r="AB2" s="134" t="s">
        <v>90</v>
      </c>
      <c r="VEF2" s="103" t="b">
        <v>1</v>
      </c>
      <c r="VEG2" s="103" t="s">
        <v>159</v>
      </c>
      <c r="VEH2" s="103" t="s">
        <v>159</v>
      </c>
      <c r="VEI2" s="103"/>
      <c r="VEJ2" s="103">
        <v>0</v>
      </c>
      <c r="VEK2" s="106">
        <v>2158758</v>
      </c>
      <c r="VEL2" s="106">
        <v>9041872</v>
      </c>
      <c r="VEM2" s="106">
        <v>15773696</v>
      </c>
      <c r="VEN2" s="106">
        <v>10086143</v>
      </c>
      <c r="VEO2" s="103">
        <v>15773696</v>
      </c>
      <c r="VEP2" s="103">
        <v>255</v>
      </c>
      <c r="VEQ2" s="103">
        <v>0</v>
      </c>
      <c r="VER2" s="103">
        <v>0</v>
      </c>
      <c r="VES2" s="103">
        <v>0</v>
      </c>
      <c r="VET2" s="103" t="s">
        <v>8</v>
      </c>
      <c r="VEU2" s="105"/>
      <c r="VEV2" s="105"/>
      <c r="VEW2" s="105"/>
      <c r="VEX2" s="105"/>
      <c r="VEY2" s="103">
        <v>1</v>
      </c>
      <c r="VEZ2" s="103" t="s">
        <v>89</v>
      </c>
      <c r="VFA2" s="103">
        <v>1</v>
      </c>
      <c r="VFB2" s="103">
        <v>1</v>
      </c>
      <c r="VFC2" s="103">
        <v>1</v>
      </c>
      <c r="VFD2" s="103">
        <v>1</v>
      </c>
      <c r="VFE2" s="103"/>
      <c r="VFF2" s="103">
        <v>1</v>
      </c>
      <c r="VFG2" s="103">
        <v>1</v>
      </c>
      <c r="VFH2" s="103">
        <v>1</v>
      </c>
      <c r="VFI2" s="103">
        <v>1</v>
      </c>
      <c r="VFJ2" s="103">
        <v>1</v>
      </c>
      <c r="VFK2" s="103" t="b">
        <v>1</v>
      </c>
      <c r="VFL2" s="103">
        <v>1</v>
      </c>
      <c r="VFM2" s="45" t="s">
        <v>193</v>
      </c>
      <c r="VFN2" s="103">
        <v>1</v>
      </c>
      <c r="VFO2" s="104">
        <v>16</v>
      </c>
      <c r="VFP2" s="103">
        <v>1</v>
      </c>
      <c r="VFQ2" s="45">
        <v>1</v>
      </c>
      <c r="VFR2" s="45">
        <v>1</v>
      </c>
      <c r="VFS2" s="45" t="s">
        <v>181</v>
      </c>
      <c r="VFT2" s="45">
        <v>8</v>
      </c>
      <c r="VFU2" s="45">
        <v>0</v>
      </c>
      <c r="VFV2" s="45" t="s">
        <v>88</v>
      </c>
      <c r="VFW2" s="45">
        <v>1</v>
      </c>
      <c r="VFX2" s="45">
        <v>1</v>
      </c>
      <c r="VFY2" s="45">
        <v>0</v>
      </c>
      <c r="VFZ2" s="102" t="s">
        <v>184</v>
      </c>
      <c r="VGA2" s="102" t="s">
        <v>183</v>
      </c>
      <c r="VGB2" s="102" t="s">
        <v>182</v>
      </c>
      <c r="VGD2" s="45">
        <v>0</v>
      </c>
      <c r="VGE2" s="45">
        <v>25</v>
      </c>
      <c r="VGF2" s="45">
        <v>10</v>
      </c>
      <c r="VGG2" s="45" t="s">
        <v>43</v>
      </c>
      <c r="VGH2" s="45">
        <v>0</v>
      </c>
      <c r="VGI2" s="45">
        <v>0</v>
      </c>
      <c r="VGJ2" s="45">
        <v>0</v>
      </c>
      <c r="VGK2" s="45">
        <v>12566463</v>
      </c>
      <c r="VGL2" s="45">
        <v>16777164</v>
      </c>
      <c r="VGM2" s="70" t="s">
        <v>185</v>
      </c>
      <c r="VGN2" s="45" t="s">
        <v>186</v>
      </c>
      <c r="VGO2" s="45" t="s">
        <v>177</v>
      </c>
      <c r="VGP2" s="45" t="s">
        <v>178</v>
      </c>
    </row>
    <row r="3" spans="1:2129 15008:15070 15386:15394" ht="12.75" hidden="1" x14ac:dyDescent="0.2">
      <c r="A3" s="103"/>
      <c r="G3" s="176" t="s">
        <v>191</v>
      </c>
      <c r="H3" s="99"/>
      <c r="I3" s="98"/>
      <c r="J3" s="96"/>
      <c r="K3" s="98"/>
      <c r="L3" s="97"/>
      <c r="M3" s="96"/>
      <c r="N3" s="139"/>
      <c r="O3" s="139"/>
      <c r="P3" s="152"/>
      <c r="Q3" s="144"/>
      <c r="R3" s="97"/>
      <c r="S3" s="97"/>
      <c r="T3" s="96"/>
      <c r="U3" s="164"/>
      <c r="V3" s="164"/>
      <c r="W3" s="164"/>
      <c r="X3" s="95"/>
      <c r="Y3" s="33"/>
      <c r="Z3" s="33"/>
      <c r="AA3" s="33"/>
      <c r="AB3" s="33"/>
      <c r="VEU3" s="101"/>
    </row>
    <row r="4" spans="1:2129 15008:15070 15386:15394" ht="12.75" hidden="1" x14ac:dyDescent="0.2">
      <c r="G4" s="176" t="s">
        <v>191</v>
      </c>
      <c r="H4" s="99"/>
      <c r="I4" s="98"/>
      <c r="J4" s="96"/>
      <c r="K4" s="98"/>
      <c r="L4" s="97"/>
      <c r="M4" s="96"/>
      <c r="N4" s="139"/>
      <c r="O4" s="139"/>
      <c r="P4" s="152"/>
      <c r="Q4" s="144"/>
      <c r="R4" s="97"/>
      <c r="S4" s="97"/>
      <c r="T4" s="96"/>
      <c r="U4" s="164"/>
      <c r="V4" s="164"/>
      <c r="W4" s="164"/>
      <c r="X4" s="95"/>
      <c r="Y4" s="33"/>
      <c r="Z4" s="33"/>
      <c r="AA4" s="33"/>
      <c r="AB4" s="33"/>
    </row>
    <row r="5" spans="1:2129 15008:15070 15386:15394" ht="12.75" hidden="1" x14ac:dyDescent="0.2">
      <c r="G5" s="176" t="s">
        <v>191</v>
      </c>
      <c r="H5" s="99"/>
      <c r="I5" s="98"/>
      <c r="J5" s="96"/>
      <c r="K5" s="98"/>
      <c r="L5" s="97"/>
      <c r="M5" s="96"/>
      <c r="N5" s="139"/>
      <c r="O5" s="139"/>
      <c r="P5" s="152"/>
      <c r="Q5" s="144"/>
      <c r="R5" s="97"/>
      <c r="S5" s="97"/>
      <c r="T5" s="96"/>
      <c r="U5" s="164"/>
      <c r="V5" s="164"/>
      <c r="W5" s="164"/>
      <c r="X5" s="95"/>
      <c r="Y5" s="33"/>
      <c r="Z5" s="33"/>
      <c r="AA5" s="33"/>
      <c r="AB5" s="33"/>
    </row>
    <row r="6" spans="1:2129 15008:15070 15386:15394" ht="20.25" customHeight="1" x14ac:dyDescent="0.2">
      <c r="G6" s="177" t="s">
        <v>194</v>
      </c>
      <c r="H6" s="92"/>
      <c r="I6" s="92"/>
      <c r="J6" s="94"/>
      <c r="K6" s="92"/>
      <c r="L6" s="92"/>
      <c r="M6" s="94"/>
      <c r="N6" s="93"/>
      <c r="O6" s="93"/>
      <c r="P6" s="153"/>
      <c r="Q6" s="146"/>
      <c r="R6" s="92"/>
      <c r="S6" s="92"/>
      <c r="T6" s="94"/>
      <c r="U6" s="153"/>
      <c r="V6" s="153"/>
      <c r="W6" s="153"/>
      <c r="X6" s="92"/>
      <c r="Y6" s="92"/>
      <c r="Z6" s="92"/>
      <c r="AA6" s="92"/>
      <c r="AB6" s="92"/>
      <c r="AC6" s="91">
        <v>42996</v>
      </c>
      <c r="AD6" s="91">
        <v>42997</v>
      </c>
      <c r="AE6" s="91">
        <v>42998</v>
      </c>
      <c r="AF6" s="91">
        <v>42999</v>
      </c>
      <c r="AG6" s="91">
        <v>43000</v>
      </c>
      <c r="AH6" s="91">
        <v>43001</v>
      </c>
      <c r="AI6" s="91">
        <v>43002</v>
      </c>
      <c r="AJ6" s="91">
        <v>43003</v>
      </c>
      <c r="AK6" s="91">
        <v>43004</v>
      </c>
      <c r="AL6" s="91">
        <v>43005</v>
      </c>
      <c r="AM6" s="91">
        <v>43006</v>
      </c>
      <c r="AN6" s="91">
        <v>43007</v>
      </c>
      <c r="AO6" s="91">
        <v>43008</v>
      </c>
      <c r="AP6" s="91">
        <v>43009</v>
      </c>
      <c r="AQ6" s="91">
        <v>43010</v>
      </c>
      <c r="AR6" s="91">
        <v>43011</v>
      </c>
      <c r="AS6" s="91">
        <v>43012</v>
      </c>
      <c r="AT6" s="91">
        <v>43013</v>
      </c>
      <c r="AU6" s="91">
        <v>43014</v>
      </c>
      <c r="AV6" s="91">
        <v>43015</v>
      </c>
      <c r="AW6" s="91">
        <v>43016</v>
      </c>
      <c r="AX6" s="91">
        <v>43017</v>
      </c>
      <c r="AY6" s="91">
        <v>43018</v>
      </c>
      <c r="AZ6" s="91">
        <v>43019</v>
      </c>
      <c r="BA6" s="91">
        <v>43020</v>
      </c>
      <c r="BB6" s="91">
        <v>43021</v>
      </c>
      <c r="BC6" s="91">
        <v>43022</v>
      </c>
      <c r="BD6" s="91">
        <v>43023</v>
      </c>
      <c r="BE6" s="91">
        <v>43024</v>
      </c>
      <c r="BF6" s="91">
        <v>43025</v>
      </c>
      <c r="BG6" s="91">
        <v>43026</v>
      </c>
      <c r="BH6" s="91">
        <v>43027</v>
      </c>
      <c r="BI6" s="91">
        <v>43028</v>
      </c>
      <c r="BJ6" s="91">
        <v>43029</v>
      </c>
      <c r="BK6" s="91">
        <v>43030</v>
      </c>
      <c r="BL6" s="91">
        <v>43031</v>
      </c>
      <c r="BM6" s="91">
        <v>43032</v>
      </c>
      <c r="BN6" s="91">
        <v>43033</v>
      </c>
      <c r="BO6" s="91">
        <v>43034</v>
      </c>
      <c r="BP6" s="91">
        <v>43035</v>
      </c>
      <c r="BQ6" s="91">
        <v>43036</v>
      </c>
      <c r="BR6" s="91">
        <v>43037</v>
      </c>
      <c r="BS6" s="91">
        <v>43038</v>
      </c>
      <c r="BT6" s="91">
        <v>43039</v>
      </c>
      <c r="BU6" s="91">
        <v>43040</v>
      </c>
      <c r="BV6" s="91">
        <v>43041</v>
      </c>
      <c r="BW6" s="91">
        <v>43042</v>
      </c>
      <c r="BX6" s="91">
        <v>43043</v>
      </c>
      <c r="BY6" s="91">
        <v>43044</v>
      </c>
      <c r="BZ6" s="91">
        <v>43045</v>
      </c>
      <c r="CA6" s="91">
        <v>43046</v>
      </c>
      <c r="CB6" s="91">
        <v>43047</v>
      </c>
      <c r="CC6" s="91">
        <v>43048</v>
      </c>
      <c r="CD6" s="91">
        <v>43049</v>
      </c>
      <c r="CE6" s="91">
        <v>43050</v>
      </c>
      <c r="CF6" s="91">
        <v>43051</v>
      </c>
      <c r="CG6" s="91">
        <v>43052</v>
      </c>
      <c r="CH6" s="91"/>
      <c r="CI6" s="91"/>
      <c r="CJ6" s="91"/>
      <c r="CK6" s="91"/>
      <c r="CL6" s="91"/>
      <c r="CM6" s="91"/>
      <c r="CN6" s="91"/>
      <c r="CO6" s="91"/>
      <c r="CP6" s="91"/>
      <c r="CQ6" s="91"/>
      <c r="CR6" s="91"/>
      <c r="CS6" s="91"/>
      <c r="CT6" s="91"/>
      <c r="CU6" s="91"/>
      <c r="CV6" s="91"/>
      <c r="CW6" s="91"/>
      <c r="CX6" s="91"/>
      <c r="CY6" s="91"/>
      <c r="CZ6" s="91"/>
      <c r="DA6" s="91"/>
      <c r="DB6" s="91"/>
      <c r="DC6" s="91"/>
      <c r="DD6" s="91"/>
      <c r="DE6" s="91"/>
      <c r="DF6" s="91"/>
      <c r="DG6" s="91"/>
      <c r="DH6" s="91"/>
      <c r="DI6" s="91"/>
      <c r="DJ6" s="91"/>
      <c r="DK6" s="91"/>
      <c r="DL6" s="91"/>
      <c r="DM6" s="91"/>
      <c r="DN6" s="91"/>
      <c r="DO6" s="91"/>
      <c r="DP6" s="91"/>
      <c r="DQ6" s="91"/>
      <c r="DR6" s="91"/>
      <c r="DS6" s="91"/>
      <c r="DT6" s="91"/>
      <c r="DU6" s="91"/>
      <c r="DV6" s="91"/>
      <c r="DW6" s="91"/>
      <c r="DX6" s="91"/>
      <c r="DY6" s="91"/>
      <c r="DZ6" s="91"/>
      <c r="EA6" s="91"/>
      <c r="EB6" s="91"/>
      <c r="EC6" s="91"/>
      <c r="ED6" s="91"/>
      <c r="EE6" s="91"/>
      <c r="EF6" s="91"/>
      <c r="EG6" s="91"/>
      <c r="EH6" s="91"/>
      <c r="EI6" s="91"/>
      <c r="EJ6" s="91"/>
      <c r="EK6" s="91"/>
      <c r="EL6" s="91"/>
      <c r="EM6" s="91"/>
      <c r="EN6" s="91"/>
      <c r="EO6" s="91"/>
      <c r="EP6" s="91"/>
      <c r="EQ6" s="91"/>
      <c r="ER6" s="91"/>
      <c r="ES6" s="91"/>
      <c r="ET6" s="91"/>
      <c r="EU6" s="91"/>
      <c r="EV6" s="91"/>
      <c r="EW6" s="91"/>
      <c r="EX6" s="91"/>
      <c r="EY6" s="91"/>
      <c r="EZ6" s="91"/>
      <c r="FA6" s="91"/>
      <c r="FB6" s="91"/>
      <c r="FC6" s="91"/>
      <c r="FD6" s="91"/>
      <c r="FE6" s="91"/>
      <c r="FF6" s="91"/>
      <c r="FG6" s="91"/>
      <c r="FH6" s="91"/>
      <c r="FI6" s="91"/>
      <c r="FJ6" s="91"/>
      <c r="FK6" s="91"/>
      <c r="FL6" s="91"/>
      <c r="FM6" s="91"/>
      <c r="FN6" s="91"/>
      <c r="FO6" s="91"/>
      <c r="FP6" s="91"/>
      <c r="FQ6" s="91"/>
      <c r="FR6" s="91"/>
      <c r="FS6" s="91"/>
      <c r="FT6" s="91"/>
      <c r="FU6" s="91"/>
      <c r="FV6" s="91"/>
      <c r="FW6" s="91"/>
      <c r="FX6" s="91"/>
      <c r="FY6" s="91"/>
      <c r="FZ6" s="91"/>
      <c r="GA6" s="91"/>
      <c r="GB6" s="91"/>
      <c r="GC6" s="91"/>
      <c r="GD6" s="91"/>
      <c r="GE6" s="91"/>
      <c r="GF6" s="91"/>
      <c r="GG6" s="91"/>
      <c r="GH6" s="91"/>
      <c r="GI6" s="91"/>
      <c r="GJ6" s="91"/>
      <c r="GK6" s="91"/>
      <c r="GL6" s="91"/>
      <c r="GM6" s="91"/>
      <c r="GN6" s="91"/>
      <c r="GO6" s="91"/>
      <c r="GP6" s="91"/>
      <c r="GQ6" s="91"/>
      <c r="GR6" s="91"/>
      <c r="GS6" s="91"/>
      <c r="GT6" s="91"/>
      <c r="GU6" s="91"/>
      <c r="GV6" s="91"/>
      <c r="GW6" s="91"/>
      <c r="GX6" s="91"/>
      <c r="GY6" s="91"/>
      <c r="GZ6" s="91"/>
      <c r="HA6" s="91"/>
      <c r="HB6" s="91"/>
      <c r="HC6" s="91"/>
      <c r="HD6" s="91"/>
      <c r="HE6" s="91"/>
      <c r="HF6" s="91"/>
      <c r="HG6" s="91"/>
      <c r="HH6" s="91"/>
      <c r="HI6" s="91"/>
      <c r="HJ6" s="91"/>
      <c r="HK6" s="91"/>
      <c r="HL6" s="91"/>
      <c r="HM6" s="91"/>
      <c r="HN6" s="91"/>
      <c r="HO6" s="91"/>
      <c r="HP6" s="91"/>
      <c r="HQ6" s="91"/>
      <c r="HR6" s="91"/>
      <c r="HS6" s="91"/>
      <c r="HT6" s="91"/>
      <c r="HU6" s="91"/>
      <c r="HV6" s="91"/>
      <c r="HW6" s="91"/>
      <c r="HX6" s="91"/>
      <c r="HY6" s="91"/>
      <c r="HZ6" s="91"/>
      <c r="IA6" s="91"/>
      <c r="IB6" s="91"/>
      <c r="IC6" s="91"/>
      <c r="ID6" s="91"/>
      <c r="IE6" s="91"/>
      <c r="IF6" s="91"/>
      <c r="IG6" s="91"/>
      <c r="IH6" s="91"/>
      <c r="II6" s="91"/>
      <c r="IJ6" s="91"/>
      <c r="IK6" s="91"/>
      <c r="IL6" s="91"/>
      <c r="IM6" s="91"/>
      <c r="IN6" s="91"/>
      <c r="IO6" s="91"/>
      <c r="IP6" s="91"/>
      <c r="IQ6" s="91"/>
      <c r="IR6" s="91"/>
      <c r="IS6" s="91"/>
      <c r="IT6" s="91"/>
      <c r="IU6" s="91"/>
      <c r="IV6" s="91"/>
      <c r="IW6" s="91"/>
      <c r="IX6" s="91"/>
      <c r="IY6" s="91"/>
      <c r="IZ6" s="91"/>
      <c r="JA6" s="91"/>
      <c r="JB6" s="91"/>
      <c r="JC6" s="91"/>
      <c r="JD6" s="91"/>
      <c r="JE6" s="91"/>
      <c r="JF6" s="91"/>
      <c r="JG6" s="91"/>
      <c r="JH6" s="91"/>
      <c r="JI6" s="91"/>
      <c r="JJ6" s="91"/>
      <c r="JK6" s="91"/>
      <c r="JL6" s="91"/>
      <c r="JM6" s="91"/>
      <c r="JN6" s="91"/>
      <c r="JO6" s="91"/>
      <c r="JP6" s="91"/>
      <c r="JQ6" s="91"/>
      <c r="JR6" s="91"/>
      <c r="JS6" s="91"/>
      <c r="JT6" s="91"/>
      <c r="JU6" s="91"/>
      <c r="JV6" s="91"/>
      <c r="JW6" s="91"/>
      <c r="JX6" s="91"/>
      <c r="JY6" s="91"/>
      <c r="JZ6" s="91"/>
      <c r="KA6" s="91"/>
      <c r="KB6" s="91"/>
      <c r="KC6" s="91"/>
      <c r="KD6" s="91"/>
      <c r="KE6" s="91"/>
      <c r="KF6" s="91"/>
      <c r="KG6" s="91"/>
      <c r="KH6" s="91"/>
      <c r="KI6" s="91"/>
      <c r="KJ6" s="91"/>
      <c r="KK6" s="91"/>
      <c r="KL6" s="91"/>
      <c r="KM6" s="91"/>
      <c r="KN6" s="91"/>
      <c r="KO6" s="91"/>
      <c r="KP6" s="91"/>
      <c r="KQ6" s="91"/>
      <c r="KR6" s="91"/>
      <c r="KS6" s="91"/>
      <c r="KT6" s="91"/>
      <c r="KU6" s="91"/>
      <c r="KV6" s="91"/>
      <c r="KW6" s="91"/>
      <c r="KX6" s="91"/>
      <c r="KY6" s="91"/>
      <c r="KZ6" s="91"/>
      <c r="LA6" s="91"/>
      <c r="LB6" s="91"/>
      <c r="LC6" s="91"/>
      <c r="LD6" s="91"/>
      <c r="LE6" s="91"/>
      <c r="LF6" s="91"/>
      <c r="LG6" s="91"/>
      <c r="LH6" s="91"/>
      <c r="LI6" s="91"/>
      <c r="LJ6" s="91"/>
      <c r="LK6" s="91"/>
      <c r="LL6" s="91"/>
      <c r="LM6" s="91"/>
      <c r="LN6" s="91"/>
      <c r="LO6" s="91"/>
      <c r="LP6" s="91"/>
      <c r="LQ6" s="91"/>
      <c r="LR6" s="91"/>
      <c r="LS6" s="91"/>
      <c r="LT6" s="91"/>
      <c r="LU6" s="91"/>
      <c r="LV6" s="91"/>
      <c r="LW6" s="91"/>
      <c r="LX6" s="91"/>
      <c r="LY6" s="91"/>
      <c r="LZ6" s="91"/>
      <c r="MA6" s="91"/>
      <c r="MB6" s="91"/>
      <c r="MC6" s="91"/>
      <c r="MD6" s="91"/>
      <c r="ME6" s="91"/>
      <c r="MF6" s="91"/>
      <c r="MG6" s="91"/>
      <c r="MH6" s="91"/>
      <c r="MI6" s="91"/>
      <c r="MJ6" s="91"/>
      <c r="MK6" s="91"/>
      <c r="ML6" s="91"/>
      <c r="MM6" s="91"/>
      <c r="MN6" s="91"/>
      <c r="MO6" s="91"/>
      <c r="MP6" s="91"/>
      <c r="MQ6" s="91"/>
      <c r="MR6" s="91"/>
      <c r="MS6" s="91"/>
      <c r="MT6" s="91"/>
      <c r="MU6" s="91"/>
      <c r="MV6" s="91"/>
      <c r="MW6" s="91"/>
      <c r="MX6" s="91"/>
      <c r="MY6" s="91"/>
      <c r="MZ6" s="91"/>
      <c r="NA6" s="91"/>
      <c r="NB6" s="91"/>
      <c r="NC6" s="91"/>
      <c r="ND6" s="91"/>
      <c r="NE6" s="91"/>
      <c r="NF6" s="91"/>
      <c r="NG6" s="91"/>
      <c r="NH6" s="91"/>
      <c r="NI6" s="91"/>
      <c r="NJ6" s="91"/>
      <c r="NK6" s="91"/>
      <c r="NL6" s="91"/>
      <c r="NM6" s="91"/>
      <c r="NN6" s="91"/>
      <c r="NO6" s="91"/>
      <c r="NP6" s="91"/>
      <c r="NQ6" s="91"/>
      <c r="NR6" s="91"/>
      <c r="NS6" s="91"/>
      <c r="NT6" s="91"/>
      <c r="NU6" s="91"/>
      <c r="NV6" s="91"/>
      <c r="NW6" s="91"/>
      <c r="NX6" s="91"/>
      <c r="NY6" s="91"/>
      <c r="NZ6" s="91"/>
      <c r="OA6" s="91"/>
      <c r="OB6" s="91"/>
      <c r="OC6" s="91"/>
      <c r="OD6" s="91"/>
      <c r="OE6" s="91"/>
      <c r="OF6" s="91"/>
      <c r="OG6" s="91"/>
      <c r="OH6" s="91"/>
      <c r="OI6" s="91"/>
      <c r="OJ6" s="91"/>
      <c r="OK6" s="91"/>
      <c r="OL6" s="91"/>
      <c r="OM6" s="91"/>
      <c r="ON6" s="91"/>
      <c r="OO6" s="91"/>
      <c r="OP6" s="91"/>
      <c r="OQ6" s="91"/>
      <c r="OR6" s="91"/>
      <c r="OS6" s="91"/>
      <c r="OT6" s="91"/>
      <c r="OU6" s="91"/>
      <c r="OV6" s="91"/>
      <c r="OW6" s="91"/>
      <c r="OX6" s="91"/>
      <c r="OY6" s="91"/>
      <c r="OZ6" s="91"/>
      <c r="PA6" s="91"/>
      <c r="PB6" s="91"/>
      <c r="PC6" s="91"/>
      <c r="PD6" s="91"/>
      <c r="PE6" s="91"/>
      <c r="PF6" s="91"/>
      <c r="PG6" s="91"/>
      <c r="PH6" s="91"/>
      <c r="PI6" s="91"/>
      <c r="PJ6" s="91"/>
      <c r="PK6" s="91"/>
      <c r="PL6" s="91"/>
      <c r="PM6" s="91"/>
      <c r="PN6" s="91"/>
      <c r="PO6" s="91"/>
      <c r="PP6" s="91"/>
      <c r="PQ6" s="91"/>
      <c r="PR6" s="91"/>
      <c r="PS6" s="91"/>
      <c r="PT6" s="91"/>
      <c r="PU6" s="91"/>
      <c r="PV6" s="91"/>
      <c r="PW6" s="91"/>
      <c r="PX6" s="91"/>
      <c r="PY6" s="91"/>
      <c r="PZ6" s="91"/>
      <c r="QA6" s="91"/>
      <c r="QB6" s="91"/>
      <c r="QC6" s="91"/>
      <c r="QD6" s="91"/>
      <c r="QE6" s="91"/>
      <c r="QF6" s="91"/>
      <c r="QG6" s="91"/>
      <c r="QH6" s="91"/>
      <c r="QI6" s="91"/>
      <c r="QJ6" s="91"/>
      <c r="QK6" s="91"/>
      <c r="QL6" s="91"/>
      <c r="QM6" s="91"/>
      <c r="QN6" s="91"/>
      <c r="QO6" s="91"/>
      <c r="QP6" s="91"/>
      <c r="QQ6" s="91"/>
      <c r="QR6" s="91"/>
      <c r="QS6" s="91"/>
      <c r="QT6" s="91"/>
      <c r="QU6" s="91"/>
      <c r="QV6" s="91"/>
      <c r="QW6" s="91"/>
      <c r="QX6" s="91"/>
      <c r="QY6" s="91"/>
      <c r="QZ6" s="91"/>
      <c r="RA6" s="91"/>
      <c r="RB6" s="91"/>
      <c r="RC6" s="91"/>
      <c r="RD6" s="91"/>
      <c r="RE6" s="91"/>
      <c r="RF6" s="91"/>
      <c r="RG6" s="91"/>
      <c r="RH6" s="91"/>
      <c r="RI6" s="91"/>
      <c r="RJ6" s="91"/>
      <c r="RK6" s="91"/>
      <c r="RL6" s="91"/>
      <c r="RM6" s="91"/>
      <c r="RN6" s="91"/>
      <c r="RO6" s="91"/>
      <c r="RP6" s="91"/>
      <c r="RQ6" s="91"/>
      <c r="RR6" s="91"/>
      <c r="RS6" s="91"/>
      <c r="RT6" s="91"/>
      <c r="RU6" s="91"/>
      <c r="RV6" s="91"/>
      <c r="RW6" s="91"/>
      <c r="RX6" s="91"/>
      <c r="RY6" s="91"/>
      <c r="RZ6" s="91"/>
      <c r="SA6" s="91"/>
      <c r="SB6" s="91"/>
      <c r="SC6" s="91"/>
      <c r="SD6" s="91"/>
      <c r="SE6" s="91"/>
      <c r="SF6" s="91"/>
      <c r="SG6" s="91"/>
      <c r="SH6" s="91"/>
      <c r="SI6" s="91"/>
      <c r="SJ6" s="91"/>
      <c r="SK6" s="91"/>
      <c r="SL6" s="91"/>
      <c r="SM6" s="91"/>
      <c r="SN6" s="91"/>
      <c r="SO6" s="91"/>
      <c r="SP6" s="91"/>
      <c r="SQ6" s="91"/>
      <c r="SR6" s="91"/>
      <c r="SS6" s="91"/>
      <c r="ST6" s="91"/>
      <c r="SU6" s="91"/>
      <c r="SV6" s="91"/>
      <c r="SW6" s="91"/>
      <c r="SX6" s="91"/>
      <c r="SY6" s="91"/>
      <c r="SZ6" s="91"/>
      <c r="TA6" s="91"/>
      <c r="TB6" s="91"/>
      <c r="TC6" s="91"/>
      <c r="TD6" s="91"/>
      <c r="TE6" s="91"/>
      <c r="TF6" s="91"/>
      <c r="TG6" s="91"/>
      <c r="TH6" s="91"/>
      <c r="TI6" s="91"/>
      <c r="TJ6" s="91"/>
      <c r="TK6" s="91"/>
      <c r="TL6" s="91"/>
      <c r="TM6" s="91"/>
      <c r="TN6" s="91"/>
      <c r="TO6" s="91"/>
      <c r="TP6" s="91"/>
      <c r="TQ6" s="91"/>
      <c r="TR6" s="91"/>
      <c r="TS6" s="91"/>
      <c r="TT6" s="91"/>
      <c r="TU6" s="91"/>
      <c r="TV6" s="91"/>
      <c r="TW6" s="91"/>
      <c r="TX6" s="91"/>
      <c r="TY6" s="91"/>
      <c r="TZ6" s="91"/>
      <c r="UA6" s="91"/>
      <c r="UB6" s="91"/>
      <c r="UC6" s="91"/>
      <c r="UD6" s="91"/>
      <c r="UE6" s="91"/>
      <c r="UF6" s="91"/>
      <c r="UG6" s="91"/>
      <c r="UH6" s="91"/>
      <c r="UI6" s="91"/>
      <c r="UJ6" s="91"/>
      <c r="UK6" s="91"/>
      <c r="UL6" s="91"/>
      <c r="UM6" s="91"/>
      <c r="UN6" s="91"/>
      <c r="UO6" s="91"/>
      <c r="UP6" s="91"/>
      <c r="UQ6" s="91"/>
      <c r="UR6" s="91"/>
      <c r="US6" s="91"/>
      <c r="UT6" s="91"/>
      <c r="UU6" s="91"/>
      <c r="UV6" s="91"/>
      <c r="UW6" s="91"/>
      <c r="UX6" s="91"/>
      <c r="UY6" s="91"/>
      <c r="UZ6" s="91"/>
      <c r="VA6" s="91"/>
      <c r="VB6" s="91"/>
      <c r="VC6" s="91"/>
      <c r="VD6" s="91"/>
      <c r="VE6" s="91"/>
      <c r="VF6" s="91"/>
      <c r="VG6" s="91"/>
      <c r="VH6" s="91"/>
      <c r="VI6" s="91"/>
      <c r="VJ6" s="91"/>
      <c r="VK6" s="91"/>
      <c r="VL6" s="91"/>
      <c r="VM6" s="91"/>
      <c r="VN6" s="91"/>
      <c r="VO6" s="91"/>
      <c r="VP6" s="91"/>
      <c r="VQ6" s="91"/>
      <c r="VR6" s="91"/>
      <c r="VS6" s="91"/>
      <c r="VT6" s="91"/>
      <c r="VU6" s="91"/>
      <c r="VV6" s="91"/>
      <c r="VW6" s="91"/>
      <c r="VX6" s="91"/>
      <c r="VY6" s="91"/>
      <c r="VZ6" s="91"/>
      <c r="WA6" s="91"/>
      <c r="WB6" s="91"/>
      <c r="WC6" s="91"/>
      <c r="WD6" s="91"/>
      <c r="WE6" s="91"/>
      <c r="WF6" s="91"/>
      <c r="WG6" s="91"/>
      <c r="WH6" s="91"/>
      <c r="WI6" s="91"/>
      <c r="WJ6" s="91"/>
      <c r="WK6" s="91"/>
      <c r="WL6" s="91"/>
      <c r="WM6" s="91"/>
      <c r="WN6" s="91"/>
      <c r="WO6" s="91"/>
      <c r="WP6" s="91"/>
      <c r="WQ6" s="91"/>
      <c r="WR6" s="91"/>
      <c r="WS6" s="91"/>
      <c r="WT6" s="91"/>
      <c r="WU6" s="91"/>
      <c r="WV6" s="91"/>
      <c r="WW6" s="91"/>
      <c r="WX6" s="91"/>
      <c r="WY6" s="91"/>
      <c r="WZ6" s="91"/>
      <c r="XA6" s="91"/>
      <c r="XB6" s="91"/>
      <c r="XC6" s="91"/>
      <c r="XD6" s="91"/>
      <c r="XE6" s="91"/>
      <c r="XF6" s="91"/>
      <c r="XG6" s="91"/>
      <c r="XH6" s="91"/>
      <c r="XI6" s="91"/>
      <c r="XJ6" s="91"/>
      <c r="XK6" s="91"/>
      <c r="XL6" s="91"/>
      <c r="XM6" s="91"/>
      <c r="XN6" s="91"/>
      <c r="XO6" s="91"/>
      <c r="XP6" s="91"/>
      <c r="XQ6" s="91"/>
      <c r="XR6" s="91"/>
      <c r="XS6" s="91"/>
      <c r="XT6" s="91"/>
      <c r="XU6" s="91"/>
      <c r="XV6" s="91"/>
      <c r="XW6" s="91"/>
      <c r="XX6" s="91"/>
      <c r="XY6" s="91"/>
      <c r="XZ6" s="91"/>
      <c r="YA6" s="91"/>
      <c r="YB6" s="91"/>
      <c r="YC6" s="91"/>
      <c r="YD6" s="91"/>
      <c r="YE6" s="91"/>
      <c r="YF6" s="91"/>
      <c r="YG6" s="91"/>
      <c r="YH6" s="91"/>
      <c r="YI6" s="91"/>
      <c r="YJ6" s="91"/>
      <c r="YK6" s="91"/>
      <c r="YL6" s="91"/>
      <c r="YM6" s="91"/>
      <c r="YN6" s="91"/>
      <c r="YO6" s="91"/>
      <c r="YP6" s="91"/>
      <c r="YQ6" s="91"/>
      <c r="YR6" s="91"/>
      <c r="YS6" s="91"/>
      <c r="YT6" s="91"/>
      <c r="YU6" s="91"/>
      <c r="YV6" s="91"/>
      <c r="YW6" s="91"/>
      <c r="YX6" s="91"/>
      <c r="YY6" s="91"/>
      <c r="YZ6" s="91"/>
      <c r="ZA6" s="91"/>
      <c r="ZB6" s="91"/>
      <c r="ZC6" s="91"/>
      <c r="ZD6" s="91"/>
      <c r="ZE6" s="91"/>
      <c r="ZF6" s="91"/>
      <c r="ZG6" s="91"/>
      <c r="ZH6" s="91"/>
      <c r="ZI6" s="91"/>
      <c r="ZJ6" s="91"/>
      <c r="ZK6" s="91"/>
      <c r="ZL6" s="91"/>
      <c r="ZM6" s="91"/>
      <c r="ZN6" s="91"/>
      <c r="ZO6" s="91"/>
      <c r="ZP6" s="91"/>
      <c r="ZQ6" s="91"/>
      <c r="ZR6" s="91"/>
      <c r="ZS6" s="91"/>
      <c r="ZT6" s="91"/>
      <c r="ZU6" s="91"/>
      <c r="ZV6" s="91"/>
      <c r="ZW6" s="91"/>
      <c r="ZX6" s="91"/>
      <c r="ZY6" s="91"/>
      <c r="ZZ6" s="91"/>
      <c r="AAA6" s="91"/>
      <c r="AAB6" s="91"/>
      <c r="AAC6" s="91"/>
      <c r="AAD6" s="91"/>
      <c r="AAE6" s="91"/>
      <c r="AAF6" s="91"/>
      <c r="AAG6" s="91"/>
      <c r="AAH6" s="91"/>
      <c r="AAI6" s="91"/>
      <c r="AAJ6" s="91"/>
      <c r="AAK6" s="91"/>
      <c r="AAL6" s="91"/>
      <c r="AAM6" s="91"/>
      <c r="AAN6" s="91"/>
      <c r="AAO6" s="91"/>
      <c r="AAP6" s="91"/>
      <c r="AAQ6" s="91"/>
      <c r="AAR6" s="91"/>
      <c r="AAS6" s="91"/>
      <c r="AAT6" s="91"/>
      <c r="AAU6" s="91"/>
      <c r="AAV6" s="91"/>
      <c r="AAW6" s="91"/>
      <c r="AAX6" s="91"/>
      <c r="AAY6" s="91"/>
      <c r="AAZ6" s="91"/>
      <c r="ABA6" s="91"/>
      <c r="ABB6" s="91"/>
      <c r="ABC6" s="91"/>
      <c r="ABD6" s="91"/>
      <c r="ABE6" s="91"/>
      <c r="ABF6" s="91"/>
      <c r="ABG6" s="91"/>
      <c r="ABH6" s="91"/>
      <c r="ABI6" s="91"/>
      <c r="ABJ6" s="91"/>
      <c r="ABK6" s="91"/>
      <c r="ABL6" s="91"/>
      <c r="ABM6" s="91"/>
      <c r="ABN6" s="91"/>
      <c r="ABO6" s="91"/>
      <c r="ABP6" s="91"/>
      <c r="ABQ6" s="91"/>
      <c r="ABR6" s="91"/>
      <c r="ABS6" s="91"/>
      <c r="ABT6" s="91"/>
      <c r="ABU6" s="91"/>
      <c r="ABV6" s="91"/>
      <c r="ABW6" s="91"/>
      <c r="ABX6" s="91"/>
      <c r="ABY6" s="91"/>
      <c r="ABZ6" s="91"/>
      <c r="ACA6" s="91"/>
      <c r="ACB6" s="91"/>
      <c r="ACC6" s="91"/>
      <c r="ACD6" s="91"/>
      <c r="ACE6" s="91"/>
      <c r="ACF6" s="91"/>
      <c r="ACG6" s="91"/>
      <c r="ACH6" s="91"/>
      <c r="ACI6" s="91"/>
      <c r="ACJ6" s="91"/>
      <c r="ACK6" s="91"/>
      <c r="ACL6" s="91"/>
      <c r="ACM6" s="91"/>
      <c r="ACN6" s="91"/>
      <c r="ACO6" s="91"/>
      <c r="ACP6" s="91"/>
      <c r="ACQ6" s="91"/>
      <c r="ACR6" s="91"/>
      <c r="ACS6" s="91"/>
      <c r="ACT6" s="91"/>
      <c r="ACU6" s="91"/>
      <c r="ACV6" s="91"/>
      <c r="ACW6" s="91"/>
      <c r="ACX6" s="91"/>
      <c r="ACY6" s="91"/>
      <c r="ACZ6" s="91"/>
      <c r="ADA6" s="91"/>
      <c r="ADB6" s="91"/>
      <c r="ADC6" s="91"/>
      <c r="ADD6" s="91"/>
      <c r="ADE6" s="91"/>
      <c r="ADF6" s="91"/>
      <c r="ADG6" s="91"/>
      <c r="ADH6" s="91"/>
      <c r="ADI6" s="91"/>
      <c r="ADJ6" s="91"/>
      <c r="ADK6" s="91"/>
      <c r="ADL6" s="91"/>
      <c r="ADM6" s="91"/>
      <c r="ADN6" s="91"/>
      <c r="ADO6" s="91"/>
      <c r="ADP6" s="91"/>
      <c r="ADQ6" s="91"/>
      <c r="ADR6" s="91"/>
      <c r="ADS6" s="91"/>
      <c r="ADT6" s="91"/>
      <c r="ADU6" s="91"/>
      <c r="ADV6" s="91"/>
      <c r="ADW6" s="91"/>
      <c r="ADX6" s="91"/>
      <c r="ADY6" s="91"/>
      <c r="ADZ6" s="91"/>
      <c r="AEA6" s="91"/>
      <c r="AEB6" s="91"/>
      <c r="AEC6" s="91"/>
      <c r="AED6" s="91"/>
      <c r="AEE6" s="91"/>
      <c r="AEF6" s="91"/>
      <c r="AEG6" s="91"/>
      <c r="AEH6" s="91"/>
      <c r="AEI6" s="91"/>
      <c r="AEJ6" s="91"/>
      <c r="AEK6" s="91"/>
      <c r="AEL6" s="91"/>
      <c r="AEM6" s="91"/>
      <c r="AEN6" s="91"/>
      <c r="AEO6" s="91"/>
      <c r="AEP6" s="91"/>
      <c r="AEQ6" s="91"/>
      <c r="AER6" s="91"/>
      <c r="AES6" s="91"/>
      <c r="AET6" s="91"/>
      <c r="AEU6" s="91"/>
      <c r="AEV6" s="91"/>
      <c r="AEW6" s="91"/>
      <c r="AEX6" s="91"/>
      <c r="AEY6" s="91"/>
      <c r="AEZ6" s="91"/>
      <c r="AFA6" s="91"/>
      <c r="AFB6" s="91"/>
      <c r="AFC6" s="91"/>
      <c r="AFD6" s="91"/>
      <c r="AFE6" s="91"/>
      <c r="AFF6" s="91"/>
      <c r="AFG6" s="91"/>
      <c r="AFH6" s="91"/>
      <c r="AFI6" s="91"/>
      <c r="AFJ6" s="91"/>
      <c r="AFK6" s="91"/>
      <c r="AFL6" s="91"/>
      <c r="AFM6" s="91"/>
      <c r="AFN6" s="91"/>
      <c r="AFO6" s="91"/>
      <c r="AFP6" s="91"/>
      <c r="AFQ6" s="91"/>
      <c r="AFR6" s="91"/>
      <c r="AFS6" s="91"/>
      <c r="AFT6" s="91"/>
      <c r="AFU6" s="91"/>
      <c r="AFV6" s="91"/>
      <c r="AFW6" s="91"/>
      <c r="AFX6" s="91"/>
      <c r="AFY6" s="91"/>
      <c r="AFZ6" s="91"/>
      <c r="AGA6" s="91"/>
      <c r="AGB6" s="91"/>
      <c r="AGC6" s="91"/>
      <c r="AGD6" s="91"/>
      <c r="AGE6" s="91"/>
      <c r="AGF6" s="91"/>
      <c r="AGG6" s="91"/>
      <c r="AGH6" s="91"/>
      <c r="AGI6" s="91"/>
      <c r="AGJ6" s="91"/>
      <c r="AGK6" s="91"/>
      <c r="AGL6" s="91"/>
      <c r="AGM6" s="91"/>
      <c r="AGN6" s="91"/>
      <c r="AGO6" s="91"/>
      <c r="AGP6" s="91"/>
      <c r="AGQ6" s="91"/>
      <c r="AGR6" s="91"/>
      <c r="AGS6" s="91"/>
      <c r="AGT6" s="91"/>
      <c r="AGU6" s="91"/>
      <c r="AGV6" s="91"/>
      <c r="AGW6" s="91"/>
      <c r="AGX6" s="91"/>
      <c r="AGY6" s="91"/>
      <c r="AGZ6" s="91"/>
      <c r="AHA6" s="91"/>
      <c r="AHB6" s="91"/>
      <c r="AHC6" s="91"/>
      <c r="AHD6" s="91"/>
      <c r="AHE6" s="91"/>
      <c r="AHF6" s="91"/>
      <c r="AHG6" s="91"/>
      <c r="AHH6" s="91"/>
      <c r="AHI6" s="91"/>
      <c r="AHJ6" s="91"/>
      <c r="AHK6" s="91"/>
      <c r="AHL6" s="91"/>
      <c r="AHM6" s="91"/>
      <c r="AHN6" s="91"/>
      <c r="AHO6" s="91"/>
      <c r="AHP6" s="91"/>
      <c r="AHQ6" s="91"/>
      <c r="AHR6" s="91"/>
      <c r="AHS6" s="91"/>
      <c r="AHT6" s="91"/>
      <c r="AHU6" s="91"/>
      <c r="AHV6" s="91"/>
      <c r="AHW6" s="91"/>
      <c r="AHX6" s="91"/>
      <c r="AHY6" s="91"/>
      <c r="AHZ6" s="91"/>
      <c r="AIA6" s="91"/>
      <c r="AIB6" s="91"/>
      <c r="AIC6" s="91"/>
      <c r="AID6" s="91"/>
      <c r="AIE6" s="91"/>
      <c r="AIF6" s="91"/>
      <c r="AIG6" s="91"/>
      <c r="AIH6" s="91"/>
      <c r="AII6" s="91"/>
      <c r="AIJ6" s="91"/>
      <c r="AIK6" s="91"/>
      <c r="AIL6" s="91"/>
      <c r="AIM6" s="91"/>
      <c r="AIN6" s="91"/>
      <c r="AIO6" s="91"/>
      <c r="AIP6" s="91"/>
      <c r="AIQ6" s="91"/>
      <c r="AIR6" s="91"/>
      <c r="AIS6" s="91"/>
      <c r="AIT6" s="91"/>
      <c r="AIU6" s="91"/>
      <c r="AIV6" s="91"/>
      <c r="AIW6" s="91"/>
      <c r="AIX6" s="91"/>
      <c r="AIY6" s="91"/>
      <c r="AIZ6" s="91"/>
      <c r="AJA6" s="91"/>
      <c r="AJB6" s="91"/>
      <c r="AJC6" s="91"/>
      <c r="AJD6" s="91"/>
      <c r="AJE6" s="91"/>
      <c r="AJF6" s="91"/>
      <c r="AJG6" s="91"/>
      <c r="AJH6" s="91"/>
      <c r="AJI6" s="91"/>
      <c r="AJJ6" s="91"/>
      <c r="AJK6" s="91"/>
      <c r="AJL6" s="91"/>
      <c r="AJM6" s="91"/>
      <c r="AJN6" s="91"/>
      <c r="AJO6" s="91"/>
      <c r="AJP6" s="91"/>
      <c r="AJQ6" s="91"/>
      <c r="AJR6" s="91"/>
      <c r="AJS6" s="91"/>
      <c r="AJT6" s="91"/>
      <c r="AJU6" s="91"/>
      <c r="AJV6" s="91"/>
      <c r="AJW6" s="91"/>
      <c r="AJX6" s="91"/>
      <c r="AJY6" s="91"/>
      <c r="AJZ6" s="91"/>
      <c r="AKA6" s="91"/>
      <c r="AKB6" s="91"/>
      <c r="AKC6" s="91"/>
      <c r="AKD6" s="91"/>
      <c r="AKE6" s="91"/>
      <c r="AKF6" s="91"/>
      <c r="AKG6" s="91"/>
      <c r="AKH6" s="91"/>
      <c r="AKI6" s="91"/>
      <c r="AKJ6" s="91"/>
      <c r="AKK6" s="91"/>
      <c r="AKL6" s="91"/>
      <c r="AKM6" s="91"/>
      <c r="AKN6" s="91"/>
      <c r="AKO6" s="91"/>
      <c r="AKP6" s="91"/>
      <c r="AKQ6" s="91"/>
      <c r="AKR6" s="91"/>
      <c r="AKS6" s="91"/>
      <c r="AKT6" s="91"/>
      <c r="AKU6" s="91"/>
      <c r="AKV6" s="91"/>
      <c r="AKW6" s="91"/>
      <c r="AKX6" s="91"/>
      <c r="AKY6" s="91"/>
      <c r="AKZ6" s="91"/>
      <c r="ALA6" s="91"/>
      <c r="ALB6" s="91"/>
      <c r="ALC6" s="91"/>
      <c r="ALD6" s="91"/>
      <c r="ALE6" s="91"/>
      <c r="ALF6" s="91"/>
      <c r="ALG6" s="91"/>
      <c r="ALH6" s="91"/>
      <c r="ALI6" s="91"/>
      <c r="ALJ6" s="91"/>
      <c r="ALK6" s="91"/>
      <c r="ALL6" s="91"/>
      <c r="ALM6" s="91"/>
      <c r="ALN6" s="91"/>
      <c r="ALO6" s="91"/>
      <c r="ALP6" s="91"/>
      <c r="ALQ6" s="91"/>
      <c r="ALR6" s="91"/>
      <c r="ALS6" s="91"/>
      <c r="ALT6" s="91"/>
      <c r="ALU6" s="91"/>
      <c r="ALV6" s="91"/>
      <c r="ALW6" s="91"/>
      <c r="ALX6" s="91"/>
      <c r="ALY6" s="91"/>
      <c r="ALZ6" s="91"/>
      <c r="AMA6" s="91"/>
      <c r="AMB6" s="91"/>
      <c r="AMC6" s="91"/>
      <c r="AMD6" s="91"/>
      <c r="AME6" s="91"/>
      <c r="AMF6" s="91"/>
      <c r="AMG6" s="91"/>
      <c r="AMH6" s="91"/>
      <c r="AMI6" s="91"/>
      <c r="AMJ6" s="91"/>
      <c r="AMK6" s="91"/>
      <c r="AML6" s="91"/>
      <c r="AMM6" s="91"/>
      <c r="AMN6" s="91"/>
      <c r="AMO6" s="91"/>
      <c r="AMP6" s="91"/>
      <c r="AMQ6" s="91"/>
      <c r="AMR6" s="91"/>
      <c r="AMS6" s="91"/>
      <c r="AMT6" s="91"/>
      <c r="AMU6" s="91"/>
      <c r="AMV6" s="91"/>
      <c r="AMW6" s="91"/>
      <c r="AMX6" s="91"/>
      <c r="AMY6" s="91"/>
      <c r="AMZ6" s="91"/>
      <c r="ANA6" s="91"/>
      <c r="ANB6" s="91"/>
      <c r="ANC6" s="91"/>
      <c r="AND6" s="91"/>
      <c r="ANE6" s="91"/>
      <c r="ANF6" s="91"/>
      <c r="ANG6" s="91"/>
      <c r="ANH6" s="91"/>
      <c r="ANI6" s="91"/>
      <c r="ANJ6" s="91"/>
      <c r="ANK6" s="91"/>
      <c r="ANL6" s="91"/>
      <c r="ANM6" s="91"/>
      <c r="ANN6" s="91"/>
      <c r="ANO6" s="91"/>
      <c r="ANP6" s="91"/>
      <c r="ANQ6" s="91"/>
      <c r="ANR6" s="91"/>
      <c r="ANS6" s="91"/>
      <c r="ANT6" s="91"/>
      <c r="ANU6" s="91"/>
      <c r="ANV6" s="91"/>
      <c r="ANW6" s="91"/>
      <c r="ANX6" s="91"/>
      <c r="ANY6" s="91"/>
      <c r="ANZ6" s="91"/>
      <c r="AOA6" s="91"/>
      <c r="AOB6" s="91"/>
      <c r="AOC6" s="91"/>
      <c r="AOD6" s="91"/>
      <c r="AOE6" s="91"/>
      <c r="AOF6" s="91"/>
      <c r="AOG6" s="91"/>
      <c r="AOH6" s="91"/>
      <c r="AOI6" s="91"/>
      <c r="AOJ6" s="91"/>
      <c r="AOK6" s="91"/>
      <c r="AOL6" s="91"/>
      <c r="AOM6" s="91"/>
      <c r="AON6" s="91"/>
      <c r="AOO6" s="91"/>
      <c r="AOP6" s="91"/>
      <c r="AOQ6" s="91"/>
      <c r="AOR6" s="91"/>
      <c r="AOS6" s="91"/>
      <c r="AOT6" s="91"/>
      <c r="AOU6" s="91"/>
      <c r="AOV6" s="91"/>
      <c r="AOW6" s="91"/>
      <c r="AOX6" s="91"/>
      <c r="AOY6" s="91"/>
      <c r="AOZ6" s="91"/>
      <c r="APA6" s="91"/>
      <c r="APB6" s="91"/>
      <c r="APC6" s="91"/>
      <c r="APD6" s="91"/>
      <c r="APE6" s="91"/>
      <c r="APF6" s="91"/>
      <c r="APG6" s="91"/>
      <c r="APH6" s="91"/>
      <c r="API6" s="91"/>
      <c r="APJ6" s="91"/>
      <c r="APK6" s="91"/>
      <c r="APL6" s="91"/>
      <c r="APM6" s="91"/>
      <c r="APN6" s="91"/>
      <c r="APO6" s="91"/>
      <c r="APP6" s="91"/>
      <c r="APQ6" s="91"/>
      <c r="APR6" s="91"/>
      <c r="APS6" s="91"/>
      <c r="APT6" s="91"/>
      <c r="APU6" s="91"/>
      <c r="APV6" s="91"/>
      <c r="APW6" s="91"/>
      <c r="APX6" s="91"/>
      <c r="APY6" s="91"/>
      <c r="APZ6" s="91"/>
      <c r="AQA6" s="91"/>
      <c r="AQB6" s="91"/>
      <c r="AQC6" s="91"/>
      <c r="AQD6" s="91"/>
      <c r="AQE6" s="91"/>
      <c r="AQF6" s="91"/>
      <c r="AQG6" s="91"/>
      <c r="AQH6" s="91"/>
      <c r="AQI6" s="91"/>
      <c r="AQJ6" s="91"/>
      <c r="AQK6" s="91"/>
      <c r="AQL6" s="91"/>
      <c r="AQM6" s="91"/>
      <c r="AQN6" s="91"/>
      <c r="AQO6" s="91"/>
      <c r="AQP6" s="91"/>
      <c r="AQQ6" s="91"/>
      <c r="AQR6" s="91"/>
      <c r="AQS6" s="91"/>
      <c r="AQT6" s="91"/>
      <c r="AQU6" s="91"/>
      <c r="AQV6" s="91"/>
      <c r="AQW6" s="91"/>
      <c r="AQX6" s="91"/>
      <c r="AQY6" s="91"/>
      <c r="AQZ6" s="91"/>
      <c r="ARA6" s="91"/>
      <c r="ARB6" s="91"/>
      <c r="ARC6" s="91"/>
      <c r="ARD6" s="91"/>
      <c r="ARE6" s="91"/>
      <c r="ARF6" s="91"/>
      <c r="ARG6" s="91"/>
      <c r="ARH6" s="91"/>
      <c r="ARI6" s="91"/>
      <c r="ARJ6" s="91"/>
      <c r="ARK6" s="91"/>
      <c r="ARL6" s="91"/>
      <c r="ARM6" s="91"/>
      <c r="ARN6" s="91"/>
      <c r="ARO6" s="91"/>
      <c r="ARP6" s="91"/>
      <c r="ARQ6" s="91"/>
      <c r="ARR6" s="91"/>
      <c r="ARS6" s="91"/>
      <c r="ART6" s="91"/>
      <c r="ARU6" s="91"/>
      <c r="ARV6" s="91"/>
      <c r="ARW6" s="91"/>
      <c r="ARX6" s="91"/>
      <c r="ARY6" s="91"/>
      <c r="ARZ6" s="91"/>
      <c r="ASA6" s="91"/>
      <c r="ASB6" s="91"/>
      <c r="ASC6" s="91"/>
      <c r="ASD6" s="91"/>
      <c r="ASE6" s="91"/>
      <c r="ASF6" s="91"/>
      <c r="ASG6" s="91"/>
      <c r="ASH6" s="91"/>
      <c r="ASI6" s="91"/>
      <c r="ASJ6" s="91"/>
      <c r="ASK6" s="91"/>
      <c r="ASL6" s="91"/>
      <c r="ASM6" s="91"/>
      <c r="ASN6" s="91"/>
      <c r="ASO6" s="91"/>
      <c r="ASP6" s="91"/>
      <c r="ASQ6" s="91"/>
      <c r="ASR6" s="91"/>
      <c r="ASS6" s="91"/>
      <c r="AST6" s="91"/>
      <c r="ASU6" s="91"/>
      <c r="ASV6" s="91"/>
      <c r="ASW6" s="91"/>
      <c r="ASX6" s="91"/>
      <c r="ASY6" s="91"/>
      <c r="ASZ6" s="91"/>
      <c r="ATA6" s="91"/>
      <c r="ATB6" s="91"/>
      <c r="ATC6" s="91"/>
      <c r="ATD6" s="91"/>
      <c r="ATE6" s="91"/>
      <c r="ATF6" s="91"/>
      <c r="ATG6" s="91"/>
      <c r="ATH6" s="91"/>
      <c r="ATI6" s="91"/>
      <c r="ATJ6" s="91"/>
      <c r="ATK6" s="91"/>
      <c r="ATL6" s="91"/>
      <c r="ATM6" s="91"/>
      <c r="ATN6" s="91"/>
      <c r="ATO6" s="91"/>
      <c r="ATP6" s="91"/>
      <c r="ATQ6" s="91"/>
      <c r="ATR6" s="91"/>
      <c r="ATS6" s="91"/>
      <c r="ATT6" s="91"/>
      <c r="ATU6" s="91"/>
      <c r="ATV6" s="91"/>
      <c r="ATW6" s="91"/>
      <c r="ATX6" s="91"/>
      <c r="ATY6" s="91"/>
      <c r="ATZ6" s="91"/>
      <c r="AUA6" s="91"/>
      <c r="AUB6" s="91"/>
      <c r="AUC6" s="91"/>
      <c r="AUD6" s="91"/>
      <c r="AUE6" s="91"/>
      <c r="AUF6" s="91"/>
      <c r="AUG6" s="91"/>
      <c r="AUH6" s="91"/>
      <c r="AUI6" s="91"/>
      <c r="AUJ6" s="91"/>
      <c r="AUK6" s="91"/>
      <c r="AUL6" s="91"/>
      <c r="AUM6" s="91"/>
      <c r="AUN6" s="91"/>
      <c r="AUO6" s="91"/>
      <c r="AUP6" s="91"/>
      <c r="AUQ6" s="91"/>
      <c r="AUR6" s="91"/>
      <c r="AUS6" s="91"/>
      <c r="AUT6" s="91"/>
      <c r="AUU6" s="91"/>
      <c r="AUV6" s="91"/>
      <c r="AUW6" s="91"/>
      <c r="AUX6" s="91"/>
      <c r="AUY6" s="91"/>
      <c r="AUZ6" s="91"/>
      <c r="AVA6" s="91"/>
      <c r="AVB6" s="91"/>
      <c r="AVC6" s="91"/>
      <c r="AVD6" s="91"/>
      <c r="AVE6" s="91"/>
      <c r="AVF6" s="91"/>
      <c r="AVG6" s="91"/>
      <c r="AVH6" s="91"/>
      <c r="AVI6" s="91"/>
      <c r="AVJ6" s="91"/>
      <c r="AVK6" s="91"/>
      <c r="AVL6" s="91"/>
      <c r="AVM6" s="91"/>
      <c r="AVN6" s="91"/>
      <c r="AVO6" s="91"/>
      <c r="AVP6" s="91"/>
      <c r="AVQ6" s="91"/>
      <c r="AVR6" s="91"/>
      <c r="AVS6" s="91"/>
      <c r="AVT6" s="91"/>
      <c r="AVU6" s="91"/>
      <c r="AVV6" s="91"/>
      <c r="AVW6" s="91"/>
      <c r="AVX6" s="91"/>
      <c r="AVY6" s="91"/>
      <c r="AVZ6" s="91"/>
      <c r="AWA6" s="91"/>
      <c r="AWB6" s="91"/>
      <c r="AWC6" s="91"/>
      <c r="AWD6" s="91"/>
      <c r="AWE6" s="91"/>
      <c r="AWF6" s="91"/>
      <c r="AWG6" s="91"/>
      <c r="AWH6" s="91"/>
      <c r="AWI6" s="91"/>
      <c r="AWJ6" s="91"/>
      <c r="AWK6" s="91"/>
      <c r="AWL6" s="91"/>
      <c r="AWM6" s="91"/>
      <c r="AWN6" s="91"/>
      <c r="AWO6" s="91"/>
      <c r="AWP6" s="91"/>
      <c r="AWQ6" s="91"/>
      <c r="AWR6" s="91"/>
      <c r="AWS6" s="91"/>
      <c r="AWT6" s="91"/>
      <c r="AWU6" s="91"/>
      <c r="AWV6" s="91"/>
      <c r="AWW6" s="91"/>
      <c r="AWX6" s="91"/>
      <c r="AWY6" s="91"/>
      <c r="AWZ6" s="91"/>
      <c r="AXA6" s="91"/>
      <c r="AXB6" s="91"/>
      <c r="AXC6" s="91"/>
      <c r="AXD6" s="91"/>
      <c r="AXE6" s="91"/>
      <c r="AXF6" s="91"/>
      <c r="AXG6" s="91"/>
      <c r="AXH6" s="91"/>
      <c r="AXI6" s="91"/>
      <c r="AXJ6" s="91"/>
      <c r="AXK6" s="91"/>
      <c r="AXL6" s="91"/>
      <c r="AXM6" s="91"/>
      <c r="AXN6" s="91"/>
      <c r="AXO6" s="91"/>
      <c r="AXP6" s="91"/>
      <c r="AXQ6" s="91"/>
      <c r="AXR6" s="91"/>
      <c r="AXS6" s="91"/>
      <c r="AXT6" s="91"/>
      <c r="AXU6" s="91"/>
      <c r="AXV6" s="91"/>
      <c r="AXW6" s="91"/>
      <c r="AXX6" s="91"/>
      <c r="AXY6" s="91"/>
      <c r="AXZ6" s="91"/>
      <c r="AYA6" s="91"/>
      <c r="AYB6" s="91"/>
      <c r="AYC6" s="91"/>
      <c r="AYD6" s="91"/>
      <c r="AYE6" s="91"/>
      <c r="AYF6" s="91"/>
      <c r="AYG6" s="91"/>
      <c r="AYH6" s="91"/>
      <c r="AYI6" s="91"/>
      <c r="AYJ6" s="91"/>
      <c r="AYK6" s="91"/>
      <c r="AYL6" s="91"/>
      <c r="AYM6" s="91"/>
      <c r="AYN6" s="91"/>
      <c r="AYO6" s="91"/>
      <c r="AYP6" s="91"/>
      <c r="AYQ6" s="91"/>
      <c r="AYR6" s="91"/>
      <c r="AYS6" s="91"/>
      <c r="AYT6" s="91"/>
      <c r="AYU6" s="91"/>
      <c r="AYV6" s="91"/>
      <c r="AYW6" s="91"/>
      <c r="AYX6" s="91"/>
      <c r="AYY6" s="91"/>
      <c r="AYZ6" s="91"/>
      <c r="AZA6" s="91"/>
      <c r="AZB6" s="91"/>
      <c r="AZC6" s="91"/>
      <c r="AZD6" s="91"/>
      <c r="AZE6" s="91"/>
      <c r="AZF6" s="91"/>
      <c r="AZG6" s="91"/>
      <c r="AZH6" s="91"/>
      <c r="AZI6" s="91"/>
      <c r="AZJ6" s="91"/>
      <c r="AZK6" s="91"/>
      <c r="AZL6" s="91"/>
      <c r="AZM6" s="91"/>
      <c r="AZN6" s="91"/>
      <c r="AZO6" s="91"/>
      <c r="AZP6" s="91"/>
      <c r="AZQ6" s="91"/>
      <c r="AZR6" s="91"/>
      <c r="AZS6" s="91"/>
      <c r="AZT6" s="91"/>
      <c r="AZU6" s="91"/>
      <c r="AZV6" s="91"/>
      <c r="AZW6" s="91"/>
      <c r="AZX6" s="91"/>
      <c r="AZY6" s="91"/>
      <c r="AZZ6" s="91"/>
      <c r="BAA6" s="91"/>
      <c r="BAB6" s="91"/>
      <c r="BAC6" s="91"/>
      <c r="BAD6" s="91"/>
      <c r="BAE6" s="91"/>
      <c r="BAF6" s="91"/>
      <c r="BAG6" s="91"/>
      <c r="BAH6" s="91"/>
      <c r="BAI6" s="91"/>
      <c r="BAJ6" s="91"/>
      <c r="BAK6" s="91"/>
      <c r="BAL6" s="91"/>
      <c r="BAM6" s="91"/>
      <c r="BAN6" s="91"/>
      <c r="BAO6" s="91"/>
      <c r="BAP6" s="91"/>
      <c r="BAQ6" s="91"/>
      <c r="BAR6" s="91"/>
      <c r="BAS6" s="91"/>
      <c r="BAT6" s="91"/>
      <c r="BAU6" s="91"/>
      <c r="BAV6" s="91"/>
      <c r="BAW6" s="91"/>
      <c r="BAX6" s="91"/>
      <c r="BAY6" s="91"/>
      <c r="BAZ6" s="91"/>
      <c r="BBA6" s="91"/>
      <c r="BBB6" s="91"/>
      <c r="BBC6" s="91"/>
      <c r="BBD6" s="91"/>
      <c r="BBE6" s="91"/>
      <c r="BBF6" s="91"/>
      <c r="BBG6" s="91"/>
      <c r="BBH6" s="91"/>
      <c r="BBI6" s="91"/>
      <c r="BBJ6" s="91"/>
      <c r="BBK6" s="91"/>
      <c r="BBL6" s="91"/>
      <c r="BBM6" s="91"/>
      <c r="BBN6" s="91"/>
      <c r="BBO6" s="91"/>
      <c r="BBP6" s="91"/>
      <c r="BBQ6" s="91"/>
      <c r="BBR6" s="91"/>
      <c r="BBS6" s="91"/>
      <c r="BBT6" s="91"/>
      <c r="BBU6" s="91"/>
      <c r="BBV6" s="91"/>
      <c r="BBW6" s="91"/>
      <c r="BBX6" s="91"/>
      <c r="BBY6" s="91"/>
      <c r="BBZ6" s="91"/>
      <c r="BCA6" s="91"/>
      <c r="BCB6" s="91"/>
      <c r="BCC6" s="91"/>
      <c r="BCD6" s="91"/>
      <c r="BCE6" s="91"/>
      <c r="BCF6" s="91"/>
      <c r="BCG6" s="91"/>
      <c r="BCH6" s="91"/>
      <c r="BCI6" s="91"/>
      <c r="BCJ6" s="91"/>
      <c r="BCK6" s="91"/>
      <c r="BCL6" s="91"/>
      <c r="BCM6" s="91"/>
      <c r="BCN6" s="91"/>
      <c r="BCO6" s="91"/>
      <c r="BCP6" s="91"/>
      <c r="BCQ6" s="91"/>
      <c r="BCR6" s="91"/>
      <c r="BCS6" s="91"/>
      <c r="BCT6" s="91"/>
      <c r="BCU6" s="91"/>
      <c r="BCV6" s="91"/>
      <c r="BCW6" s="91"/>
      <c r="BCX6" s="91"/>
      <c r="BCY6" s="91"/>
      <c r="BCZ6" s="91"/>
      <c r="BDA6" s="91"/>
      <c r="BDB6" s="91"/>
      <c r="BDC6" s="91"/>
      <c r="BDD6" s="91"/>
      <c r="BDE6" s="91"/>
      <c r="BDF6" s="91"/>
      <c r="BDG6" s="91"/>
      <c r="BDH6" s="91"/>
      <c r="BDI6" s="91"/>
      <c r="BDJ6" s="91"/>
      <c r="BDK6" s="91"/>
      <c r="BDL6" s="91"/>
      <c r="BDM6" s="91"/>
      <c r="BDN6" s="91"/>
      <c r="BDO6" s="91"/>
      <c r="BDP6" s="91"/>
      <c r="BDQ6" s="91"/>
      <c r="BDR6" s="91"/>
      <c r="BDS6" s="91"/>
      <c r="BDT6" s="91"/>
      <c r="BDU6" s="91"/>
      <c r="BDV6" s="91"/>
      <c r="BDW6" s="91"/>
      <c r="BDX6" s="91"/>
      <c r="BDY6" s="91"/>
      <c r="BDZ6" s="91"/>
      <c r="BEA6" s="91"/>
      <c r="BEB6" s="91"/>
      <c r="BEC6" s="91"/>
      <c r="BED6" s="91"/>
      <c r="BEE6" s="91"/>
      <c r="BEF6" s="91"/>
      <c r="BEG6" s="91"/>
      <c r="BEH6" s="91"/>
      <c r="BEI6" s="91"/>
      <c r="BEJ6" s="91"/>
      <c r="BEK6" s="91"/>
      <c r="BEL6" s="91"/>
      <c r="BEM6" s="91"/>
      <c r="BEN6" s="91"/>
      <c r="BEO6" s="91"/>
      <c r="BEP6" s="91"/>
      <c r="BEQ6" s="91"/>
      <c r="BER6" s="91"/>
      <c r="BES6" s="91"/>
      <c r="BET6" s="91"/>
      <c r="BEU6" s="91"/>
      <c r="BEV6" s="91"/>
      <c r="BEW6" s="91"/>
      <c r="BEX6" s="91"/>
      <c r="BEY6" s="91"/>
      <c r="BEZ6" s="91"/>
      <c r="BFA6" s="91"/>
      <c r="BFB6" s="91"/>
      <c r="BFC6" s="91"/>
      <c r="BFD6" s="91"/>
      <c r="BFE6" s="91"/>
      <c r="BFF6" s="91"/>
      <c r="BFG6" s="91"/>
      <c r="BFH6" s="91"/>
      <c r="BFI6" s="91"/>
      <c r="BFJ6" s="91"/>
      <c r="BFK6" s="91"/>
      <c r="BFL6" s="91"/>
      <c r="BFM6" s="91"/>
      <c r="BFN6" s="91"/>
      <c r="BFO6" s="91"/>
      <c r="BFP6" s="91"/>
      <c r="BFQ6" s="91"/>
      <c r="BFR6" s="91"/>
      <c r="BFS6" s="91"/>
      <c r="BFT6" s="91"/>
      <c r="BFU6" s="91"/>
      <c r="BFV6" s="91"/>
      <c r="BFW6" s="91"/>
      <c r="BFX6" s="91"/>
      <c r="BFY6" s="91"/>
      <c r="BFZ6" s="91"/>
      <c r="BGA6" s="91"/>
      <c r="BGB6" s="91"/>
      <c r="BGC6" s="91"/>
      <c r="BGD6" s="91"/>
      <c r="BGE6" s="91"/>
      <c r="BGF6" s="91"/>
      <c r="BGG6" s="91"/>
      <c r="BGH6" s="91"/>
      <c r="BGI6" s="91"/>
      <c r="BGJ6" s="91"/>
      <c r="BGK6" s="91"/>
      <c r="BGL6" s="91"/>
      <c r="BGM6" s="91"/>
      <c r="BGN6" s="91"/>
      <c r="BGO6" s="91"/>
      <c r="BGP6" s="91"/>
      <c r="BGQ6" s="91"/>
      <c r="BGR6" s="91"/>
      <c r="BGS6" s="91"/>
      <c r="BGT6" s="91"/>
      <c r="BGU6" s="91"/>
      <c r="BGV6" s="91"/>
      <c r="BGW6" s="91"/>
      <c r="BGX6" s="91"/>
      <c r="BGY6" s="91"/>
      <c r="BGZ6" s="91"/>
      <c r="BHA6" s="91"/>
      <c r="BHB6" s="91"/>
      <c r="BHC6" s="91"/>
      <c r="BHD6" s="91"/>
      <c r="BHE6" s="91"/>
      <c r="BHF6" s="91"/>
      <c r="BHG6" s="91"/>
      <c r="BHH6" s="91"/>
      <c r="BHI6" s="91"/>
      <c r="BHJ6" s="91"/>
      <c r="BHK6" s="91"/>
      <c r="BHL6" s="91"/>
      <c r="BHM6" s="91"/>
      <c r="BHN6" s="91"/>
      <c r="BHO6" s="91"/>
      <c r="BHP6" s="91"/>
      <c r="BHQ6" s="91"/>
      <c r="BHR6" s="91"/>
      <c r="BHS6" s="91"/>
      <c r="BHT6" s="91"/>
      <c r="BHU6" s="91"/>
      <c r="BHV6" s="91"/>
      <c r="BHW6" s="91"/>
      <c r="BHX6" s="91"/>
      <c r="BHY6" s="91"/>
      <c r="BHZ6" s="91"/>
      <c r="BIA6" s="91"/>
      <c r="BIB6" s="91"/>
      <c r="BIC6" s="91"/>
      <c r="BID6" s="91"/>
      <c r="BIE6" s="91"/>
      <c r="BIF6" s="91"/>
      <c r="BIG6" s="91"/>
      <c r="BIH6" s="91"/>
      <c r="BII6" s="91"/>
      <c r="BIJ6" s="91"/>
      <c r="BIK6" s="91"/>
      <c r="BIL6" s="91"/>
      <c r="BIM6" s="91"/>
      <c r="BIN6" s="91"/>
      <c r="BIO6" s="91"/>
      <c r="BIP6" s="91"/>
      <c r="BIQ6" s="91"/>
      <c r="BIR6" s="91"/>
      <c r="BIS6" s="91"/>
      <c r="BIT6" s="91"/>
      <c r="BIU6" s="91"/>
      <c r="BIV6" s="91"/>
      <c r="BIW6" s="91"/>
      <c r="BIX6" s="91"/>
      <c r="BIY6" s="91"/>
      <c r="BIZ6" s="91"/>
      <c r="BJA6" s="91"/>
      <c r="BJB6" s="91"/>
      <c r="BJC6" s="91"/>
      <c r="BJD6" s="91"/>
      <c r="BJE6" s="91"/>
      <c r="BJF6" s="91"/>
      <c r="BJG6" s="91"/>
      <c r="BJH6" s="91"/>
      <c r="BJI6" s="91"/>
      <c r="BJJ6" s="91"/>
      <c r="BJK6" s="91"/>
      <c r="BJL6" s="91"/>
      <c r="BJM6" s="91"/>
      <c r="BJN6" s="91"/>
      <c r="BJO6" s="91"/>
      <c r="BJP6" s="91"/>
      <c r="BJQ6" s="91"/>
      <c r="BJR6" s="91"/>
      <c r="BJS6" s="91"/>
      <c r="BJT6" s="91"/>
      <c r="BJU6" s="91"/>
      <c r="BJV6" s="91"/>
      <c r="BJW6" s="91"/>
      <c r="BJX6" s="91"/>
      <c r="BJY6" s="91"/>
      <c r="BJZ6" s="91"/>
      <c r="BKA6" s="91"/>
      <c r="BKB6" s="91"/>
      <c r="BKC6" s="91"/>
      <c r="BKD6" s="91"/>
      <c r="BKE6" s="91"/>
      <c r="BKF6" s="91"/>
      <c r="BKG6" s="91"/>
      <c r="BKH6" s="91"/>
      <c r="BKI6" s="91"/>
      <c r="BKJ6" s="91"/>
      <c r="BKK6" s="91"/>
      <c r="BKL6" s="91"/>
      <c r="BKM6" s="91"/>
      <c r="BKN6" s="91"/>
      <c r="BKO6" s="91"/>
      <c r="BKP6" s="91"/>
      <c r="BKQ6" s="91"/>
      <c r="BKR6" s="91"/>
      <c r="BKS6" s="91"/>
      <c r="BKT6" s="91"/>
      <c r="BKU6" s="91"/>
      <c r="BKV6" s="91"/>
      <c r="BKW6" s="91"/>
      <c r="BKX6" s="91"/>
      <c r="BKY6" s="91"/>
      <c r="BKZ6" s="91"/>
      <c r="BLA6" s="91"/>
      <c r="BLB6" s="91"/>
      <c r="BLC6" s="91"/>
      <c r="BLD6" s="91"/>
      <c r="BLE6" s="91"/>
      <c r="BLF6" s="91"/>
      <c r="BLG6" s="91"/>
      <c r="BLH6" s="91"/>
      <c r="BLI6" s="91"/>
      <c r="BLJ6" s="91"/>
      <c r="BLK6" s="91"/>
      <c r="BLL6" s="91"/>
      <c r="BLM6" s="91"/>
      <c r="BLN6" s="91"/>
      <c r="BLO6" s="91"/>
      <c r="BLP6" s="91"/>
      <c r="BLQ6" s="91"/>
      <c r="BLR6" s="91"/>
      <c r="BLS6" s="91"/>
      <c r="BLT6" s="91"/>
      <c r="BLU6" s="91"/>
      <c r="BLV6" s="91"/>
      <c r="BLW6" s="91"/>
      <c r="BLX6" s="91"/>
      <c r="BLY6" s="91"/>
      <c r="BLZ6" s="91"/>
      <c r="BMA6" s="91"/>
      <c r="BMB6" s="91"/>
      <c r="BMC6" s="91"/>
      <c r="BMD6" s="91"/>
      <c r="BME6" s="91"/>
      <c r="BMF6" s="91"/>
      <c r="BMG6" s="91"/>
      <c r="BMH6" s="91"/>
      <c r="BMI6" s="91"/>
      <c r="BMJ6" s="91"/>
      <c r="BMK6" s="91"/>
      <c r="BML6" s="91"/>
      <c r="BMM6" s="91"/>
      <c r="BMN6" s="91"/>
      <c r="BMO6" s="91"/>
      <c r="BMP6" s="91"/>
      <c r="BMQ6" s="91"/>
      <c r="BMR6" s="91"/>
      <c r="BMS6" s="91"/>
      <c r="BMT6" s="91"/>
      <c r="BMU6" s="91"/>
      <c r="BMV6" s="91"/>
      <c r="BMW6" s="91"/>
      <c r="BMX6" s="91"/>
      <c r="BMY6" s="91"/>
      <c r="BMZ6" s="91"/>
      <c r="BNA6" s="91"/>
      <c r="BNB6" s="91"/>
      <c r="BNC6" s="91"/>
      <c r="BND6" s="91"/>
      <c r="BNE6" s="91"/>
      <c r="BNF6" s="91"/>
      <c r="BNG6" s="91"/>
      <c r="BNH6" s="91"/>
      <c r="BNI6" s="91"/>
      <c r="BNJ6" s="91"/>
      <c r="BNK6" s="91"/>
      <c r="BNL6" s="91"/>
      <c r="BNM6" s="91"/>
      <c r="BNN6" s="91"/>
      <c r="BNO6" s="91"/>
      <c r="BNP6" s="91"/>
      <c r="BNQ6" s="91"/>
      <c r="BNR6" s="91"/>
      <c r="BNS6" s="91"/>
      <c r="BNT6" s="91"/>
      <c r="BNU6" s="91"/>
      <c r="BNV6" s="91"/>
      <c r="BNW6" s="91"/>
      <c r="BNX6" s="91"/>
      <c r="BNY6" s="91"/>
      <c r="BNZ6" s="91"/>
      <c r="BOA6" s="91"/>
      <c r="BOB6" s="91"/>
      <c r="BOC6" s="91"/>
      <c r="BOD6" s="91"/>
      <c r="BOE6" s="91"/>
      <c r="BOF6" s="91"/>
      <c r="BOG6" s="91"/>
      <c r="BOH6" s="91"/>
      <c r="BOI6" s="91"/>
      <c r="BOJ6" s="91"/>
      <c r="BOK6" s="91"/>
      <c r="BOL6" s="91"/>
      <c r="BOM6" s="91"/>
      <c r="BON6" s="91"/>
      <c r="BOO6" s="91"/>
      <c r="BOP6" s="91"/>
      <c r="BOQ6" s="91"/>
      <c r="BOR6" s="91"/>
      <c r="BOS6" s="91"/>
      <c r="BOT6" s="91"/>
      <c r="BOU6" s="91"/>
      <c r="BOV6" s="91"/>
      <c r="BOW6" s="91"/>
      <c r="BOX6" s="91"/>
      <c r="BOY6" s="91"/>
      <c r="BOZ6" s="91"/>
      <c r="BPA6" s="91"/>
      <c r="BPB6" s="91"/>
      <c r="BPC6" s="91"/>
      <c r="BPD6" s="91"/>
      <c r="BPE6" s="91"/>
      <c r="BPF6" s="91"/>
      <c r="BPG6" s="91"/>
      <c r="BPH6" s="91"/>
      <c r="BPI6" s="91"/>
      <c r="BPJ6" s="91"/>
      <c r="BPK6" s="91"/>
      <c r="BPL6" s="91"/>
      <c r="BPM6" s="91"/>
      <c r="BPN6" s="91"/>
      <c r="BPO6" s="91"/>
      <c r="BPP6" s="91"/>
      <c r="BPQ6" s="91"/>
      <c r="BPR6" s="91"/>
      <c r="BPS6" s="91"/>
      <c r="BPT6" s="91"/>
      <c r="BPU6" s="91"/>
      <c r="BPV6" s="91"/>
      <c r="BPW6" s="91"/>
      <c r="BPX6" s="91"/>
      <c r="BPY6" s="91"/>
      <c r="BPZ6" s="91"/>
      <c r="BQA6" s="91"/>
      <c r="BQB6" s="91"/>
      <c r="BQC6" s="91"/>
      <c r="BQD6" s="91"/>
      <c r="BQE6" s="91"/>
      <c r="BQF6" s="91"/>
      <c r="BQG6" s="91"/>
      <c r="BQH6" s="91"/>
      <c r="BQI6" s="91"/>
      <c r="BQJ6" s="91"/>
      <c r="BQK6" s="91"/>
      <c r="BQL6" s="91"/>
      <c r="BQM6" s="91"/>
      <c r="BQN6" s="91"/>
      <c r="BQO6" s="91"/>
      <c r="BQP6" s="91"/>
      <c r="BQQ6" s="91"/>
      <c r="BQR6" s="91"/>
      <c r="BQS6" s="91"/>
      <c r="BQT6" s="91"/>
      <c r="BQU6" s="91"/>
      <c r="BQV6" s="91"/>
      <c r="BQW6" s="91"/>
      <c r="BQX6" s="91"/>
      <c r="BQY6" s="91"/>
      <c r="BQZ6" s="91"/>
      <c r="BRA6" s="91"/>
      <c r="BRB6" s="91"/>
      <c r="BRC6" s="91"/>
      <c r="BRD6" s="91"/>
      <c r="BRE6" s="91"/>
      <c r="BRF6" s="91"/>
      <c r="BRG6" s="91"/>
      <c r="BRH6" s="91"/>
      <c r="BRI6" s="91"/>
      <c r="BRJ6" s="91"/>
      <c r="BRK6" s="91"/>
      <c r="BRL6" s="91"/>
      <c r="BRM6" s="91"/>
      <c r="BRN6" s="91"/>
      <c r="BRO6" s="91"/>
      <c r="BRP6" s="91"/>
      <c r="BRQ6" s="91"/>
      <c r="BRR6" s="91"/>
      <c r="BRS6" s="91"/>
      <c r="BRT6" s="91"/>
      <c r="BRU6" s="91"/>
      <c r="BRV6" s="91"/>
      <c r="BRW6" s="91"/>
      <c r="BRX6" s="91"/>
      <c r="BRY6" s="91"/>
      <c r="BRZ6" s="91"/>
      <c r="BSA6" s="91"/>
      <c r="BSB6" s="91"/>
      <c r="BSC6" s="91"/>
      <c r="BSD6" s="91"/>
      <c r="BSE6" s="91"/>
      <c r="BSF6" s="91"/>
      <c r="BSG6" s="91"/>
      <c r="BSH6" s="91"/>
      <c r="BSI6" s="91"/>
      <c r="BSJ6" s="91"/>
      <c r="BSK6" s="91"/>
      <c r="BSL6" s="91"/>
      <c r="BSM6" s="91"/>
      <c r="BSN6" s="91"/>
      <c r="BSO6" s="91"/>
      <c r="BSP6" s="91"/>
      <c r="BSQ6" s="91"/>
      <c r="BSR6" s="91"/>
      <c r="BSS6" s="91"/>
      <c r="BST6" s="91"/>
      <c r="BSU6" s="91"/>
      <c r="BSV6" s="91"/>
      <c r="BSW6" s="91"/>
      <c r="BSX6" s="91"/>
      <c r="BSY6" s="91"/>
      <c r="BSZ6" s="91"/>
      <c r="BTA6" s="91"/>
      <c r="BTB6" s="91"/>
      <c r="BTC6" s="91"/>
      <c r="BTD6" s="91"/>
      <c r="BTE6" s="91"/>
      <c r="BTF6" s="91"/>
      <c r="BTG6" s="91"/>
      <c r="BTH6" s="91"/>
      <c r="BTI6" s="91"/>
      <c r="BTJ6" s="91"/>
      <c r="BTK6" s="91"/>
      <c r="BTL6" s="91"/>
      <c r="BTM6" s="91"/>
      <c r="BTN6" s="91"/>
      <c r="BTO6" s="91"/>
      <c r="BTP6" s="91"/>
      <c r="BTQ6" s="91"/>
      <c r="BTR6" s="91"/>
      <c r="BTS6" s="91"/>
      <c r="BTT6" s="91"/>
      <c r="BTU6" s="91"/>
      <c r="BTV6" s="91"/>
      <c r="BTW6" s="91"/>
      <c r="BTX6" s="91"/>
      <c r="BTY6" s="91"/>
      <c r="BTZ6" s="91"/>
      <c r="BUA6" s="91"/>
      <c r="BUB6" s="91"/>
      <c r="BUC6" s="91"/>
      <c r="BUD6" s="91"/>
      <c r="BUE6" s="91"/>
      <c r="BUF6" s="91"/>
      <c r="BUG6" s="91"/>
      <c r="BUH6" s="91"/>
      <c r="BUI6" s="91"/>
      <c r="BUJ6" s="91"/>
      <c r="BUK6" s="91"/>
      <c r="BUL6" s="91"/>
      <c r="BUM6" s="91"/>
      <c r="BUN6" s="91"/>
      <c r="BUO6" s="91"/>
      <c r="BUP6" s="91"/>
      <c r="BUQ6" s="91"/>
      <c r="BUR6" s="91"/>
      <c r="BUS6" s="91"/>
      <c r="BUT6" s="91"/>
      <c r="BUU6" s="91"/>
      <c r="BUV6" s="91"/>
      <c r="BUW6" s="91"/>
      <c r="BUX6" s="91"/>
      <c r="BUY6" s="91"/>
      <c r="BUZ6" s="91"/>
      <c r="BVA6" s="91"/>
      <c r="BVB6" s="91"/>
      <c r="BVC6" s="91"/>
      <c r="BVD6" s="91"/>
      <c r="BVE6" s="91"/>
      <c r="BVF6" s="91"/>
      <c r="BVG6" s="91"/>
      <c r="BVH6" s="91"/>
      <c r="BVI6" s="91"/>
      <c r="BVJ6" s="91"/>
      <c r="BVK6" s="91"/>
      <c r="BVL6" s="91"/>
      <c r="BVM6" s="91"/>
      <c r="BVN6" s="91"/>
      <c r="BVO6" s="91"/>
      <c r="BVP6" s="91"/>
      <c r="BVQ6" s="91"/>
      <c r="BVR6" s="91"/>
      <c r="BVS6" s="91"/>
      <c r="BVT6" s="91"/>
      <c r="BVU6" s="91"/>
      <c r="BVV6" s="91"/>
      <c r="BVW6" s="91"/>
      <c r="BVX6" s="91"/>
      <c r="BVY6" s="91"/>
      <c r="BVZ6" s="91"/>
      <c r="BWA6" s="91"/>
      <c r="BWB6" s="91"/>
      <c r="BWC6" s="91"/>
      <c r="BWD6" s="91"/>
      <c r="BWE6" s="91"/>
      <c r="BWF6" s="91"/>
      <c r="BWG6" s="91"/>
      <c r="BWH6" s="91"/>
      <c r="BWI6" s="91"/>
      <c r="BWJ6" s="91"/>
      <c r="BWK6" s="91"/>
      <c r="BWL6" s="91"/>
      <c r="BWM6" s="91"/>
      <c r="BWN6" s="91"/>
      <c r="BWO6" s="91"/>
      <c r="BWP6" s="91"/>
      <c r="BWQ6" s="91"/>
      <c r="BWR6" s="91"/>
      <c r="BWS6" s="91"/>
      <c r="BWT6" s="91"/>
      <c r="BWU6" s="91"/>
      <c r="BWV6" s="91"/>
      <c r="BWW6" s="91"/>
      <c r="BWX6" s="91"/>
      <c r="BWY6" s="91"/>
      <c r="BWZ6" s="91"/>
      <c r="BXA6" s="91"/>
      <c r="BXB6" s="91"/>
      <c r="BXC6" s="91"/>
      <c r="BXD6" s="91"/>
      <c r="BXE6" s="91"/>
      <c r="BXF6" s="91"/>
      <c r="BXG6" s="91"/>
      <c r="BXH6" s="91"/>
      <c r="BXI6" s="91"/>
      <c r="BXJ6" s="91"/>
      <c r="BXK6" s="91"/>
      <c r="BXL6" s="91"/>
      <c r="BXM6" s="91"/>
      <c r="BXN6" s="91"/>
      <c r="BXO6" s="91"/>
      <c r="BXP6" s="91"/>
      <c r="BXQ6" s="91"/>
      <c r="BXR6" s="91"/>
      <c r="BXS6" s="91"/>
      <c r="BXT6" s="91"/>
      <c r="BXU6" s="91"/>
      <c r="BXV6" s="91"/>
      <c r="BXW6" s="91"/>
      <c r="BXX6" s="91"/>
      <c r="BXY6" s="91"/>
      <c r="BXZ6" s="91"/>
      <c r="BYA6" s="91"/>
      <c r="BYB6" s="91"/>
      <c r="BYC6" s="91"/>
      <c r="BYD6" s="91"/>
      <c r="BYE6" s="91"/>
      <c r="BYF6" s="91"/>
      <c r="BYG6" s="91"/>
      <c r="BYH6" s="91"/>
      <c r="BYI6" s="91"/>
      <c r="BYJ6" s="91"/>
      <c r="BYK6" s="91"/>
      <c r="BYL6" s="91"/>
      <c r="BYM6" s="91"/>
      <c r="BYN6" s="91"/>
      <c r="BYO6" s="91"/>
      <c r="BYP6" s="91"/>
      <c r="BYQ6" s="91"/>
      <c r="BYR6" s="91"/>
      <c r="BYS6" s="91"/>
      <c r="BYT6" s="91"/>
      <c r="BYU6" s="91"/>
      <c r="BYV6" s="91"/>
      <c r="BYW6" s="91"/>
      <c r="BYX6" s="91"/>
      <c r="BYY6" s="91"/>
      <c r="BYZ6" s="91"/>
      <c r="BZA6" s="91"/>
      <c r="BZB6" s="91"/>
      <c r="BZC6" s="91"/>
      <c r="BZD6" s="91"/>
      <c r="BZE6" s="91"/>
      <c r="BZF6" s="91"/>
      <c r="BZG6" s="91"/>
      <c r="BZH6" s="91"/>
      <c r="BZI6" s="91"/>
      <c r="BZJ6" s="91"/>
      <c r="BZK6" s="91"/>
      <c r="BZL6" s="91"/>
      <c r="BZM6" s="91"/>
      <c r="BZN6" s="91"/>
      <c r="BZO6" s="91"/>
      <c r="BZP6" s="91"/>
      <c r="BZQ6" s="91"/>
      <c r="BZR6" s="91"/>
      <c r="BZS6" s="91"/>
      <c r="BZT6" s="91"/>
      <c r="BZU6" s="91"/>
      <c r="BZV6" s="91"/>
      <c r="BZW6" s="91"/>
      <c r="BZX6" s="91"/>
      <c r="BZY6" s="91"/>
      <c r="BZZ6" s="91"/>
      <c r="CAA6" s="91"/>
      <c r="CAB6" s="91"/>
      <c r="CAC6" s="91"/>
      <c r="CAD6" s="91"/>
      <c r="CAE6" s="91"/>
      <c r="CAF6" s="91"/>
      <c r="CAG6" s="91"/>
      <c r="CAH6" s="91"/>
      <c r="CAI6" s="91"/>
      <c r="CAJ6" s="91"/>
      <c r="CAK6" s="91"/>
      <c r="CAL6" s="91"/>
      <c r="CAM6" s="91"/>
      <c r="CAN6" s="91"/>
      <c r="CAO6" s="91"/>
      <c r="CAP6" s="91"/>
      <c r="CAQ6" s="91"/>
      <c r="CAR6" s="91"/>
      <c r="CAS6" s="91"/>
      <c r="CAT6" s="91"/>
      <c r="CAU6" s="91"/>
      <c r="CAV6" s="91"/>
      <c r="CAW6" s="91"/>
      <c r="CAX6" s="91"/>
      <c r="CAY6" s="91"/>
      <c r="CAZ6" s="91"/>
      <c r="CBA6" s="91"/>
      <c r="CBB6" s="91"/>
      <c r="CBC6" s="91"/>
      <c r="CBD6" s="91"/>
      <c r="CBE6" s="91"/>
      <c r="CBF6" s="91"/>
      <c r="CBG6" s="91"/>
      <c r="CBH6" s="91"/>
      <c r="CBI6" s="91"/>
      <c r="CBJ6" s="91"/>
      <c r="CBK6" s="91"/>
      <c r="CBL6" s="91"/>
      <c r="CBM6" s="91"/>
      <c r="CBN6" s="91"/>
      <c r="CBO6" s="91"/>
      <c r="CBP6" s="91"/>
      <c r="CBQ6" s="91"/>
      <c r="CBR6" s="91"/>
      <c r="CBS6" s="91"/>
      <c r="CBT6" s="91"/>
      <c r="CBU6" s="91"/>
      <c r="CBV6" s="91"/>
      <c r="CBW6" s="91"/>
      <c r="CBX6" s="91"/>
      <c r="CBY6" s="91"/>
      <c r="CBZ6" s="91"/>
      <c r="CCA6" s="91"/>
      <c r="CCB6" s="91"/>
      <c r="CCC6" s="91"/>
      <c r="CCD6" s="91"/>
      <c r="CCE6" s="91"/>
      <c r="CCF6" s="91"/>
      <c r="CCG6" s="91"/>
      <c r="CCH6" s="91"/>
      <c r="CCI6" s="91"/>
      <c r="CCJ6" s="91"/>
      <c r="CCK6" s="91"/>
      <c r="CCL6" s="91"/>
      <c r="CCM6" s="91"/>
      <c r="CCN6" s="91"/>
      <c r="CCO6" s="91"/>
      <c r="CCP6" s="91"/>
      <c r="CCQ6" s="91"/>
      <c r="CCR6" s="91"/>
      <c r="CCS6" s="91"/>
      <c r="CCT6" s="91"/>
      <c r="CCU6" s="91"/>
      <c r="CCV6" s="91"/>
    </row>
    <row r="7" spans="1:2129 15008:15070 15386:15394" ht="14.1" customHeight="1" x14ac:dyDescent="0.25">
      <c r="G7" s="178" t="s">
        <v>187</v>
      </c>
      <c r="H7" s="169"/>
      <c r="I7" s="90"/>
      <c r="J7" s="170"/>
      <c r="K7" s="90"/>
      <c r="L7" s="89"/>
      <c r="M7" s="88"/>
      <c r="N7" s="140"/>
      <c r="O7" s="140"/>
      <c r="P7" s="154"/>
      <c r="Q7" s="147"/>
      <c r="R7" s="89"/>
      <c r="S7" s="89"/>
      <c r="T7" s="88"/>
      <c r="U7" s="165"/>
      <c r="V7" s="165"/>
      <c r="W7" s="165"/>
      <c r="X7" s="87"/>
      <c r="Y7" s="87"/>
      <c r="Z7" s="87"/>
      <c r="AA7" s="87"/>
      <c r="AB7" s="87"/>
      <c r="AC7" s="206" t="s">
        <v>212</v>
      </c>
      <c r="AD7" s="85"/>
      <c r="AE7" s="206"/>
      <c r="AF7" s="85"/>
      <c r="AG7" s="206"/>
      <c r="AH7" s="85"/>
      <c r="AI7" s="206"/>
      <c r="AJ7" s="84" t="s">
        <v>213</v>
      </c>
      <c r="AK7" s="84"/>
      <c r="AL7" s="84"/>
      <c r="AM7" s="86"/>
      <c r="AN7" s="84"/>
      <c r="AO7" s="84"/>
      <c r="AP7" s="84"/>
      <c r="AQ7" s="206" t="s">
        <v>214</v>
      </c>
      <c r="AR7" s="85"/>
      <c r="AS7" s="206"/>
      <c r="AT7" s="85"/>
      <c r="AU7" s="206"/>
      <c r="AV7" s="85"/>
      <c r="AW7" s="85"/>
      <c r="AX7" s="84" t="s">
        <v>215</v>
      </c>
      <c r="AY7" s="86"/>
      <c r="AZ7" s="84"/>
      <c r="BA7" s="84"/>
      <c r="BB7" s="84"/>
      <c r="BC7" s="86"/>
      <c r="BD7" s="84"/>
      <c r="BE7" s="206" t="s">
        <v>216</v>
      </c>
      <c r="BF7" s="85"/>
      <c r="BG7" s="206"/>
      <c r="BH7" s="85"/>
      <c r="BI7" s="85"/>
      <c r="BJ7" s="85"/>
      <c r="BK7" s="206"/>
      <c r="BL7" s="84" t="s">
        <v>217</v>
      </c>
      <c r="BM7" s="84"/>
      <c r="BN7" s="84"/>
      <c r="BO7" s="86"/>
      <c r="BP7" s="84"/>
      <c r="BQ7" s="86"/>
      <c r="BR7" s="84"/>
      <c r="BS7" s="206" t="s">
        <v>218</v>
      </c>
      <c r="BT7" s="85"/>
      <c r="BU7" s="85"/>
      <c r="BV7" s="85"/>
      <c r="BW7" s="206"/>
      <c r="BX7" s="85"/>
      <c r="BY7" s="85"/>
      <c r="BZ7" s="84" t="s">
        <v>219</v>
      </c>
      <c r="CA7" s="86"/>
      <c r="CB7" s="84"/>
      <c r="CC7" s="86"/>
      <c r="CD7" s="84"/>
      <c r="CE7" s="86"/>
      <c r="CF7" s="84"/>
      <c r="CG7" s="85"/>
      <c r="CH7" s="85"/>
      <c r="CI7" s="85"/>
      <c r="CJ7" s="85"/>
      <c r="CK7" s="85"/>
      <c r="CL7" s="85"/>
      <c r="CM7" s="85"/>
      <c r="CN7" s="84"/>
      <c r="CO7" s="84"/>
      <c r="CP7" s="84"/>
      <c r="CQ7" s="84"/>
      <c r="CR7" s="84"/>
      <c r="CS7" s="84"/>
      <c r="CT7" s="84"/>
      <c r="CU7" s="85"/>
      <c r="CV7" s="85"/>
      <c r="CW7" s="85"/>
      <c r="CX7" s="85"/>
      <c r="CY7" s="85"/>
      <c r="CZ7" s="85"/>
      <c r="DA7" s="85"/>
      <c r="DB7" s="84"/>
      <c r="DC7" s="84"/>
      <c r="DD7" s="84"/>
      <c r="DE7" s="84"/>
      <c r="DF7" s="84"/>
      <c r="DG7" s="84"/>
      <c r="DH7" s="84"/>
      <c r="DI7" s="85"/>
      <c r="DJ7" s="85"/>
      <c r="DK7" s="85"/>
      <c r="DL7" s="85"/>
      <c r="DM7" s="85"/>
      <c r="DN7" s="85"/>
      <c r="DO7" s="85"/>
      <c r="DP7" s="84"/>
      <c r="DQ7" s="84"/>
      <c r="DR7" s="84"/>
      <c r="DS7" s="84"/>
      <c r="DT7" s="84"/>
      <c r="DU7" s="84"/>
      <c r="DV7" s="84"/>
      <c r="DW7" s="85"/>
      <c r="DX7" s="85"/>
      <c r="DY7" s="85"/>
      <c r="DZ7" s="85"/>
      <c r="EA7" s="85"/>
      <c r="EB7" s="85"/>
      <c r="EC7" s="85"/>
      <c r="ED7" s="84"/>
      <c r="EE7" s="84"/>
      <c r="EF7" s="84"/>
      <c r="EG7" s="84"/>
      <c r="EH7" s="84"/>
      <c r="EI7" s="84"/>
      <c r="EJ7" s="84"/>
      <c r="EK7" s="85"/>
      <c r="EL7" s="85"/>
      <c r="EM7" s="85"/>
      <c r="EN7" s="85"/>
      <c r="EO7" s="85"/>
      <c r="EP7" s="85"/>
      <c r="EQ7" s="85"/>
      <c r="ER7" s="84"/>
      <c r="ES7" s="84"/>
      <c r="ET7" s="84"/>
      <c r="EU7" s="84"/>
      <c r="EV7" s="84"/>
      <c r="EW7" s="84"/>
      <c r="EX7" s="84"/>
      <c r="EY7" s="85"/>
      <c r="EZ7" s="85"/>
      <c r="FA7" s="85"/>
      <c r="FB7" s="85"/>
      <c r="FC7" s="85"/>
      <c r="FD7" s="85"/>
      <c r="FE7" s="85"/>
      <c r="FF7" s="84"/>
      <c r="FG7" s="84"/>
      <c r="FH7" s="84"/>
      <c r="FI7" s="84"/>
      <c r="FJ7" s="84"/>
      <c r="FK7" s="84"/>
      <c r="FL7" s="84"/>
      <c r="FM7" s="85"/>
      <c r="FN7" s="85"/>
      <c r="FO7" s="85"/>
      <c r="FP7" s="85"/>
      <c r="FQ7" s="85"/>
      <c r="FR7" s="85"/>
      <c r="FS7" s="85"/>
      <c r="FT7" s="84"/>
      <c r="FU7" s="84"/>
      <c r="FV7" s="84"/>
      <c r="FW7" s="84"/>
      <c r="FX7" s="84"/>
      <c r="FY7" s="84"/>
      <c r="FZ7" s="84"/>
      <c r="GA7" s="85"/>
      <c r="GB7" s="85"/>
      <c r="GC7" s="85"/>
      <c r="GD7" s="85"/>
      <c r="GE7" s="85"/>
      <c r="GF7" s="85"/>
      <c r="GG7" s="85"/>
      <c r="GH7" s="84"/>
      <c r="GI7" s="84"/>
      <c r="GJ7" s="84"/>
      <c r="GK7" s="84"/>
      <c r="GL7" s="84"/>
      <c r="GM7" s="84"/>
      <c r="GN7" s="84"/>
      <c r="GO7" s="85"/>
      <c r="GP7" s="85"/>
      <c r="GQ7" s="85"/>
      <c r="GR7" s="85"/>
      <c r="GS7" s="85"/>
      <c r="GT7" s="85"/>
      <c r="GU7" s="85"/>
      <c r="GV7" s="84"/>
      <c r="GW7" s="84"/>
      <c r="GX7" s="84"/>
      <c r="GY7" s="84"/>
      <c r="GZ7" s="84"/>
      <c r="HA7" s="84"/>
      <c r="HB7" s="84"/>
      <c r="HC7" s="85"/>
      <c r="HD7" s="85"/>
      <c r="HE7" s="85"/>
      <c r="HF7" s="85"/>
      <c r="HG7" s="85"/>
      <c r="HH7" s="85"/>
      <c r="HI7" s="85"/>
      <c r="HJ7" s="84"/>
      <c r="HK7" s="84"/>
      <c r="HL7" s="84"/>
      <c r="HM7" s="84"/>
      <c r="HN7" s="84"/>
      <c r="HO7" s="84"/>
      <c r="HP7" s="84"/>
      <c r="HQ7" s="85"/>
      <c r="HR7" s="85"/>
      <c r="HS7" s="85"/>
      <c r="HT7" s="85"/>
      <c r="HU7" s="85"/>
      <c r="HV7" s="85"/>
      <c r="HW7" s="85"/>
      <c r="HX7" s="84"/>
      <c r="HY7" s="84"/>
      <c r="HZ7" s="84"/>
      <c r="IA7" s="84"/>
      <c r="IB7" s="84"/>
      <c r="IC7" s="84"/>
      <c r="ID7" s="84"/>
      <c r="IE7" s="85"/>
      <c r="IF7" s="85"/>
      <c r="IG7" s="85"/>
      <c r="IH7" s="85"/>
      <c r="II7" s="85"/>
      <c r="IJ7" s="85"/>
      <c r="IK7" s="85"/>
      <c r="IL7" s="84"/>
      <c r="IM7" s="84"/>
      <c r="IN7" s="84"/>
      <c r="IO7" s="84"/>
      <c r="IP7" s="84"/>
      <c r="IQ7" s="84"/>
      <c r="IR7" s="84"/>
      <c r="IS7" s="85"/>
      <c r="IT7" s="85"/>
      <c r="IU7" s="85"/>
      <c r="IV7" s="85"/>
      <c r="IW7" s="85"/>
      <c r="IX7" s="85"/>
      <c r="IY7" s="85"/>
      <c r="IZ7" s="84"/>
      <c r="JA7" s="84"/>
      <c r="JB7" s="84"/>
      <c r="JC7" s="84"/>
      <c r="JD7" s="84"/>
      <c r="JE7" s="84"/>
      <c r="JF7" s="84"/>
      <c r="JG7" s="85"/>
      <c r="JH7" s="85"/>
      <c r="JI7" s="85"/>
      <c r="JJ7" s="85"/>
      <c r="JK7" s="85"/>
      <c r="JL7" s="85"/>
      <c r="JM7" s="85"/>
      <c r="JN7" s="84"/>
      <c r="JO7" s="84"/>
      <c r="JP7" s="84"/>
      <c r="JQ7" s="84"/>
      <c r="JR7" s="84"/>
      <c r="JS7" s="84"/>
      <c r="JT7" s="84"/>
      <c r="JU7" s="85"/>
      <c r="JV7" s="85"/>
      <c r="JW7" s="85"/>
      <c r="JX7" s="85"/>
      <c r="JY7" s="85"/>
      <c r="JZ7" s="85"/>
      <c r="KA7" s="85"/>
      <c r="KB7" s="84"/>
      <c r="KC7" s="84"/>
      <c r="KD7" s="84"/>
      <c r="KE7" s="84"/>
      <c r="KF7" s="84"/>
      <c r="KG7" s="84"/>
      <c r="KH7" s="84"/>
      <c r="KI7" s="85"/>
      <c r="KJ7" s="85"/>
      <c r="KK7" s="85"/>
      <c r="KL7" s="85"/>
      <c r="KM7" s="85"/>
      <c r="KN7" s="85"/>
      <c r="KO7" s="85"/>
      <c r="KP7" s="84"/>
      <c r="KQ7" s="84"/>
      <c r="KR7" s="84"/>
      <c r="KS7" s="84"/>
      <c r="KT7" s="84"/>
      <c r="KU7" s="84"/>
      <c r="KV7" s="84"/>
      <c r="KW7" s="85"/>
      <c r="KX7" s="85"/>
      <c r="KY7" s="85"/>
      <c r="KZ7" s="85"/>
      <c r="LA7" s="85"/>
      <c r="LB7" s="85"/>
      <c r="LC7" s="85"/>
      <c r="LD7" s="84"/>
      <c r="LE7" s="84"/>
      <c r="LF7" s="84"/>
      <c r="LG7" s="84"/>
      <c r="LH7" s="84"/>
      <c r="LI7" s="84"/>
      <c r="LJ7" s="84"/>
      <c r="LK7" s="85"/>
      <c r="LL7" s="85"/>
      <c r="LM7" s="85"/>
      <c r="LN7" s="85"/>
      <c r="LO7" s="85"/>
      <c r="LP7" s="85"/>
      <c r="LQ7" s="85"/>
      <c r="LR7" s="84"/>
      <c r="LS7" s="84"/>
      <c r="LT7" s="84"/>
      <c r="LU7" s="84"/>
      <c r="LV7" s="84"/>
      <c r="LW7" s="84"/>
      <c r="LX7" s="84"/>
      <c r="LY7" s="85"/>
      <c r="LZ7" s="85"/>
      <c r="MA7" s="85"/>
      <c r="MB7" s="85"/>
      <c r="MC7" s="85"/>
      <c r="MD7" s="85"/>
      <c r="ME7" s="85"/>
      <c r="MF7" s="84"/>
      <c r="MG7" s="84"/>
      <c r="MH7" s="84"/>
      <c r="MI7" s="84"/>
      <c r="MJ7" s="84"/>
      <c r="MK7" s="84"/>
      <c r="ML7" s="84"/>
      <c r="MM7" s="85"/>
      <c r="MN7" s="85"/>
      <c r="MO7" s="85"/>
      <c r="MP7" s="85"/>
      <c r="MQ7" s="85"/>
      <c r="MR7" s="85"/>
      <c r="MS7" s="85"/>
      <c r="MT7" s="84"/>
      <c r="MU7" s="84"/>
      <c r="MV7" s="84"/>
      <c r="MW7" s="84"/>
      <c r="MX7" s="84"/>
      <c r="MY7" s="84"/>
      <c r="MZ7" s="84"/>
      <c r="NA7" s="85"/>
      <c r="NB7" s="85"/>
      <c r="NC7" s="85"/>
      <c r="ND7" s="85"/>
      <c r="NE7" s="85"/>
      <c r="NF7" s="85"/>
      <c r="NG7" s="85"/>
      <c r="NH7" s="84"/>
      <c r="NI7" s="84"/>
      <c r="NJ7" s="84"/>
      <c r="NK7" s="84"/>
      <c r="NL7" s="84"/>
      <c r="NM7" s="84"/>
      <c r="NN7" s="84"/>
      <c r="NO7" s="85"/>
      <c r="NP7" s="85"/>
      <c r="NQ7" s="85"/>
      <c r="NR7" s="85"/>
      <c r="NS7" s="85"/>
      <c r="NT7" s="85"/>
      <c r="NU7" s="85"/>
      <c r="NV7" s="84"/>
      <c r="NW7" s="84"/>
      <c r="NX7" s="84"/>
      <c r="NY7" s="84"/>
      <c r="NZ7" s="84"/>
      <c r="OA7" s="84"/>
      <c r="OB7" s="84"/>
      <c r="OC7" s="85"/>
      <c r="OD7" s="85"/>
      <c r="OE7" s="85"/>
      <c r="OF7" s="85"/>
      <c r="OG7" s="85"/>
      <c r="OH7" s="85"/>
      <c r="OI7" s="85"/>
      <c r="OJ7" s="84"/>
      <c r="OK7" s="84"/>
      <c r="OL7" s="84"/>
      <c r="OM7" s="84"/>
      <c r="ON7" s="84"/>
      <c r="OO7" s="84"/>
      <c r="OP7" s="84"/>
      <c r="OQ7" s="85"/>
      <c r="OR7" s="85"/>
      <c r="OS7" s="85"/>
      <c r="OT7" s="85"/>
      <c r="OU7" s="85"/>
      <c r="OV7" s="85"/>
      <c r="OW7" s="85"/>
      <c r="OX7" s="84"/>
      <c r="OY7" s="84"/>
      <c r="OZ7" s="84"/>
      <c r="PA7" s="84"/>
      <c r="PB7" s="84"/>
      <c r="PC7" s="84"/>
      <c r="PD7" s="84"/>
      <c r="PE7" s="85"/>
      <c r="PF7" s="85"/>
      <c r="PG7" s="85"/>
      <c r="PH7" s="85"/>
      <c r="PI7" s="85"/>
      <c r="PJ7" s="85"/>
      <c r="PK7" s="85"/>
      <c r="PL7" s="84"/>
      <c r="PM7" s="84"/>
      <c r="PN7" s="84"/>
      <c r="PO7" s="84"/>
      <c r="PP7" s="84"/>
      <c r="PQ7" s="84"/>
      <c r="PR7" s="84"/>
      <c r="PS7" s="85"/>
      <c r="PT7" s="85"/>
      <c r="PU7" s="85"/>
      <c r="PV7" s="85"/>
      <c r="PW7" s="85"/>
      <c r="PX7" s="85"/>
      <c r="PY7" s="85"/>
      <c r="PZ7" s="84"/>
      <c r="QA7" s="84"/>
      <c r="QB7" s="84"/>
      <c r="QC7" s="84"/>
      <c r="QD7" s="84"/>
      <c r="QE7" s="84"/>
      <c r="QF7" s="84"/>
      <c r="QG7" s="85"/>
      <c r="QH7" s="85"/>
      <c r="QI7" s="85"/>
      <c r="QJ7" s="85"/>
      <c r="QK7" s="85"/>
      <c r="QL7" s="85"/>
      <c r="QM7" s="85"/>
      <c r="QN7" s="84"/>
      <c r="QO7" s="84"/>
      <c r="QP7" s="84"/>
      <c r="QQ7" s="84"/>
      <c r="QR7" s="84"/>
      <c r="QS7" s="84"/>
      <c r="QT7" s="84"/>
      <c r="QU7" s="85"/>
      <c r="QV7" s="85"/>
      <c r="QW7" s="85"/>
      <c r="QX7" s="85"/>
      <c r="QY7" s="85"/>
      <c r="QZ7" s="85"/>
      <c r="RA7" s="85"/>
      <c r="RB7" s="84"/>
      <c r="RC7" s="84"/>
      <c r="RD7" s="84"/>
      <c r="RE7" s="84"/>
      <c r="RF7" s="84"/>
      <c r="RG7" s="84"/>
      <c r="RH7" s="84"/>
      <c r="RI7" s="85"/>
      <c r="RJ7" s="85"/>
      <c r="RK7" s="85"/>
      <c r="RL7" s="85"/>
      <c r="RM7" s="85"/>
      <c r="RN7" s="85"/>
      <c r="RO7" s="85"/>
      <c r="RP7" s="84"/>
      <c r="RQ7" s="84"/>
      <c r="RR7" s="84"/>
      <c r="RS7" s="84"/>
      <c r="RT7" s="84"/>
      <c r="RU7" s="84"/>
      <c r="RV7" s="84"/>
      <c r="RW7" s="85"/>
      <c r="RX7" s="85"/>
      <c r="RY7" s="85"/>
      <c r="RZ7" s="85"/>
      <c r="SA7" s="85"/>
      <c r="SB7" s="85"/>
      <c r="SC7" s="85"/>
      <c r="SD7" s="84"/>
      <c r="SE7" s="84"/>
      <c r="SF7" s="84"/>
      <c r="SG7" s="84"/>
      <c r="SH7" s="84"/>
      <c r="SI7" s="84"/>
      <c r="SJ7" s="84"/>
      <c r="SK7" s="85"/>
      <c r="SL7" s="85"/>
      <c r="SM7" s="85"/>
      <c r="SN7" s="85"/>
      <c r="SO7" s="85"/>
      <c r="SP7" s="85"/>
      <c r="SQ7" s="85"/>
      <c r="SR7" s="84"/>
      <c r="SS7" s="84"/>
      <c r="ST7" s="84"/>
      <c r="SU7" s="84"/>
      <c r="SV7" s="84"/>
      <c r="SW7" s="84"/>
      <c r="SX7" s="84"/>
      <c r="SY7" s="85"/>
      <c r="SZ7" s="85"/>
      <c r="TA7" s="85"/>
      <c r="TB7" s="85"/>
      <c r="TC7" s="85"/>
      <c r="TD7" s="85"/>
      <c r="TE7" s="85"/>
      <c r="TF7" s="84"/>
      <c r="TG7" s="84"/>
      <c r="TH7" s="84"/>
      <c r="TI7" s="84"/>
      <c r="TJ7" s="84"/>
      <c r="TK7" s="84"/>
      <c r="TL7" s="84"/>
      <c r="TM7" s="85"/>
      <c r="TN7" s="85"/>
      <c r="TO7" s="85"/>
      <c r="TP7" s="85"/>
      <c r="TQ7" s="85"/>
      <c r="TR7" s="85"/>
      <c r="TS7" s="85"/>
      <c r="TT7" s="84"/>
      <c r="TU7" s="84"/>
      <c r="TV7" s="84"/>
      <c r="TW7" s="84"/>
      <c r="TX7" s="84"/>
      <c r="TY7" s="84"/>
      <c r="TZ7" s="84"/>
      <c r="UA7" s="85"/>
      <c r="UB7" s="85"/>
      <c r="UC7" s="85"/>
      <c r="UD7" s="85"/>
      <c r="UE7" s="85"/>
      <c r="UF7" s="85"/>
      <c r="UG7" s="85"/>
      <c r="UH7" s="84"/>
      <c r="UI7" s="84"/>
      <c r="UJ7" s="84"/>
      <c r="UK7" s="84"/>
      <c r="UL7" s="84"/>
      <c r="UM7" s="84"/>
      <c r="UN7" s="84"/>
      <c r="UO7" s="85"/>
      <c r="UP7" s="85"/>
      <c r="UQ7" s="85"/>
      <c r="UR7" s="85"/>
      <c r="US7" s="85"/>
      <c r="UT7" s="85"/>
      <c r="UU7" s="85"/>
      <c r="UV7" s="84"/>
      <c r="UW7" s="84"/>
      <c r="UX7" s="84"/>
      <c r="UY7" s="84"/>
      <c r="UZ7" s="84"/>
      <c r="VA7" s="84"/>
      <c r="VB7" s="84"/>
      <c r="VC7" s="85"/>
      <c r="VD7" s="85"/>
      <c r="VE7" s="85"/>
      <c r="VF7" s="85"/>
      <c r="VG7" s="85"/>
      <c r="VH7" s="85"/>
      <c r="VI7" s="85"/>
      <c r="VJ7" s="84"/>
      <c r="VK7" s="84"/>
      <c r="VL7" s="84"/>
      <c r="VM7" s="84"/>
      <c r="VN7" s="84"/>
      <c r="VO7" s="84"/>
      <c r="VP7" s="84"/>
      <c r="VQ7" s="85"/>
      <c r="VR7" s="85"/>
      <c r="VS7" s="85"/>
      <c r="VT7" s="85"/>
      <c r="VU7" s="85"/>
      <c r="VV7" s="85"/>
      <c r="VW7" s="85"/>
      <c r="VX7" s="84"/>
      <c r="VY7" s="84"/>
      <c r="VZ7" s="84"/>
      <c r="WA7" s="84"/>
      <c r="WB7" s="84"/>
      <c r="WC7" s="84"/>
      <c r="WD7" s="84"/>
      <c r="WE7" s="85"/>
      <c r="WF7" s="85"/>
      <c r="WG7" s="85"/>
      <c r="WH7" s="85"/>
      <c r="WI7" s="85"/>
      <c r="WJ7" s="85"/>
      <c r="WK7" s="85"/>
      <c r="WL7" s="84"/>
      <c r="WM7" s="84"/>
      <c r="WN7" s="84"/>
      <c r="WO7" s="84"/>
      <c r="WP7" s="84"/>
      <c r="WQ7" s="84"/>
      <c r="WR7" s="84"/>
      <c r="WS7" s="85"/>
      <c r="WT7" s="85"/>
      <c r="WU7" s="85"/>
      <c r="WV7" s="85"/>
      <c r="WW7" s="85"/>
      <c r="WX7" s="85"/>
      <c r="WY7" s="85"/>
      <c r="WZ7" s="84"/>
      <c r="XA7" s="84"/>
      <c r="XB7" s="84"/>
      <c r="XC7" s="84"/>
      <c r="XD7" s="84"/>
      <c r="XE7" s="84"/>
      <c r="XF7" s="84"/>
      <c r="XG7" s="85"/>
      <c r="XH7" s="85"/>
      <c r="XI7" s="85"/>
      <c r="XJ7" s="85"/>
      <c r="XK7" s="85"/>
      <c r="XL7" s="85"/>
      <c r="XM7" s="85"/>
      <c r="XN7" s="84"/>
      <c r="XO7" s="84"/>
      <c r="XP7" s="84"/>
      <c r="XQ7" s="84"/>
      <c r="XR7" s="84"/>
      <c r="XS7" s="84"/>
      <c r="XT7" s="84"/>
      <c r="XU7" s="85"/>
      <c r="XV7" s="85"/>
      <c r="XW7" s="85"/>
      <c r="XX7" s="85"/>
      <c r="XY7" s="85"/>
      <c r="XZ7" s="85"/>
      <c r="YA7" s="85"/>
      <c r="YB7" s="84"/>
      <c r="YC7" s="84"/>
      <c r="YD7" s="84"/>
      <c r="YE7" s="84"/>
      <c r="YF7" s="84"/>
      <c r="YG7" s="84"/>
      <c r="YH7" s="84"/>
      <c r="YI7" s="85"/>
      <c r="YJ7" s="85"/>
      <c r="YK7" s="85"/>
      <c r="YL7" s="85"/>
      <c r="YM7" s="85"/>
      <c r="YN7" s="85"/>
      <c r="YO7" s="85"/>
      <c r="YP7" s="84"/>
      <c r="YQ7" s="84"/>
      <c r="YR7" s="84"/>
      <c r="YS7" s="84"/>
      <c r="YT7" s="84"/>
      <c r="YU7" s="84"/>
      <c r="YV7" s="84"/>
      <c r="YW7" s="85"/>
      <c r="YX7" s="85"/>
      <c r="YY7" s="85"/>
      <c r="YZ7" s="85"/>
      <c r="ZA7" s="85"/>
      <c r="ZB7" s="85"/>
      <c r="ZC7" s="85"/>
      <c r="ZD7" s="84"/>
      <c r="ZE7" s="84"/>
      <c r="ZF7" s="84"/>
      <c r="ZG7" s="84"/>
      <c r="ZH7" s="84"/>
      <c r="ZI7" s="84"/>
      <c r="ZJ7" s="84"/>
      <c r="ZK7" s="85"/>
      <c r="ZL7" s="85"/>
      <c r="ZM7" s="85"/>
      <c r="ZN7" s="85"/>
      <c r="ZO7" s="85"/>
      <c r="ZP7" s="85"/>
      <c r="ZQ7" s="85"/>
      <c r="ZR7" s="84"/>
      <c r="ZS7" s="84"/>
      <c r="ZT7" s="84"/>
      <c r="ZU7" s="84"/>
      <c r="ZV7" s="84"/>
      <c r="ZW7" s="84"/>
      <c r="ZX7" s="84"/>
      <c r="ZY7" s="85"/>
      <c r="ZZ7" s="85"/>
      <c r="AAA7" s="85"/>
      <c r="AAB7" s="85"/>
      <c r="AAC7" s="85"/>
      <c r="AAD7" s="85"/>
      <c r="AAE7" s="85"/>
      <c r="AAF7" s="84"/>
      <c r="AAG7" s="84"/>
      <c r="AAH7" s="84"/>
      <c r="AAI7" s="84"/>
      <c r="AAJ7" s="84"/>
      <c r="AAK7" s="84"/>
      <c r="AAL7" s="84"/>
      <c r="AAM7" s="85"/>
      <c r="AAN7" s="85"/>
      <c r="AAO7" s="85"/>
      <c r="AAP7" s="85"/>
      <c r="AAQ7" s="85"/>
      <c r="AAR7" s="85"/>
      <c r="AAS7" s="85"/>
      <c r="AAT7" s="84"/>
      <c r="AAU7" s="84"/>
      <c r="AAV7" s="84"/>
      <c r="AAW7" s="84"/>
      <c r="AAX7" s="84"/>
      <c r="AAY7" s="84"/>
      <c r="AAZ7" s="84"/>
      <c r="ABA7" s="85"/>
      <c r="ABB7" s="85"/>
      <c r="ABC7" s="85"/>
      <c r="ABD7" s="85"/>
      <c r="ABE7" s="85"/>
      <c r="ABF7" s="85"/>
      <c r="ABG7" s="85"/>
      <c r="ABH7" s="84"/>
      <c r="ABI7" s="84"/>
      <c r="ABJ7" s="84"/>
      <c r="ABK7" s="84"/>
      <c r="ABL7" s="84"/>
      <c r="ABM7" s="84"/>
      <c r="ABN7" s="84"/>
      <c r="ABO7" s="85"/>
      <c r="ABP7" s="85"/>
      <c r="ABQ7" s="85"/>
      <c r="ABR7" s="85"/>
      <c r="ABS7" s="85"/>
      <c r="ABT7" s="85"/>
      <c r="ABU7" s="85"/>
      <c r="ABV7" s="84"/>
      <c r="ABW7" s="84"/>
      <c r="ABX7" s="84"/>
      <c r="ABY7" s="84"/>
      <c r="ABZ7" s="84"/>
      <c r="ACA7" s="84"/>
      <c r="ACB7" s="84"/>
      <c r="ACC7" s="85"/>
      <c r="ACD7" s="85"/>
      <c r="ACE7" s="85"/>
      <c r="ACF7" s="85"/>
      <c r="ACG7" s="85"/>
      <c r="ACH7" s="85"/>
      <c r="ACI7" s="85"/>
      <c r="ACJ7" s="84"/>
      <c r="ACK7" s="84"/>
      <c r="ACL7" s="84"/>
      <c r="ACM7" s="84"/>
      <c r="ACN7" s="84"/>
      <c r="ACO7" s="84"/>
      <c r="ACP7" s="84"/>
      <c r="ACQ7" s="85"/>
      <c r="ACR7" s="85"/>
      <c r="ACS7" s="85"/>
      <c r="ACT7" s="85"/>
      <c r="ACU7" s="85"/>
      <c r="ACV7" s="85"/>
      <c r="ACW7" s="85"/>
      <c r="ACX7" s="84"/>
      <c r="ACY7" s="84"/>
      <c r="ACZ7" s="84"/>
      <c r="ADA7" s="84"/>
      <c r="ADB7" s="84"/>
      <c r="ADC7" s="84"/>
      <c r="ADD7" s="84"/>
      <c r="ADE7" s="85"/>
      <c r="ADF7" s="85"/>
      <c r="ADG7" s="85"/>
      <c r="ADH7" s="85"/>
      <c r="ADI7" s="85"/>
      <c r="ADJ7" s="85"/>
      <c r="ADK7" s="85"/>
      <c r="ADL7" s="84"/>
      <c r="ADM7" s="84"/>
      <c r="ADN7" s="84"/>
      <c r="ADO7" s="84"/>
      <c r="ADP7" s="84"/>
      <c r="ADQ7" s="84"/>
      <c r="ADR7" s="84"/>
      <c r="ADS7" s="85"/>
      <c r="ADT7" s="85"/>
      <c r="ADU7" s="85"/>
      <c r="ADV7" s="85"/>
      <c r="ADW7" s="85"/>
      <c r="ADX7" s="85"/>
      <c r="ADY7" s="85"/>
      <c r="ADZ7" s="84"/>
      <c r="AEA7" s="84"/>
      <c r="AEB7" s="84"/>
      <c r="AEC7" s="84"/>
      <c r="AED7" s="84"/>
      <c r="AEE7" s="84"/>
      <c r="AEF7" s="84"/>
      <c r="AEG7" s="85"/>
      <c r="AEH7" s="85"/>
      <c r="AEI7" s="85"/>
      <c r="AEJ7" s="85"/>
      <c r="AEK7" s="85"/>
      <c r="AEL7" s="85"/>
      <c r="AEM7" s="85"/>
      <c r="AEN7" s="84"/>
      <c r="AEO7" s="84"/>
      <c r="AEP7" s="84"/>
      <c r="AEQ7" s="84"/>
      <c r="AER7" s="84"/>
      <c r="AES7" s="84"/>
      <c r="AET7" s="84"/>
      <c r="AEU7" s="85"/>
      <c r="AEV7" s="85"/>
      <c r="AEW7" s="85"/>
      <c r="AEX7" s="85"/>
      <c r="AEY7" s="85"/>
      <c r="AEZ7" s="85"/>
      <c r="AFA7" s="85"/>
      <c r="AFB7" s="84"/>
      <c r="AFC7" s="84"/>
      <c r="AFD7" s="84"/>
      <c r="AFE7" s="84"/>
      <c r="AFF7" s="84"/>
      <c r="AFG7" s="84"/>
      <c r="AFH7" s="84"/>
      <c r="AFI7" s="85"/>
      <c r="AFJ7" s="85"/>
      <c r="AFK7" s="85"/>
      <c r="AFL7" s="85"/>
      <c r="AFM7" s="85"/>
      <c r="AFN7" s="85"/>
      <c r="AFO7" s="85"/>
      <c r="AFP7" s="84"/>
      <c r="AFQ7" s="84"/>
      <c r="AFR7" s="84"/>
      <c r="AFS7" s="84"/>
      <c r="AFT7" s="84"/>
      <c r="AFU7" s="84"/>
      <c r="AFV7" s="84"/>
      <c r="AFW7" s="85"/>
      <c r="AFX7" s="85"/>
      <c r="AFY7" s="85"/>
      <c r="AFZ7" s="85"/>
      <c r="AGA7" s="85"/>
      <c r="AGB7" s="85"/>
      <c r="AGC7" s="85"/>
      <c r="AGD7" s="84"/>
      <c r="AGE7" s="84"/>
      <c r="AGF7" s="84"/>
      <c r="AGG7" s="84"/>
      <c r="AGH7" s="84"/>
      <c r="AGI7" s="84"/>
      <c r="AGJ7" s="84"/>
      <c r="AGK7" s="85"/>
      <c r="AGL7" s="85"/>
      <c r="AGM7" s="85"/>
      <c r="AGN7" s="85"/>
      <c r="AGO7" s="85"/>
      <c r="AGP7" s="85"/>
      <c r="AGQ7" s="85"/>
      <c r="AGR7" s="84"/>
      <c r="AGS7" s="84"/>
      <c r="AGT7" s="84"/>
      <c r="AGU7" s="84"/>
      <c r="AGV7" s="84"/>
      <c r="AGW7" s="84"/>
      <c r="AGX7" s="84"/>
      <c r="AGY7" s="85"/>
      <c r="AGZ7" s="85"/>
      <c r="AHA7" s="85"/>
      <c r="AHB7" s="85"/>
      <c r="AHC7" s="85"/>
      <c r="AHD7" s="85"/>
      <c r="AHE7" s="85"/>
      <c r="AHF7" s="84"/>
      <c r="AHG7" s="84"/>
      <c r="AHH7" s="84"/>
      <c r="AHI7" s="84"/>
      <c r="AHJ7" s="84"/>
      <c r="AHK7" s="84"/>
      <c r="AHL7" s="84"/>
      <c r="AHM7" s="85"/>
      <c r="AHN7" s="85"/>
      <c r="AHO7" s="85"/>
      <c r="AHP7" s="85"/>
      <c r="AHQ7" s="85"/>
      <c r="AHR7" s="85"/>
      <c r="AHS7" s="85"/>
      <c r="AHT7" s="84"/>
      <c r="AHU7" s="84"/>
      <c r="AHV7" s="84"/>
      <c r="AHW7" s="84"/>
      <c r="AHX7" s="84"/>
      <c r="AHY7" s="84"/>
      <c r="AHZ7" s="84"/>
      <c r="AIA7" s="85"/>
      <c r="AIB7" s="85"/>
      <c r="AIC7" s="85"/>
      <c r="AID7" s="85"/>
      <c r="AIE7" s="85"/>
      <c r="AIF7" s="85"/>
      <c r="AIG7" s="85"/>
      <c r="AIH7" s="84"/>
      <c r="AII7" s="84"/>
      <c r="AIJ7" s="84"/>
      <c r="AIK7" s="84"/>
      <c r="AIL7" s="84"/>
      <c r="AIM7" s="84"/>
      <c r="AIN7" s="84"/>
      <c r="AIO7" s="85"/>
      <c r="AIP7" s="85"/>
      <c r="AIQ7" s="85"/>
      <c r="AIR7" s="85"/>
      <c r="AIS7" s="85"/>
      <c r="AIT7" s="85"/>
      <c r="AIU7" s="85"/>
      <c r="AIV7" s="84"/>
      <c r="AIW7" s="84"/>
      <c r="AIX7" s="84"/>
      <c r="AIY7" s="84"/>
      <c r="AIZ7" s="84"/>
      <c r="AJA7" s="84"/>
      <c r="AJB7" s="84"/>
      <c r="AJC7" s="85"/>
      <c r="AJD7" s="85"/>
      <c r="AJE7" s="85"/>
      <c r="AJF7" s="85"/>
      <c r="AJG7" s="85"/>
      <c r="AJH7" s="85"/>
      <c r="AJI7" s="85"/>
      <c r="AJJ7" s="84"/>
      <c r="AJK7" s="84"/>
      <c r="AJL7" s="84"/>
      <c r="AJM7" s="84"/>
      <c r="AJN7" s="84"/>
      <c r="AJO7" s="84"/>
      <c r="AJP7" s="84"/>
      <c r="AJQ7" s="85"/>
      <c r="AJR7" s="85"/>
      <c r="AJS7" s="85"/>
      <c r="AJT7" s="85"/>
      <c r="AJU7" s="85"/>
      <c r="AJV7" s="85"/>
      <c r="AJW7" s="85"/>
      <c r="AJX7" s="84"/>
      <c r="AJY7" s="84"/>
      <c r="AJZ7" s="84"/>
      <c r="AKA7" s="84"/>
      <c r="AKB7" s="84"/>
      <c r="AKC7" s="84"/>
      <c r="AKD7" s="84"/>
      <c r="AKE7" s="85"/>
      <c r="AKF7" s="85"/>
      <c r="AKG7" s="85"/>
      <c r="AKH7" s="85"/>
      <c r="AKI7" s="85"/>
      <c r="AKJ7" s="85"/>
      <c r="AKK7" s="85"/>
      <c r="AKL7" s="84"/>
      <c r="AKM7" s="84"/>
      <c r="AKN7" s="84"/>
      <c r="AKO7" s="84"/>
      <c r="AKP7" s="84"/>
      <c r="AKQ7" s="84"/>
      <c r="AKR7" s="84"/>
      <c r="AKS7" s="85"/>
      <c r="AKT7" s="85"/>
      <c r="AKU7" s="85"/>
      <c r="AKV7" s="85"/>
      <c r="AKW7" s="85"/>
      <c r="AKX7" s="85"/>
      <c r="AKY7" s="85"/>
      <c r="AKZ7" s="84"/>
      <c r="ALA7" s="84"/>
      <c r="ALB7" s="84"/>
      <c r="ALC7" s="84"/>
      <c r="ALD7" s="84"/>
      <c r="ALE7" s="84"/>
      <c r="ALF7" s="84"/>
      <c r="ALG7" s="85"/>
      <c r="ALH7" s="85"/>
      <c r="ALI7" s="85"/>
      <c r="ALJ7" s="85"/>
      <c r="ALK7" s="85"/>
      <c r="ALL7" s="85"/>
      <c r="ALM7" s="85"/>
      <c r="ALN7" s="84"/>
      <c r="ALO7" s="84"/>
      <c r="ALP7" s="84"/>
      <c r="ALQ7" s="84"/>
      <c r="ALR7" s="84"/>
      <c r="ALS7" s="84"/>
      <c r="ALT7" s="84"/>
      <c r="ALU7" s="85"/>
      <c r="ALV7" s="85"/>
      <c r="ALW7" s="85"/>
      <c r="ALX7" s="85"/>
      <c r="ALY7" s="85"/>
      <c r="ALZ7" s="85"/>
      <c r="AMA7" s="85"/>
      <c r="AMB7" s="84"/>
      <c r="AMC7" s="84"/>
      <c r="AMD7" s="84"/>
      <c r="AME7" s="84"/>
      <c r="AMF7" s="84"/>
      <c r="AMG7" s="84"/>
      <c r="AMH7" s="84"/>
      <c r="AMI7" s="85"/>
      <c r="AMJ7" s="85"/>
      <c r="AMK7" s="85"/>
      <c r="AML7" s="85"/>
      <c r="AMM7" s="85"/>
      <c r="AMN7" s="85"/>
      <c r="AMO7" s="85"/>
      <c r="AMP7" s="84"/>
      <c r="AMQ7" s="84"/>
      <c r="AMR7" s="84"/>
      <c r="AMS7" s="84"/>
      <c r="AMT7" s="84"/>
      <c r="AMU7" s="84"/>
      <c r="AMV7" s="84"/>
      <c r="AMW7" s="85"/>
      <c r="AMX7" s="85"/>
      <c r="AMY7" s="85"/>
      <c r="AMZ7" s="85"/>
      <c r="ANA7" s="85"/>
      <c r="ANB7" s="85"/>
      <c r="ANC7" s="85"/>
      <c r="AND7" s="84"/>
      <c r="ANE7" s="84"/>
      <c r="ANF7" s="84"/>
      <c r="ANG7" s="84"/>
      <c r="ANH7" s="84"/>
      <c r="ANI7" s="84"/>
      <c r="ANJ7" s="84"/>
      <c r="ANK7" s="85"/>
      <c r="ANL7" s="85"/>
      <c r="ANM7" s="85"/>
      <c r="ANN7" s="85"/>
      <c r="ANO7" s="85"/>
      <c r="ANP7" s="85"/>
      <c r="ANQ7" s="85"/>
      <c r="ANR7" s="84"/>
      <c r="ANS7" s="84"/>
      <c r="ANT7" s="84"/>
      <c r="ANU7" s="84"/>
      <c r="ANV7" s="84"/>
      <c r="ANW7" s="84"/>
      <c r="ANX7" s="84"/>
      <c r="ANY7" s="85"/>
      <c r="ANZ7" s="85"/>
      <c r="AOA7" s="85"/>
      <c r="AOB7" s="85"/>
      <c r="AOC7" s="85"/>
      <c r="AOD7" s="85"/>
      <c r="AOE7" s="85"/>
      <c r="AOF7" s="84"/>
      <c r="AOG7" s="84"/>
      <c r="AOH7" s="84"/>
      <c r="AOI7" s="84"/>
      <c r="AOJ7" s="84"/>
      <c r="AOK7" s="84"/>
      <c r="AOL7" s="84"/>
      <c r="AOM7" s="85"/>
      <c r="AON7" s="85"/>
      <c r="AOO7" s="85"/>
      <c r="AOP7" s="85"/>
      <c r="AOQ7" s="85"/>
      <c r="AOR7" s="85"/>
      <c r="AOS7" s="85"/>
      <c r="AOT7" s="84"/>
      <c r="AOU7" s="84"/>
      <c r="AOV7" s="84"/>
      <c r="AOW7" s="84"/>
      <c r="AOX7" s="84"/>
      <c r="AOY7" s="84"/>
      <c r="AOZ7" s="84"/>
      <c r="APA7" s="85"/>
      <c r="APB7" s="85"/>
      <c r="APC7" s="85"/>
      <c r="APD7" s="85"/>
      <c r="APE7" s="85"/>
      <c r="APF7" s="85"/>
      <c r="APG7" s="85"/>
      <c r="APH7" s="84"/>
      <c r="API7" s="84"/>
      <c r="APJ7" s="84"/>
      <c r="APK7" s="84"/>
      <c r="APL7" s="84"/>
      <c r="APM7" s="84"/>
      <c r="APN7" s="84"/>
      <c r="APO7" s="85"/>
      <c r="APP7" s="85"/>
      <c r="APQ7" s="85"/>
      <c r="APR7" s="85"/>
      <c r="APS7" s="85"/>
      <c r="APT7" s="85"/>
      <c r="APU7" s="85"/>
      <c r="APV7" s="84"/>
      <c r="APW7" s="84"/>
      <c r="APX7" s="84"/>
      <c r="APY7" s="84"/>
      <c r="APZ7" s="84"/>
      <c r="AQA7" s="84"/>
      <c r="AQB7" s="84"/>
      <c r="AQC7" s="85"/>
      <c r="AQD7" s="85"/>
      <c r="AQE7" s="85"/>
      <c r="AQF7" s="85"/>
      <c r="AQG7" s="85"/>
      <c r="AQH7" s="85"/>
      <c r="AQI7" s="85"/>
      <c r="AQJ7" s="84"/>
      <c r="AQK7" s="84"/>
      <c r="AQL7" s="84"/>
      <c r="AQM7" s="84"/>
      <c r="AQN7" s="84"/>
      <c r="AQO7" s="84"/>
      <c r="AQP7" s="84"/>
      <c r="AQQ7" s="85"/>
      <c r="AQR7" s="85"/>
      <c r="AQS7" s="85"/>
      <c r="AQT7" s="85"/>
      <c r="AQU7" s="85"/>
      <c r="AQV7" s="85"/>
      <c r="AQW7" s="85"/>
      <c r="AQX7" s="84"/>
      <c r="AQY7" s="84"/>
      <c r="AQZ7" s="84"/>
      <c r="ARA7" s="84"/>
      <c r="ARB7" s="84"/>
      <c r="ARC7" s="84"/>
      <c r="ARD7" s="84"/>
      <c r="ARE7" s="85"/>
      <c r="ARF7" s="85"/>
      <c r="ARG7" s="85"/>
      <c r="ARH7" s="85"/>
      <c r="ARI7" s="85"/>
      <c r="ARJ7" s="85"/>
      <c r="ARK7" s="85"/>
      <c r="ARL7" s="84"/>
      <c r="ARM7" s="84"/>
      <c r="ARN7" s="84"/>
      <c r="ARO7" s="84"/>
      <c r="ARP7" s="84"/>
      <c r="ARQ7" s="84"/>
      <c r="ARR7" s="84"/>
      <c r="ARS7" s="85"/>
      <c r="ART7" s="85"/>
      <c r="ARU7" s="85"/>
      <c r="ARV7" s="85"/>
      <c r="ARW7" s="85"/>
      <c r="ARX7" s="85"/>
      <c r="ARY7" s="85"/>
      <c r="ARZ7" s="84"/>
      <c r="ASA7" s="84"/>
      <c r="ASB7" s="84"/>
      <c r="ASC7" s="84"/>
      <c r="ASD7" s="84"/>
      <c r="ASE7" s="84"/>
      <c r="ASF7" s="84"/>
      <c r="ASG7" s="85"/>
      <c r="ASH7" s="85"/>
      <c r="ASI7" s="85"/>
      <c r="ASJ7" s="85"/>
      <c r="ASK7" s="85"/>
      <c r="ASL7" s="85"/>
      <c r="ASM7" s="85"/>
      <c r="ASN7" s="84"/>
      <c r="ASO7" s="84"/>
      <c r="ASP7" s="84"/>
      <c r="ASQ7" s="84"/>
      <c r="ASR7" s="84"/>
      <c r="ASS7" s="84"/>
      <c r="AST7" s="84"/>
      <c r="ASU7" s="85"/>
      <c r="ASV7" s="85"/>
      <c r="ASW7" s="85"/>
      <c r="ASX7" s="85"/>
      <c r="ASY7" s="85"/>
      <c r="ASZ7" s="85"/>
      <c r="ATA7" s="85"/>
      <c r="ATB7" s="84"/>
      <c r="ATC7" s="84"/>
      <c r="ATD7" s="84"/>
      <c r="ATE7" s="84"/>
      <c r="ATF7" s="84"/>
      <c r="ATG7" s="84"/>
      <c r="ATH7" s="84"/>
      <c r="ATI7" s="85"/>
      <c r="ATJ7" s="85"/>
      <c r="ATK7" s="85"/>
      <c r="ATL7" s="85"/>
      <c r="ATM7" s="85"/>
      <c r="ATN7" s="85"/>
      <c r="ATO7" s="85"/>
      <c r="ATP7" s="84"/>
      <c r="ATQ7" s="84"/>
      <c r="ATR7" s="84"/>
      <c r="ATS7" s="84"/>
      <c r="ATT7" s="84"/>
      <c r="ATU7" s="84"/>
      <c r="ATV7" s="84"/>
      <c r="ATW7" s="85"/>
      <c r="ATX7" s="85"/>
      <c r="ATY7" s="85"/>
      <c r="ATZ7" s="85"/>
      <c r="AUA7" s="85"/>
      <c r="AUB7" s="85"/>
      <c r="AUC7" s="85"/>
      <c r="AUD7" s="84"/>
      <c r="AUE7" s="84"/>
      <c r="AUF7" s="84"/>
      <c r="AUG7" s="84"/>
      <c r="AUH7" s="84"/>
      <c r="AUI7" s="84"/>
      <c r="AUJ7" s="84"/>
      <c r="AUK7" s="85"/>
      <c r="AUL7" s="85"/>
      <c r="AUM7" s="85"/>
      <c r="AUN7" s="85"/>
      <c r="AUO7" s="85"/>
      <c r="AUP7" s="85"/>
      <c r="AUQ7" s="85"/>
      <c r="AUR7" s="84"/>
      <c r="AUS7" s="84"/>
      <c r="AUT7" s="84"/>
      <c r="AUU7" s="84"/>
      <c r="AUV7" s="84"/>
      <c r="AUW7" s="84"/>
      <c r="AUX7" s="84"/>
      <c r="AUY7" s="85"/>
      <c r="AUZ7" s="85"/>
      <c r="AVA7" s="85"/>
      <c r="AVB7" s="85"/>
      <c r="AVC7" s="85"/>
      <c r="AVD7" s="85"/>
      <c r="AVE7" s="85"/>
      <c r="AVF7" s="84"/>
      <c r="AVG7" s="84"/>
      <c r="AVH7" s="84"/>
      <c r="AVI7" s="84"/>
      <c r="AVJ7" s="84"/>
      <c r="AVK7" s="84"/>
      <c r="AVL7" s="84"/>
      <c r="AVM7" s="85"/>
      <c r="AVN7" s="85"/>
      <c r="AVO7" s="85"/>
      <c r="AVP7" s="85"/>
      <c r="AVQ7" s="85"/>
      <c r="AVR7" s="85"/>
      <c r="AVS7" s="85"/>
      <c r="AVT7" s="84"/>
      <c r="AVU7" s="84"/>
      <c r="AVV7" s="84"/>
      <c r="AVW7" s="84"/>
      <c r="AVX7" s="84"/>
      <c r="AVY7" s="84"/>
      <c r="AVZ7" s="84"/>
      <c r="AWA7" s="85"/>
      <c r="AWB7" s="85"/>
      <c r="AWC7" s="85"/>
      <c r="AWD7" s="85"/>
      <c r="AWE7" s="85"/>
      <c r="AWF7" s="85"/>
      <c r="AWG7" s="85"/>
      <c r="AWH7" s="84"/>
      <c r="AWI7" s="84"/>
      <c r="AWJ7" s="84"/>
      <c r="AWK7" s="84"/>
      <c r="AWL7" s="84"/>
      <c r="AWM7" s="84"/>
      <c r="AWN7" s="84"/>
      <c r="AWO7" s="85"/>
      <c r="AWP7" s="85"/>
      <c r="AWQ7" s="85"/>
      <c r="AWR7" s="85"/>
      <c r="AWS7" s="85"/>
      <c r="AWT7" s="85"/>
      <c r="AWU7" s="85"/>
      <c r="AWV7" s="84"/>
      <c r="AWW7" s="84"/>
      <c r="AWX7" s="84"/>
      <c r="AWY7" s="84"/>
      <c r="AWZ7" s="84"/>
      <c r="AXA7" s="84"/>
      <c r="AXB7" s="84"/>
      <c r="AXC7" s="85"/>
      <c r="AXD7" s="85"/>
      <c r="AXE7" s="85"/>
      <c r="AXF7" s="85"/>
      <c r="AXG7" s="85"/>
      <c r="AXH7" s="85"/>
      <c r="AXI7" s="85"/>
      <c r="AXJ7" s="84"/>
      <c r="AXK7" s="84"/>
      <c r="AXL7" s="84"/>
      <c r="AXM7" s="84"/>
      <c r="AXN7" s="84"/>
      <c r="AXO7" s="84"/>
      <c r="AXP7" s="84"/>
      <c r="AXQ7" s="85"/>
      <c r="AXR7" s="85"/>
      <c r="AXS7" s="85"/>
      <c r="AXT7" s="85"/>
      <c r="AXU7" s="85"/>
      <c r="AXV7" s="85"/>
      <c r="AXW7" s="85"/>
      <c r="AXX7" s="84"/>
      <c r="AXY7" s="84"/>
      <c r="AXZ7" s="84"/>
      <c r="AYA7" s="84"/>
      <c r="AYB7" s="84"/>
      <c r="AYC7" s="84"/>
      <c r="AYD7" s="84"/>
      <c r="AYE7" s="85"/>
      <c r="AYF7" s="85"/>
      <c r="AYG7" s="85"/>
      <c r="AYH7" s="85"/>
      <c r="AYI7" s="85"/>
      <c r="AYJ7" s="85"/>
      <c r="AYK7" s="85"/>
      <c r="AYL7" s="84"/>
      <c r="AYM7" s="84"/>
      <c r="AYN7" s="84"/>
      <c r="AYO7" s="84"/>
      <c r="AYP7" s="84"/>
      <c r="AYQ7" s="84"/>
      <c r="AYR7" s="84"/>
      <c r="AYS7" s="85"/>
      <c r="AYT7" s="85"/>
      <c r="AYU7" s="85"/>
      <c r="AYV7" s="85"/>
      <c r="AYW7" s="85"/>
      <c r="AYX7" s="85"/>
      <c r="AYY7" s="85"/>
      <c r="AYZ7" s="84"/>
      <c r="AZA7" s="84"/>
      <c r="AZB7" s="84"/>
      <c r="AZC7" s="84"/>
      <c r="AZD7" s="84"/>
      <c r="AZE7" s="84"/>
      <c r="AZF7" s="84"/>
      <c r="AZG7" s="85"/>
      <c r="AZH7" s="85"/>
      <c r="AZI7" s="85"/>
      <c r="AZJ7" s="85"/>
      <c r="AZK7" s="85"/>
      <c r="AZL7" s="85"/>
      <c r="AZM7" s="85"/>
      <c r="AZN7" s="84"/>
      <c r="AZO7" s="84"/>
      <c r="AZP7" s="84"/>
      <c r="AZQ7" s="84"/>
      <c r="AZR7" s="84"/>
      <c r="AZS7" s="84"/>
      <c r="AZT7" s="84"/>
      <c r="AZU7" s="85"/>
      <c r="AZV7" s="85"/>
      <c r="AZW7" s="85"/>
      <c r="AZX7" s="85"/>
      <c r="AZY7" s="85"/>
      <c r="AZZ7" s="85"/>
      <c r="BAA7" s="85"/>
      <c r="BAB7" s="84"/>
      <c r="BAC7" s="84"/>
      <c r="BAD7" s="84"/>
      <c r="BAE7" s="84"/>
      <c r="BAF7" s="84"/>
      <c r="BAG7" s="84"/>
      <c r="BAH7" s="84"/>
      <c r="BAI7" s="85"/>
      <c r="BAJ7" s="85"/>
      <c r="BAK7" s="85"/>
      <c r="BAL7" s="85"/>
      <c r="BAM7" s="85"/>
      <c r="BAN7" s="85"/>
      <c r="BAO7" s="85"/>
      <c r="BAP7" s="84"/>
      <c r="BAQ7" s="84"/>
      <c r="BAR7" s="84"/>
      <c r="BAS7" s="84"/>
      <c r="BAT7" s="84"/>
      <c r="BAU7" s="84"/>
      <c r="BAV7" s="84"/>
      <c r="BAW7" s="85"/>
      <c r="BAX7" s="85"/>
      <c r="BAY7" s="85"/>
      <c r="BAZ7" s="85"/>
      <c r="BBA7" s="85"/>
      <c r="BBB7" s="85"/>
      <c r="BBC7" s="85"/>
      <c r="BBD7" s="84"/>
      <c r="BBE7" s="84"/>
      <c r="BBF7" s="84"/>
      <c r="BBG7" s="84"/>
      <c r="BBH7" s="84"/>
      <c r="BBI7" s="84"/>
      <c r="BBJ7" s="84"/>
      <c r="BBK7" s="85"/>
      <c r="BBL7" s="85"/>
      <c r="BBM7" s="85"/>
      <c r="BBN7" s="85"/>
      <c r="BBO7" s="85"/>
      <c r="BBP7" s="85"/>
      <c r="BBQ7" s="85"/>
      <c r="BBR7" s="84"/>
      <c r="BBS7" s="84"/>
      <c r="BBT7" s="84"/>
      <c r="BBU7" s="84"/>
      <c r="BBV7" s="84"/>
      <c r="BBW7" s="84"/>
      <c r="BBX7" s="84"/>
      <c r="BBY7" s="85"/>
      <c r="BBZ7" s="85"/>
      <c r="BCA7" s="85"/>
      <c r="BCB7" s="85"/>
      <c r="BCC7" s="85"/>
      <c r="BCD7" s="85"/>
      <c r="BCE7" s="85"/>
      <c r="BCF7" s="84"/>
      <c r="BCG7" s="84"/>
      <c r="BCH7" s="84"/>
      <c r="BCI7" s="84"/>
      <c r="BCJ7" s="84"/>
      <c r="BCK7" s="84"/>
      <c r="BCL7" s="84"/>
      <c r="BCM7" s="85"/>
      <c r="BCN7" s="85"/>
      <c r="BCO7" s="85"/>
      <c r="BCP7" s="85"/>
      <c r="BCQ7" s="85"/>
      <c r="BCR7" s="85"/>
      <c r="BCS7" s="85"/>
      <c r="BCT7" s="84"/>
      <c r="BCU7" s="84"/>
      <c r="BCV7" s="84"/>
      <c r="BCW7" s="84"/>
      <c r="BCX7" s="84"/>
      <c r="BCY7" s="84"/>
      <c r="BCZ7" s="84"/>
      <c r="BDA7" s="85"/>
      <c r="BDB7" s="85"/>
      <c r="BDC7" s="85"/>
      <c r="BDD7" s="85"/>
      <c r="BDE7" s="85"/>
      <c r="BDF7" s="85"/>
      <c r="BDG7" s="85"/>
      <c r="BDH7" s="84"/>
      <c r="BDI7" s="84"/>
      <c r="BDJ7" s="84"/>
      <c r="BDK7" s="84"/>
      <c r="BDL7" s="84"/>
      <c r="BDM7" s="84"/>
      <c r="BDN7" s="84"/>
      <c r="BDO7" s="85"/>
      <c r="BDP7" s="85"/>
      <c r="BDQ7" s="85"/>
      <c r="BDR7" s="85"/>
      <c r="BDS7" s="85"/>
      <c r="BDT7" s="85"/>
      <c r="BDU7" s="85"/>
      <c r="BDV7" s="84"/>
      <c r="BDW7" s="84"/>
      <c r="BDX7" s="84"/>
      <c r="BDY7" s="84"/>
      <c r="BDZ7" s="84"/>
      <c r="BEA7" s="84"/>
      <c r="BEB7" s="84"/>
      <c r="BEC7" s="85"/>
      <c r="BED7" s="85"/>
      <c r="BEE7" s="85"/>
      <c r="BEF7" s="85"/>
      <c r="BEG7" s="85"/>
      <c r="BEH7" s="85"/>
      <c r="BEI7" s="85"/>
      <c r="BEJ7" s="84"/>
      <c r="BEK7" s="84"/>
      <c r="BEL7" s="84"/>
      <c r="BEM7" s="84"/>
      <c r="BEN7" s="84"/>
      <c r="BEO7" s="84"/>
      <c r="BEP7" s="84"/>
      <c r="BEQ7" s="85"/>
      <c r="BER7" s="85"/>
      <c r="BES7" s="85"/>
      <c r="BET7" s="85"/>
      <c r="BEU7" s="85"/>
      <c r="BEV7" s="85"/>
      <c r="BEW7" s="85"/>
      <c r="BEX7" s="84"/>
      <c r="BEY7" s="84"/>
      <c r="BEZ7" s="84"/>
      <c r="BFA7" s="84"/>
      <c r="BFB7" s="84"/>
      <c r="BFC7" s="84"/>
      <c r="BFD7" s="84"/>
      <c r="BFE7" s="85"/>
      <c r="BFF7" s="85"/>
      <c r="BFG7" s="85"/>
      <c r="BFH7" s="85"/>
      <c r="BFI7" s="85"/>
      <c r="BFJ7" s="85"/>
      <c r="BFK7" s="85"/>
      <c r="BFL7" s="84"/>
      <c r="BFM7" s="84"/>
      <c r="BFN7" s="84"/>
      <c r="BFO7" s="84"/>
      <c r="BFP7" s="84"/>
      <c r="BFQ7" s="84"/>
      <c r="BFR7" s="84"/>
      <c r="BFS7" s="85"/>
      <c r="BFT7" s="85"/>
      <c r="BFU7" s="85"/>
      <c r="BFV7" s="85"/>
      <c r="BFW7" s="85"/>
      <c r="BFX7" s="85"/>
      <c r="BFY7" s="85"/>
      <c r="BFZ7" s="84"/>
      <c r="BGA7" s="84"/>
      <c r="BGB7" s="84"/>
      <c r="BGC7" s="84"/>
      <c r="BGD7" s="84"/>
      <c r="BGE7" s="84"/>
      <c r="BGF7" s="84"/>
      <c r="BGG7" s="85"/>
      <c r="BGH7" s="85"/>
      <c r="BGI7" s="85"/>
      <c r="BGJ7" s="85"/>
      <c r="BGK7" s="85"/>
      <c r="BGL7" s="85"/>
      <c r="BGM7" s="85"/>
      <c r="BGN7" s="84"/>
      <c r="BGO7" s="84"/>
      <c r="BGP7" s="84"/>
      <c r="BGQ7" s="84"/>
      <c r="BGR7" s="84"/>
      <c r="BGS7" s="84"/>
      <c r="BGT7" s="84"/>
      <c r="BGU7" s="85"/>
      <c r="BGV7" s="85"/>
      <c r="BGW7" s="85"/>
      <c r="BGX7" s="85"/>
      <c r="BGY7" s="85"/>
      <c r="BGZ7" s="85"/>
      <c r="BHA7" s="85"/>
      <c r="BHB7" s="84"/>
      <c r="BHC7" s="84"/>
      <c r="BHD7" s="84"/>
      <c r="BHE7" s="84"/>
      <c r="BHF7" s="84"/>
      <c r="BHG7" s="84"/>
      <c r="BHH7" s="84"/>
      <c r="BHI7" s="85"/>
      <c r="BHJ7" s="85"/>
      <c r="BHK7" s="85"/>
      <c r="BHL7" s="85"/>
      <c r="BHM7" s="85"/>
      <c r="BHN7" s="85"/>
      <c r="BHO7" s="85"/>
      <c r="BHP7" s="84"/>
      <c r="BHQ7" s="84"/>
      <c r="BHR7" s="84"/>
      <c r="BHS7" s="84"/>
      <c r="BHT7" s="84"/>
      <c r="BHU7" s="84"/>
      <c r="BHV7" s="84"/>
      <c r="BHW7" s="85"/>
      <c r="BHX7" s="85"/>
      <c r="BHY7" s="85"/>
      <c r="BHZ7" s="85"/>
      <c r="BIA7" s="85"/>
      <c r="BIB7" s="85"/>
      <c r="BIC7" s="85"/>
      <c r="BID7" s="84"/>
      <c r="BIE7" s="84"/>
      <c r="BIF7" s="84"/>
      <c r="BIG7" s="84"/>
      <c r="BIH7" s="84"/>
      <c r="BII7" s="84"/>
      <c r="BIJ7" s="84"/>
      <c r="BIK7" s="85"/>
      <c r="BIL7" s="85"/>
      <c r="BIM7" s="85"/>
      <c r="BIN7" s="85"/>
      <c r="BIO7" s="85"/>
      <c r="BIP7" s="85"/>
      <c r="BIQ7" s="85"/>
      <c r="BIR7" s="84"/>
      <c r="BIS7" s="84"/>
      <c r="BIT7" s="84"/>
      <c r="BIU7" s="84"/>
      <c r="BIV7" s="84"/>
      <c r="BIW7" s="84"/>
      <c r="BIX7" s="84"/>
      <c r="BIY7" s="85"/>
      <c r="BIZ7" s="85"/>
      <c r="BJA7" s="85"/>
      <c r="BJB7" s="85"/>
      <c r="BJC7" s="85"/>
      <c r="BJD7" s="85"/>
      <c r="BJE7" s="85"/>
      <c r="BJF7" s="84"/>
      <c r="BJG7" s="84"/>
      <c r="BJH7" s="84"/>
      <c r="BJI7" s="84"/>
      <c r="BJJ7" s="84"/>
      <c r="BJK7" s="84"/>
      <c r="BJL7" s="84"/>
      <c r="BJM7" s="85"/>
      <c r="BJN7" s="85"/>
      <c r="BJO7" s="85"/>
      <c r="BJP7" s="85"/>
      <c r="BJQ7" s="85"/>
      <c r="BJR7" s="85"/>
      <c r="BJS7" s="85"/>
      <c r="BJT7" s="84"/>
      <c r="BJU7" s="84"/>
      <c r="BJV7" s="84"/>
      <c r="BJW7" s="84"/>
      <c r="BJX7" s="84"/>
      <c r="BJY7" s="84"/>
      <c r="BJZ7" s="84"/>
      <c r="BKA7" s="85"/>
      <c r="BKB7" s="85"/>
      <c r="BKC7" s="85"/>
      <c r="BKD7" s="85"/>
      <c r="BKE7" s="85"/>
      <c r="BKF7" s="85"/>
      <c r="BKG7" s="85"/>
      <c r="BKH7" s="84"/>
      <c r="BKI7" s="84"/>
      <c r="BKJ7" s="84"/>
      <c r="BKK7" s="84"/>
      <c r="BKL7" s="84"/>
      <c r="BKM7" s="84"/>
      <c r="BKN7" s="84"/>
      <c r="BKO7" s="85"/>
      <c r="BKP7" s="85"/>
      <c r="BKQ7" s="85"/>
      <c r="BKR7" s="85"/>
      <c r="BKS7" s="85"/>
      <c r="BKT7" s="85"/>
      <c r="BKU7" s="85"/>
      <c r="BKV7" s="84"/>
      <c r="BKW7" s="84"/>
      <c r="BKX7" s="84"/>
      <c r="BKY7" s="84"/>
      <c r="BKZ7" s="84"/>
      <c r="BLA7" s="84"/>
      <c r="BLB7" s="84"/>
      <c r="BLC7" s="85"/>
      <c r="BLD7" s="85"/>
      <c r="BLE7" s="85"/>
      <c r="BLF7" s="85"/>
      <c r="BLG7" s="85"/>
      <c r="BLH7" s="85"/>
      <c r="BLI7" s="85"/>
      <c r="BLJ7" s="84"/>
      <c r="BLK7" s="84"/>
      <c r="BLL7" s="84"/>
      <c r="BLM7" s="84"/>
      <c r="BLN7" s="84"/>
      <c r="BLO7" s="84"/>
      <c r="BLP7" s="84"/>
      <c r="BLQ7" s="85"/>
      <c r="BLR7" s="85"/>
      <c r="BLS7" s="85"/>
      <c r="BLT7" s="85"/>
      <c r="BLU7" s="85"/>
      <c r="BLV7" s="85"/>
      <c r="BLW7" s="85"/>
      <c r="BLX7" s="84"/>
      <c r="BLY7" s="84"/>
      <c r="BLZ7" s="84"/>
      <c r="BMA7" s="84"/>
      <c r="BMB7" s="84"/>
      <c r="BMC7" s="84"/>
      <c r="BMD7" s="84"/>
      <c r="BME7" s="85"/>
      <c r="BMF7" s="85"/>
      <c r="BMG7" s="85"/>
      <c r="BMH7" s="85"/>
      <c r="BMI7" s="85"/>
      <c r="BMJ7" s="85"/>
      <c r="BMK7" s="85"/>
      <c r="BML7" s="84"/>
      <c r="BMM7" s="84"/>
      <c r="BMN7" s="84"/>
      <c r="BMO7" s="84"/>
      <c r="BMP7" s="84"/>
      <c r="BMQ7" s="84"/>
      <c r="BMR7" s="84"/>
      <c r="BMS7" s="85"/>
      <c r="BMT7" s="85"/>
      <c r="BMU7" s="85"/>
      <c r="BMV7" s="85"/>
      <c r="BMW7" s="85"/>
      <c r="BMX7" s="85"/>
      <c r="BMY7" s="85"/>
      <c r="BMZ7" s="84"/>
      <c r="BNA7" s="84"/>
      <c r="BNB7" s="84"/>
      <c r="BNC7" s="84"/>
      <c r="BND7" s="84"/>
      <c r="BNE7" s="84"/>
      <c r="BNF7" s="84"/>
      <c r="BNG7" s="85"/>
      <c r="BNH7" s="85"/>
      <c r="BNI7" s="85"/>
      <c r="BNJ7" s="85"/>
      <c r="BNK7" s="85"/>
      <c r="BNL7" s="85"/>
      <c r="BNM7" s="85"/>
      <c r="BNN7" s="84"/>
      <c r="BNO7" s="84"/>
      <c r="BNP7" s="84"/>
      <c r="BNQ7" s="84"/>
      <c r="BNR7" s="84"/>
      <c r="BNS7" s="84"/>
      <c r="BNT7" s="84"/>
      <c r="BNU7" s="85"/>
      <c r="BNV7" s="85"/>
      <c r="BNW7" s="85"/>
      <c r="BNX7" s="85"/>
      <c r="BNY7" s="85"/>
      <c r="BNZ7" s="85"/>
      <c r="BOA7" s="85"/>
      <c r="BOB7" s="84"/>
      <c r="BOC7" s="84"/>
      <c r="BOD7" s="84"/>
      <c r="BOE7" s="84"/>
      <c r="BOF7" s="84"/>
      <c r="BOG7" s="84"/>
      <c r="BOH7" s="84"/>
      <c r="BOI7" s="85"/>
      <c r="BOJ7" s="85"/>
      <c r="BOK7" s="85"/>
      <c r="BOL7" s="85"/>
      <c r="BOM7" s="85"/>
      <c r="BON7" s="85"/>
      <c r="BOO7" s="85"/>
      <c r="BOP7" s="84"/>
      <c r="BOQ7" s="84"/>
      <c r="BOR7" s="84"/>
      <c r="BOS7" s="84"/>
      <c r="BOT7" s="84"/>
      <c r="BOU7" s="84"/>
      <c r="BOV7" s="84"/>
      <c r="BOW7" s="85"/>
      <c r="BOX7" s="85"/>
      <c r="BOY7" s="85"/>
      <c r="BOZ7" s="85"/>
      <c r="BPA7" s="85"/>
      <c r="BPB7" s="85"/>
      <c r="BPC7" s="85"/>
      <c r="BPD7" s="84"/>
      <c r="BPE7" s="84"/>
      <c r="BPF7" s="84"/>
      <c r="BPG7" s="84"/>
      <c r="BPH7" s="84"/>
      <c r="BPI7" s="84"/>
      <c r="BPJ7" s="84"/>
      <c r="BPK7" s="85"/>
      <c r="BPL7" s="85"/>
      <c r="BPM7" s="85"/>
      <c r="BPN7" s="85"/>
      <c r="BPO7" s="85"/>
      <c r="BPP7" s="85"/>
      <c r="BPQ7" s="85"/>
      <c r="BPR7" s="84"/>
      <c r="BPS7" s="84"/>
      <c r="BPT7" s="84"/>
      <c r="BPU7" s="84"/>
      <c r="BPV7" s="84"/>
      <c r="BPW7" s="84"/>
      <c r="BPX7" s="84"/>
      <c r="BPY7" s="85"/>
      <c r="BPZ7" s="85"/>
      <c r="BQA7" s="85"/>
      <c r="BQB7" s="85"/>
      <c r="BQC7" s="85"/>
      <c r="BQD7" s="85"/>
      <c r="BQE7" s="85"/>
      <c r="BQF7" s="84"/>
      <c r="BQG7" s="84"/>
      <c r="BQH7" s="84"/>
      <c r="BQI7" s="84"/>
      <c r="BQJ7" s="84"/>
      <c r="BQK7" s="84"/>
      <c r="BQL7" s="84"/>
      <c r="BQM7" s="85"/>
      <c r="BQN7" s="85"/>
      <c r="BQO7" s="85"/>
      <c r="BQP7" s="85"/>
      <c r="BQQ7" s="85"/>
      <c r="BQR7" s="85"/>
      <c r="BQS7" s="85"/>
      <c r="BQT7" s="84"/>
      <c r="BQU7" s="84"/>
      <c r="BQV7" s="84"/>
      <c r="BQW7" s="84"/>
      <c r="BQX7" s="84"/>
      <c r="BQY7" s="84"/>
      <c r="BQZ7" s="84"/>
      <c r="BRA7" s="85"/>
      <c r="BRB7" s="85"/>
      <c r="BRC7" s="85"/>
      <c r="BRD7" s="85"/>
      <c r="BRE7" s="85"/>
      <c r="BRF7" s="85"/>
      <c r="BRG7" s="85"/>
      <c r="BRH7" s="84"/>
      <c r="BRI7" s="84"/>
      <c r="BRJ7" s="84"/>
      <c r="BRK7" s="84"/>
      <c r="BRL7" s="84"/>
      <c r="BRM7" s="84"/>
      <c r="BRN7" s="84"/>
      <c r="BRO7" s="85"/>
      <c r="BRP7" s="85"/>
      <c r="BRQ7" s="85"/>
      <c r="BRR7" s="85"/>
      <c r="BRS7" s="85"/>
      <c r="BRT7" s="85"/>
      <c r="BRU7" s="85"/>
      <c r="BRV7" s="84"/>
      <c r="BRW7" s="84"/>
      <c r="BRX7" s="84"/>
      <c r="BRY7" s="84"/>
      <c r="BRZ7" s="84"/>
      <c r="BSA7" s="84"/>
      <c r="BSB7" s="84"/>
      <c r="BSC7" s="85"/>
      <c r="BSD7" s="85"/>
      <c r="BSE7" s="85"/>
      <c r="BSF7" s="85"/>
      <c r="BSG7" s="85"/>
      <c r="BSH7" s="85"/>
      <c r="BSI7" s="85"/>
      <c r="BSJ7" s="84"/>
      <c r="BSK7" s="84"/>
      <c r="BSL7" s="84"/>
      <c r="BSM7" s="84"/>
      <c r="BSN7" s="84"/>
      <c r="BSO7" s="84"/>
      <c r="BSP7" s="84"/>
      <c r="BSQ7" s="85"/>
      <c r="BSR7" s="85"/>
      <c r="BSS7" s="85"/>
      <c r="BST7" s="85"/>
      <c r="BSU7" s="85"/>
      <c r="BSV7" s="85"/>
      <c r="BSW7" s="85"/>
      <c r="BSX7" s="84"/>
      <c r="BSY7" s="84"/>
      <c r="BSZ7" s="84"/>
      <c r="BTA7" s="84"/>
      <c r="BTB7" s="84"/>
      <c r="BTC7" s="84"/>
      <c r="BTD7" s="84"/>
      <c r="BTE7" s="85"/>
      <c r="BTF7" s="85"/>
      <c r="BTG7" s="85"/>
      <c r="BTH7" s="85"/>
      <c r="BTI7" s="85"/>
      <c r="BTJ7" s="85"/>
      <c r="BTK7" s="85"/>
      <c r="BTL7" s="84"/>
      <c r="BTM7" s="84"/>
      <c r="BTN7" s="84"/>
      <c r="BTO7" s="84"/>
      <c r="BTP7" s="84"/>
      <c r="BTQ7" s="84"/>
      <c r="BTR7" s="84"/>
      <c r="BTS7" s="85"/>
      <c r="BTT7" s="85"/>
      <c r="BTU7" s="85"/>
      <c r="BTV7" s="85"/>
      <c r="BTW7" s="85"/>
      <c r="BTX7" s="85"/>
      <c r="BTY7" s="85"/>
      <c r="BTZ7" s="84"/>
      <c r="BUA7" s="84"/>
      <c r="BUB7" s="84"/>
      <c r="BUC7" s="84"/>
      <c r="BUD7" s="84"/>
      <c r="BUE7" s="84"/>
      <c r="BUF7" s="84"/>
      <c r="BUG7" s="85"/>
      <c r="BUH7" s="85"/>
      <c r="BUI7" s="85"/>
      <c r="BUJ7" s="85"/>
      <c r="BUK7" s="85"/>
      <c r="BUL7" s="85"/>
      <c r="BUM7" s="85"/>
      <c r="BUN7" s="84"/>
      <c r="BUO7" s="84"/>
      <c r="BUP7" s="84"/>
      <c r="BUQ7" s="84"/>
      <c r="BUR7" s="84"/>
      <c r="BUS7" s="84"/>
      <c r="BUT7" s="84"/>
      <c r="BUU7" s="85"/>
      <c r="BUV7" s="85"/>
      <c r="BUW7" s="85"/>
      <c r="BUX7" s="85"/>
      <c r="BUY7" s="85"/>
      <c r="BUZ7" s="85"/>
      <c r="BVA7" s="85"/>
      <c r="BVB7" s="84"/>
      <c r="BVC7" s="84"/>
      <c r="BVD7" s="84"/>
      <c r="BVE7" s="84"/>
      <c r="BVF7" s="84"/>
      <c r="BVG7" s="84"/>
      <c r="BVH7" s="84"/>
      <c r="BVI7" s="85"/>
      <c r="BVJ7" s="85"/>
      <c r="BVK7" s="85"/>
      <c r="BVL7" s="85"/>
      <c r="BVM7" s="85"/>
      <c r="BVN7" s="85"/>
      <c r="BVO7" s="85"/>
      <c r="BVP7" s="84"/>
      <c r="BVQ7" s="84"/>
      <c r="BVR7" s="84"/>
      <c r="BVS7" s="84"/>
      <c r="BVT7" s="84"/>
      <c r="BVU7" s="84"/>
      <c r="BVV7" s="84"/>
      <c r="BVW7" s="85"/>
      <c r="BVX7" s="85"/>
      <c r="BVY7" s="85"/>
      <c r="BVZ7" s="85"/>
      <c r="BWA7" s="85"/>
      <c r="BWB7" s="85"/>
      <c r="BWC7" s="85"/>
      <c r="BWD7" s="84"/>
      <c r="BWE7" s="84"/>
      <c r="BWF7" s="84"/>
      <c r="BWG7" s="84"/>
      <c r="BWH7" s="84"/>
      <c r="BWI7" s="84"/>
      <c r="BWJ7" s="84"/>
      <c r="BWK7" s="85"/>
      <c r="BWL7" s="85"/>
      <c r="BWM7" s="85"/>
      <c r="BWN7" s="85"/>
      <c r="BWO7" s="85"/>
      <c r="BWP7" s="85"/>
      <c r="BWQ7" s="85"/>
      <c r="BWR7" s="84"/>
      <c r="BWS7" s="84"/>
      <c r="BWT7" s="84"/>
      <c r="BWU7" s="84"/>
      <c r="BWV7" s="84"/>
      <c r="BWW7" s="84"/>
      <c r="BWX7" s="84"/>
      <c r="BWY7" s="85"/>
      <c r="BWZ7" s="85"/>
      <c r="BXA7" s="85"/>
      <c r="BXB7" s="85"/>
      <c r="BXC7" s="85"/>
      <c r="BXD7" s="85"/>
      <c r="BXE7" s="85"/>
      <c r="BXF7" s="84"/>
      <c r="BXG7" s="84"/>
      <c r="BXH7" s="84"/>
      <c r="BXI7" s="84"/>
      <c r="BXJ7" s="84"/>
      <c r="BXK7" s="84"/>
      <c r="BXL7" s="84"/>
      <c r="BXM7" s="85"/>
      <c r="BXN7" s="85"/>
      <c r="BXO7" s="85"/>
      <c r="BXP7" s="85"/>
      <c r="BXQ7" s="85"/>
      <c r="BXR7" s="85"/>
      <c r="BXS7" s="85"/>
      <c r="BXT7" s="84"/>
      <c r="BXU7" s="84"/>
      <c r="BXV7" s="84"/>
      <c r="BXW7" s="84"/>
      <c r="BXX7" s="84"/>
      <c r="BXY7" s="84"/>
      <c r="BXZ7" s="84"/>
      <c r="BYA7" s="85"/>
      <c r="BYB7" s="85"/>
      <c r="BYC7" s="85"/>
      <c r="BYD7" s="85"/>
      <c r="BYE7" s="85"/>
      <c r="BYF7" s="85"/>
      <c r="BYG7" s="85"/>
      <c r="BYH7" s="84"/>
      <c r="BYI7" s="84"/>
      <c r="BYJ7" s="84"/>
      <c r="BYK7" s="84"/>
      <c r="BYL7" s="84"/>
      <c r="BYM7" s="84"/>
      <c r="BYN7" s="84"/>
      <c r="BYO7" s="85"/>
      <c r="BYP7" s="85"/>
      <c r="BYQ7" s="85"/>
      <c r="BYR7" s="85"/>
      <c r="BYS7" s="85"/>
      <c r="BYT7" s="85"/>
      <c r="BYU7" s="85"/>
      <c r="BYV7" s="84"/>
      <c r="BYW7" s="84"/>
      <c r="BYX7" s="84"/>
      <c r="BYY7" s="84"/>
      <c r="BYZ7" s="84"/>
      <c r="BZA7" s="84"/>
      <c r="BZB7" s="84"/>
      <c r="BZC7" s="85"/>
      <c r="BZD7" s="85"/>
      <c r="BZE7" s="85"/>
      <c r="BZF7" s="85"/>
      <c r="BZG7" s="85"/>
      <c r="BZH7" s="85"/>
      <c r="BZI7" s="85"/>
      <c r="BZJ7" s="84"/>
      <c r="BZK7" s="84"/>
      <c r="BZL7" s="84"/>
      <c r="BZM7" s="84"/>
      <c r="BZN7" s="84"/>
      <c r="BZO7" s="84"/>
      <c r="BZP7" s="84"/>
      <c r="BZQ7" s="85"/>
      <c r="BZR7" s="85"/>
      <c r="BZS7" s="85"/>
      <c r="BZT7" s="85"/>
      <c r="BZU7" s="85"/>
      <c r="BZV7" s="85"/>
      <c r="BZW7" s="85"/>
      <c r="BZX7" s="84"/>
      <c r="BZY7" s="84"/>
      <c r="BZZ7" s="84"/>
      <c r="CAA7" s="84"/>
      <c r="CAB7" s="84"/>
      <c r="CAC7" s="84"/>
      <c r="CAD7" s="84"/>
      <c r="CAE7" s="85"/>
      <c r="CAF7" s="85"/>
      <c r="CAG7" s="85"/>
      <c r="CAH7" s="85"/>
      <c r="CAI7" s="85"/>
      <c r="CAJ7" s="85"/>
      <c r="CAK7" s="85"/>
      <c r="CAL7" s="84"/>
      <c r="CAM7" s="84"/>
      <c r="CAN7" s="84"/>
      <c r="CAO7" s="84"/>
      <c r="CAP7" s="84"/>
      <c r="CAQ7" s="84"/>
      <c r="CAR7" s="84"/>
      <c r="CAS7" s="85"/>
      <c r="CAT7" s="85"/>
      <c r="CAU7" s="85"/>
      <c r="CAV7" s="85"/>
      <c r="CAW7" s="85"/>
      <c r="CAX7" s="85"/>
      <c r="CAY7" s="85"/>
      <c r="CAZ7" s="84"/>
      <c r="CBA7" s="84"/>
      <c r="CBB7" s="84"/>
      <c r="CBC7" s="84"/>
      <c r="CBD7" s="84"/>
      <c r="CBE7" s="84"/>
      <c r="CBF7" s="84"/>
      <c r="CBG7" s="85"/>
      <c r="CBH7" s="85"/>
      <c r="CBI7" s="85"/>
      <c r="CBJ7" s="85"/>
      <c r="CBK7" s="85"/>
      <c r="CBL7" s="85"/>
      <c r="CBM7" s="85"/>
      <c r="CBN7" s="84"/>
      <c r="CBO7" s="84"/>
      <c r="CBP7" s="84"/>
      <c r="CBQ7" s="84"/>
      <c r="CBR7" s="84"/>
      <c r="CBS7" s="84"/>
      <c r="CBT7" s="84"/>
      <c r="CBU7" s="85"/>
      <c r="CBV7" s="85"/>
      <c r="CBW7" s="85"/>
      <c r="CBX7" s="85"/>
      <c r="CBY7" s="85"/>
      <c r="CBZ7" s="85"/>
      <c r="CCA7" s="85"/>
      <c r="CCB7" s="84"/>
      <c r="CCC7" s="84"/>
      <c r="CCD7" s="84"/>
      <c r="CCE7" s="84"/>
      <c r="CCF7" s="84"/>
      <c r="CCG7" s="84"/>
      <c r="CCH7" s="84"/>
      <c r="CCI7" s="85"/>
      <c r="CCJ7" s="85"/>
      <c r="CCK7" s="85"/>
      <c r="CCL7" s="85"/>
      <c r="CCM7" s="85"/>
      <c r="CCN7" s="85"/>
      <c r="CCO7" s="85"/>
      <c r="CCP7" s="84"/>
      <c r="CCQ7" s="84"/>
      <c r="CCR7" s="84"/>
      <c r="CCS7" s="84"/>
      <c r="CCT7" s="84"/>
      <c r="CCU7" s="84"/>
      <c r="CCV7" s="84"/>
    </row>
    <row r="8" spans="1:2129 15008:15070 15386:15394" ht="14.1" customHeight="1" x14ac:dyDescent="0.2">
      <c r="G8" s="179" t="s">
        <v>188</v>
      </c>
      <c r="H8" s="82"/>
      <c r="I8" s="82"/>
      <c r="J8" s="81"/>
      <c r="K8" s="82"/>
      <c r="L8" s="82"/>
      <c r="M8" s="81"/>
      <c r="N8" s="141"/>
      <c r="O8" s="141"/>
      <c r="P8" s="155"/>
      <c r="Q8" s="148"/>
      <c r="R8" s="82"/>
      <c r="S8" s="82"/>
      <c r="T8" s="81"/>
      <c r="U8" s="166"/>
      <c r="V8" s="166"/>
      <c r="W8" s="166"/>
      <c r="X8" s="80"/>
      <c r="Y8" s="80"/>
      <c r="Z8" s="80"/>
      <c r="AA8" s="80"/>
      <c r="AB8" s="80"/>
      <c r="AC8" s="157">
        <v>18</v>
      </c>
      <c r="AD8" s="157">
        <v>19</v>
      </c>
      <c r="AE8" s="157">
        <v>20</v>
      </c>
      <c r="AF8" s="157">
        <v>21</v>
      </c>
      <c r="AG8" s="157">
        <v>22</v>
      </c>
      <c r="AH8" s="157">
        <v>23</v>
      </c>
      <c r="AI8" s="157">
        <v>24</v>
      </c>
      <c r="AJ8" s="157">
        <v>25</v>
      </c>
      <c r="AK8" s="157">
        <v>26</v>
      </c>
      <c r="AL8" s="157">
        <v>27</v>
      </c>
      <c r="AM8" s="157">
        <v>28</v>
      </c>
      <c r="AN8" s="157">
        <v>29</v>
      </c>
      <c r="AO8" s="157">
        <v>30</v>
      </c>
      <c r="AP8" s="157">
        <v>1</v>
      </c>
      <c r="AQ8" s="157">
        <v>2</v>
      </c>
      <c r="AR8" s="157">
        <v>3</v>
      </c>
      <c r="AS8" s="157">
        <v>4</v>
      </c>
      <c r="AT8" s="157">
        <v>5</v>
      </c>
      <c r="AU8" s="157">
        <v>6</v>
      </c>
      <c r="AV8" s="157">
        <v>7</v>
      </c>
      <c r="AW8" s="157">
        <v>8</v>
      </c>
      <c r="AX8" s="157">
        <v>9</v>
      </c>
      <c r="AY8" s="157">
        <v>10</v>
      </c>
      <c r="AZ8" s="157">
        <v>11</v>
      </c>
      <c r="BA8" s="157">
        <v>12</v>
      </c>
      <c r="BB8" s="157">
        <v>13</v>
      </c>
      <c r="BC8" s="157">
        <v>14</v>
      </c>
      <c r="BD8" s="157">
        <v>15</v>
      </c>
      <c r="BE8" s="157">
        <v>16</v>
      </c>
      <c r="BF8" s="157">
        <v>17</v>
      </c>
      <c r="BG8" s="157">
        <v>18</v>
      </c>
      <c r="BH8" s="157">
        <v>19</v>
      </c>
      <c r="BI8" s="157">
        <v>20</v>
      </c>
      <c r="BJ8" s="157">
        <v>21</v>
      </c>
      <c r="BK8" s="157">
        <v>22</v>
      </c>
      <c r="BL8" s="157">
        <v>23</v>
      </c>
      <c r="BM8" s="157">
        <v>24</v>
      </c>
      <c r="BN8" s="157">
        <v>25</v>
      </c>
      <c r="BO8" s="157">
        <v>26</v>
      </c>
      <c r="BP8" s="157">
        <v>27</v>
      </c>
      <c r="BQ8" s="157">
        <v>28</v>
      </c>
      <c r="BR8" s="157">
        <v>29</v>
      </c>
      <c r="BS8" s="157">
        <v>30</v>
      </c>
      <c r="BT8" s="157">
        <v>31</v>
      </c>
      <c r="BU8" s="157">
        <v>1</v>
      </c>
      <c r="BV8" s="157">
        <v>2</v>
      </c>
      <c r="BW8" s="157">
        <v>3</v>
      </c>
      <c r="BX8" s="157">
        <v>4</v>
      </c>
      <c r="BY8" s="157">
        <v>5</v>
      </c>
      <c r="BZ8" s="157">
        <v>6</v>
      </c>
      <c r="CA8" s="157">
        <v>7</v>
      </c>
      <c r="CB8" s="157">
        <v>8</v>
      </c>
      <c r="CC8" s="157">
        <v>9</v>
      </c>
      <c r="CD8" s="157">
        <v>10</v>
      </c>
      <c r="CE8" s="157">
        <v>11</v>
      </c>
      <c r="CF8" s="157">
        <v>12</v>
      </c>
      <c r="CG8" s="157"/>
      <c r="CH8" s="157"/>
      <c r="CI8" s="157"/>
      <c r="CJ8" s="157"/>
      <c r="CK8" s="157"/>
      <c r="CL8" s="157"/>
      <c r="CM8" s="157"/>
      <c r="CN8" s="157"/>
      <c r="CO8" s="157"/>
      <c r="CP8" s="157"/>
      <c r="CQ8" s="157"/>
      <c r="CR8" s="157"/>
      <c r="CS8" s="157"/>
      <c r="CT8" s="157"/>
      <c r="CU8" s="157"/>
      <c r="CV8" s="157"/>
      <c r="CW8" s="157"/>
      <c r="CX8" s="157"/>
      <c r="CY8" s="157"/>
      <c r="CZ8" s="157"/>
      <c r="DA8" s="157"/>
      <c r="DB8" s="157"/>
      <c r="DC8" s="157"/>
      <c r="DD8" s="157"/>
      <c r="DE8" s="157"/>
      <c r="DF8" s="157"/>
      <c r="DG8" s="157"/>
      <c r="DH8" s="157"/>
      <c r="DI8" s="157"/>
      <c r="DJ8" s="157"/>
      <c r="DK8" s="157"/>
      <c r="DL8" s="157"/>
      <c r="DM8" s="157"/>
      <c r="DN8" s="157"/>
      <c r="DO8" s="157"/>
      <c r="DP8" s="157"/>
      <c r="DQ8" s="157"/>
      <c r="DR8" s="157"/>
      <c r="DS8" s="157"/>
      <c r="DT8" s="157"/>
      <c r="DU8" s="157"/>
      <c r="DV8" s="157"/>
      <c r="DW8" s="157"/>
      <c r="DX8" s="157"/>
      <c r="DY8" s="157"/>
      <c r="DZ8" s="157"/>
      <c r="EA8" s="157"/>
      <c r="EB8" s="157"/>
      <c r="EC8" s="157"/>
      <c r="ED8" s="157"/>
      <c r="EE8" s="157"/>
      <c r="EF8" s="157"/>
      <c r="EG8" s="157"/>
      <c r="EH8" s="157"/>
      <c r="EI8" s="157"/>
      <c r="EJ8" s="157"/>
      <c r="EK8" s="157"/>
      <c r="EL8" s="157"/>
      <c r="EM8" s="157"/>
      <c r="EN8" s="157"/>
      <c r="EO8" s="157"/>
      <c r="EP8" s="157"/>
      <c r="EQ8" s="157"/>
      <c r="ER8" s="157"/>
      <c r="ES8" s="157"/>
      <c r="ET8" s="157"/>
      <c r="EU8" s="157"/>
      <c r="EV8" s="157"/>
      <c r="EW8" s="157"/>
      <c r="EX8" s="157"/>
      <c r="EY8" s="157"/>
      <c r="EZ8" s="157"/>
      <c r="FA8" s="157"/>
      <c r="FB8" s="157"/>
      <c r="FC8" s="157"/>
      <c r="FD8" s="157"/>
      <c r="FE8" s="157"/>
      <c r="FF8" s="157"/>
      <c r="FG8" s="157"/>
      <c r="FH8" s="157"/>
      <c r="FI8" s="157"/>
      <c r="FJ8" s="157"/>
      <c r="FK8" s="157"/>
      <c r="FL8" s="157"/>
      <c r="FM8" s="157"/>
      <c r="FN8" s="157"/>
      <c r="FO8" s="157"/>
      <c r="FP8" s="157"/>
      <c r="FQ8" s="157"/>
      <c r="FR8" s="157"/>
      <c r="FS8" s="157"/>
      <c r="FT8" s="157"/>
      <c r="FU8" s="157"/>
      <c r="FV8" s="157"/>
      <c r="FW8" s="157"/>
      <c r="FX8" s="157"/>
      <c r="FY8" s="157"/>
      <c r="FZ8" s="157"/>
      <c r="GA8" s="157"/>
      <c r="GB8" s="157"/>
      <c r="GC8" s="157"/>
      <c r="GD8" s="157"/>
      <c r="GE8" s="157"/>
      <c r="GF8" s="157"/>
      <c r="GG8" s="157"/>
      <c r="GH8" s="157"/>
      <c r="GI8" s="157"/>
      <c r="GJ8" s="157"/>
      <c r="GK8" s="157"/>
      <c r="GL8" s="157"/>
      <c r="GM8" s="157"/>
      <c r="GN8" s="157"/>
      <c r="GO8" s="157"/>
      <c r="GP8" s="157"/>
      <c r="GQ8" s="157"/>
      <c r="GR8" s="157"/>
      <c r="GS8" s="157"/>
      <c r="GT8" s="157"/>
      <c r="GU8" s="157"/>
      <c r="GV8" s="157"/>
      <c r="GW8" s="157"/>
      <c r="GX8" s="157"/>
      <c r="GY8" s="157"/>
      <c r="GZ8" s="157"/>
      <c r="HA8" s="157"/>
      <c r="HB8" s="157"/>
      <c r="HC8" s="157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IW8" s="157"/>
      <c r="IX8" s="157"/>
      <c r="IY8" s="157"/>
      <c r="IZ8" s="157"/>
      <c r="JA8" s="157"/>
      <c r="JB8" s="157"/>
      <c r="JC8" s="157"/>
      <c r="JD8" s="157"/>
      <c r="JE8" s="157"/>
      <c r="JF8" s="157"/>
      <c r="JG8" s="157"/>
      <c r="JH8" s="157"/>
      <c r="JI8" s="157"/>
      <c r="JJ8" s="157"/>
      <c r="JK8" s="157"/>
      <c r="JL8" s="157"/>
      <c r="JM8" s="157"/>
      <c r="JN8" s="157"/>
      <c r="JO8" s="157"/>
      <c r="JP8" s="157"/>
      <c r="JQ8" s="157"/>
      <c r="JR8" s="157"/>
      <c r="JS8" s="157"/>
      <c r="JT8" s="157"/>
      <c r="JU8" s="157"/>
      <c r="JV8" s="157"/>
      <c r="JW8" s="157"/>
      <c r="JX8" s="157"/>
      <c r="JY8" s="157"/>
      <c r="JZ8" s="157"/>
      <c r="KA8" s="157"/>
      <c r="KB8" s="157"/>
      <c r="KC8" s="157"/>
      <c r="KD8" s="157"/>
      <c r="KE8" s="157"/>
      <c r="KF8" s="157"/>
      <c r="KG8" s="157"/>
      <c r="KH8" s="157"/>
      <c r="KI8" s="157"/>
      <c r="KJ8" s="157"/>
      <c r="KK8" s="157"/>
      <c r="KL8" s="157"/>
      <c r="KM8" s="157"/>
      <c r="KN8" s="157"/>
      <c r="KO8" s="157"/>
      <c r="KP8" s="157"/>
      <c r="KQ8" s="157"/>
      <c r="KR8" s="157"/>
      <c r="KS8" s="157"/>
      <c r="KT8" s="157"/>
      <c r="KU8" s="157"/>
      <c r="KV8" s="157"/>
      <c r="KW8" s="157"/>
      <c r="KX8" s="157"/>
      <c r="KY8" s="157"/>
      <c r="KZ8" s="157"/>
      <c r="LA8" s="157"/>
      <c r="LB8" s="157"/>
      <c r="LC8" s="157"/>
      <c r="LD8" s="157"/>
      <c r="LE8" s="157"/>
      <c r="LF8" s="157"/>
      <c r="LG8" s="157"/>
      <c r="LH8" s="157"/>
      <c r="LI8" s="157"/>
      <c r="LJ8" s="157"/>
      <c r="LK8" s="157"/>
      <c r="LL8" s="157"/>
      <c r="LM8" s="157"/>
      <c r="LN8" s="157"/>
      <c r="LO8" s="157"/>
      <c r="LP8" s="157"/>
      <c r="LQ8" s="157"/>
      <c r="LR8" s="157"/>
      <c r="LS8" s="157"/>
      <c r="LT8" s="157"/>
      <c r="LU8" s="157"/>
      <c r="LV8" s="157"/>
      <c r="LW8" s="157"/>
      <c r="LX8" s="157"/>
      <c r="LY8" s="157"/>
      <c r="LZ8" s="157"/>
      <c r="MA8" s="157"/>
      <c r="MB8" s="157"/>
      <c r="MC8" s="157"/>
      <c r="MD8" s="157"/>
      <c r="ME8" s="157"/>
      <c r="MF8" s="157"/>
      <c r="MG8" s="157"/>
      <c r="MH8" s="157"/>
      <c r="MI8" s="157"/>
      <c r="MJ8" s="157"/>
      <c r="MK8" s="157"/>
      <c r="ML8" s="157"/>
      <c r="MM8" s="157"/>
      <c r="MN8" s="157"/>
      <c r="MO8" s="157"/>
      <c r="MP8" s="157"/>
      <c r="MQ8" s="157"/>
      <c r="MR8" s="157"/>
      <c r="MS8" s="157"/>
      <c r="MT8" s="157"/>
      <c r="MU8" s="157"/>
      <c r="MV8" s="157"/>
      <c r="MW8" s="157"/>
      <c r="MX8" s="157"/>
      <c r="MY8" s="157"/>
      <c r="MZ8" s="157"/>
      <c r="NA8" s="157"/>
      <c r="NB8" s="157"/>
      <c r="NC8" s="157"/>
      <c r="ND8" s="157"/>
      <c r="NE8" s="157"/>
      <c r="NF8" s="157"/>
      <c r="NG8" s="157"/>
      <c r="NH8" s="157"/>
      <c r="NI8" s="157"/>
      <c r="NJ8" s="157"/>
      <c r="NK8" s="157"/>
      <c r="NL8" s="157"/>
      <c r="NM8" s="157"/>
      <c r="NN8" s="157"/>
      <c r="NO8" s="157"/>
      <c r="NP8" s="157"/>
      <c r="NQ8" s="157"/>
      <c r="NR8" s="157"/>
      <c r="NS8" s="157"/>
      <c r="NT8" s="157"/>
      <c r="NU8" s="157"/>
      <c r="NV8" s="157"/>
      <c r="NW8" s="157"/>
      <c r="NX8" s="157"/>
      <c r="NY8" s="157"/>
      <c r="NZ8" s="157"/>
      <c r="OA8" s="157"/>
      <c r="OB8" s="157"/>
      <c r="OC8" s="157"/>
      <c r="OD8" s="157"/>
      <c r="OE8" s="157"/>
      <c r="OF8" s="157"/>
      <c r="OG8" s="157"/>
      <c r="OH8" s="157"/>
      <c r="OI8" s="157"/>
      <c r="OJ8" s="157"/>
      <c r="OK8" s="157"/>
      <c r="OL8" s="157"/>
      <c r="OM8" s="157"/>
      <c r="ON8" s="157"/>
      <c r="OO8" s="157"/>
      <c r="OP8" s="157"/>
      <c r="OQ8" s="157"/>
      <c r="OR8" s="157"/>
      <c r="OS8" s="157"/>
      <c r="OT8" s="157"/>
      <c r="OU8" s="157"/>
      <c r="OV8" s="157"/>
      <c r="OW8" s="157"/>
      <c r="OX8" s="157"/>
      <c r="OY8" s="157"/>
      <c r="OZ8" s="157"/>
      <c r="PA8" s="157"/>
      <c r="PB8" s="157"/>
      <c r="PC8" s="157"/>
      <c r="PD8" s="157"/>
      <c r="PE8" s="157"/>
      <c r="PF8" s="157"/>
      <c r="PG8" s="157"/>
      <c r="PH8" s="157"/>
      <c r="PI8" s="157"/>
      <c r="PJ8" s="157"/>
      <c r="PK8" s="157"/>
      <c r="PL8" s="157"/>
      <c r="PM8" s="157"/>
      <c r="PN8" s="157"/>
      <c r="PO8" s="157"/>
      <c r="PP8" s="157"/>
      <c r="PQ8" s="157"/>
      <c r="PR8" s="157"/>
      <c r="PS8" s="157"/>
      <c r="PT8" s="157"/>
      <c r="PU8" s="157"/>
      <c r="PV8" s="157"/>
      <c r="PW8" s="157"/>
      <c r="PX8" s="157"/>
      <c r="PY8" s="157"/>
      <c r="PZ8" s="157"/>
      <c r="QA8" s="157"/>
      <c r="QB8" s="157"/>
      <c r="QC8" s="157"/>
      <c r="QD8" s="157"/>
      <c r="QE8" s="157"/>
      <c r="QF8" s="157"/>
      <c r="QG8" s="157"/>
      <c r="QH8" s="157"/>
      <c r="QI8" s="157"/>
      <c r="QJ8" s="157"/>
      <c r="QK8" s="157"/>
      <c r="QL8" s="157"/>
      <c r="QM8" s="157"/>
      <c r="QN8" s="157"/>
      <c r="QO8" s="157"/>
      <c r="QP8" s="157"/>
      <c r="QQ8" s="157"/>
      <c r="QR8" s="157"/>
      <c r="QS8" s="157"/>
      <c r="QT8" s="157"/>
      <c r="QU8" s="157"/>
      <c r="QV8" s="157"/>
      <c r="QW8" s="157"/>
      <c r="QX8" s="157"/>
      <c r="QY8" s="157"/>
      <c r="QZ8" s="157"/>
      <c r="RA8" s="157"/>
      <c r="RB8" s="157"/>
      <c r="RC8" s="157"/>
      <c r="RD8" s="157"/>
      <c r="RE8" s="157"/>
      <c r="RF8" s="157"/>
      <c r="RG8" s="157"/>
      <c r="RH8" s="157"/>
      <c r="RI8" s="157"/>
      <c r="RJ8" s="157"/>
      <c r="RK8" s="157"/>
      <c r="RL8" s="157"/>
      <c r="RM8" s="157"/>
      <c r="RN8" s="157"/>
      <c r="RO8" s="157"/>
      <c r="RP8" s="157"/>
      <c r="RQ8" s="157"/>
      <c r="RR8" s="157"/>
      <c r="RS8" s="157"/>
      <c r="RT8" s="157"/>
      <c r="RU8" s="157"/>
      <c r="RV8" s="157"/>
      <c r="RW8" s="157"/>
      <c r="RX8" s="157"/>
      <c r="RY8" s="157"/>
      <c r="RZ8" s="157"/>
      <c r="SA8" s="157"/>
      <c r="SB8" s="157"/>
      <c r="SC8" s="157"/>
      <c r="SD8" s="157"/>
      <c r="SE8" s="157"/>
      <c r="SF8" s="157"/>
      <c r="SG8" s="157"/>
      <c r="SH8" s="157"/>
      <c r="SI8" s="157"/>
      <c r="SJ8" s="157"/>
      <c r="SK8" s="157"/>
      <c r="SL8" s="157"/>
      <c r="SM8" s="157"/>
      <c r="SN8" s="157"/>
      <c r="SO8" s="157"/>
      <c r="SP8" s="157"/>
      <c r="SQ8" s="157"/>
      <c r="SR8" s="157"/>
      <c r="SS8" s="157"/>
      <c r="ST8" s="157"/>
      <c r="SU8" s="157"/>
      <c r="SV8" s="157"/>
      <c r="SW8" s="157"/>
      <c r="SX8" s="157"/>
      <c r="SY8" s="157"/>
      <c r="SZ8" s="157"/>
      <c r="TA8" s="157"/>
      <c r="TB8" s="157"/>
      <c r="TC8" s="157"/>
      <c r="TD8" s="157"/>
      <c r="TE8" s="157"/>
      <c r="TF8" s="157"/>
      <c r="TG8" s="157"/>
      <c r="TH8" s="157"/>
      <c r="TI8" s="157"/>
      <c r="TJ8" s="157"/>
      <c r="TK8" s="157"/>
      <c r="TL8" s="157"/>
      <c r="TM8" s="157"/>
      <c r="TN8" s="157"/>
      <c r="TO8" s="157"/>
      <c r="TP8" s="157"/>
      <c r="TQ8" s="157"/>
      <c r="TR8" s="157"/>
      <c r="TS8" s="157"/>
      <c r="TT8" s="157"/>
      <c r="TU8" s="157"/>
      <c r="TV8" s="157"/>
      <c r="TW8" s="157"/>
      <c r="TX8" s="157"/>
      <c r="TY8" s="157"/>
      <c r="TZ8" s="157"/>
      <c r="UA8" s="157"/>
      <c r="UB8" s="157"/>
      <c r="UC8" s="157"/>
      <c r="UD8" s="157"/>
      <c r="UE8" s="157"/>
      <c r="UF8" s="157"/>
      <c r="UG8" s="157"/>
      <c r="UH8" s="157"/>
      <c r="UI8" s="157"/>
      <c r="UJ8" s="157"/>
      <c r="UK8" s="157"/>
      <c r="UL8" s="157"/>
      <c r="UM8" s="157"/>
      <c r="UN8" s="157"/>
      <c r="UO8" s="157"/>
      <c r="UP8" s="157"/>
      <c r="UQ8" s="157"/>
      <c r="UR8" s="157"/>
      <c r="US8" s="157"/>
      <c r="UT8" s="157"/>
      <c r="UU8" s="157"/>
      <c r="UV8" s="157"/>
      <c r="UW8" s="157"/>
      <c r="UX8" s="157"/>
      <c r="UY8" s="157"/>
      <c r="UZ8" s="157"/>
      <c r="VA8" s="157"/>
      <c r="VB8" s="157"/>
      <c r="VC8" s="157"/>
      <c r="VD8" s="157"/>
      <c r="VE8" s="157"/>
      <c r="VF8" s="157"/>
      <c r="VG8" s="157"/>
      <c r="VH8" s="157"/>
      <c r="VI8" s="157"/>
      <c r="VJ8" s="157"/>
      <c r="VK8" s="157"/>
      <c r="VL8" s="157"/>
      <c r="VM8" s="157"/>
      <c r="VN8" s="157"/>
      <c r="VO8" s="157"/>
      <c r="VP8" s="157"/>
      <c r="VQ8" s="157"/>
      <c r="VR8" s="157"/>
      <c r="VS8" s="157"/>
      <c r="VT8" s="157"/>
      <c r="VU8" s="157"/>
      <c r="VV8" s="157"/>
      <c r="VW8" s="157"/>
      <c r="VX8" s="157"/>
      <c r="VY8" s="157"/>
      <c r="VZ8" s="157"/>
      <c r="WA8" s="157"/>
      <c r="WB8" s="157"/>
      <c r="WC8" s="157"/>
      <c r="WD8" s="157"/>
      <c r="WE8" s="157"/>
      <c r="WF8" s="157"/>
      <c r="WG8" s="157"/>
      <c r="WH8" s="157"/>
      <c r="WI8" s="157"/>
      <c r="WJ8" s="157"/>
      <c r="WK8" s="157"/>
      <c r="WL8" s="157"/>
      <c r="WM8" s="157"/>
      <c r="WN8" s="157"/>
      <c r="WO8" s="157"/>
      <c r="WP8" s="157"/>
      <c r="WQ8" s="157"/>
      <c r="WR8" s="157"/>
      <c r="WS8" s="157"/>
      <c r="WT8" s="157"/>
      <c r="WU8" s="157"/>
      <c r="WV8" s="157"/>
      <c r="WW8" s="157"/>
      <c r="WX8" s="157"/>
      <c r="WY8" s="157"/>
      <c r="WZ8" s="157"/>
      <c r="XA8" s="157"/>
      <c r="XB8" s="157"/>
      <c r="XC8" s="157"/>
      <c r="XD8" s="157"/>
      <c r="XE8" s="157"/>
      <c r="XF8" s="157"/>
      <c r="XG8" s="157"/>
      <c r="XH8" s="157"/>
      <c r="XI8" s="157"/>
      <c r="XJ8" s="157"/>
      <c r="XK8" s="157"/>
      <c r="XL8" s="157"/>
      <c r="XM8" s="157"/>
      <c r="XN8" s="157"/>
      <c r="XO8" s="157"/>
      <c r="XP8" s="157"/>
      <c r="XQ8" s="157"/>
      <c r="XR8" s="157"/>
      <c r="XS8" s="157"/>
      <c r="XT8" s="157"/>
      <c r="XU8" s="157"/>
      <c r="XV8" s="157"/>
      <c r="XW8" s="157"/>
      <c r="XX8" s="157"/>
      <c r="XY8" s="157"/>
      <c r="XZ8" s="157"/>
      <c r="YA8" s="157"/>
      <c r="YB8" s="157"/>
      <c r="YC8" s="157"/>
      <c r="YD8" s="157"/>
      <c r="YE8" s="157"/>
      <c r="YF8" s="157"/>
      <c r="YG8" s="157"/>
      <c r="YH8" s="157"/>
      <c r="YI8" s="157"/>
      <c r="YJ8" s="157"/>
      <c r="YK8" s="157"/>
      <c r="YL8" s="157"/>
      <c r="YM8" s="157"/>
      <c r="YN8" s="157"/>
      <c r="YO8" s="157"/>
      <c r="YP8" s="157"/>
      <c r="YQ8" s="157"/>
      <c r="YR8" s="157"/>
      <c r="YS8" s="157"/>
      <c r="YT8" s="157"/>
      <c r="YU8" s="157"/>
      <c r="YV8" s="157"/>
      <c r="YW8" s="157"/>
      <c r="YX8" s="157"/>
      <c r="YY8" s="157"/>
      <c r="YZ8" s="157"/>
      <c r="ZA8" s="157"/>
      <c r="ZB8" s="157"/>
      <c r="ZC8" s="157"/>
      <c r="ZD8" s="157"/>
      <c r="ZE8" s="157"/>
      <c r="ZF8" s="157"/>
      <c r="ZG8" s="157"/>
      <c r="ZH8" s="157"/>
      <c r="ZI8" s="157"/>
      <c r="ZJ8" s="157"/>
      <c r="ZK8" s="157"/>
      <c r="ZL8" s="157"/>
      <c r="ZM8" s="157"/>
      <c r="ZN8" s="157"/>
      <c r="ZO8" s="157"/>
      <c r="ZP8" s="157"/>
      <c r="ZQ8" s="157"/>
      <c r="ZR8" s="157"/>
      <c r="ZS8" s="157"/>
      <c r="ZT8" s="157"/>
      <c r="ZU8" s="157"/>
      <c r="ZV8" s="157"/>
      <c r="ZW8" s="157"/>
      <c r="ZX8" s="157"/>
      <c r="ZY8" s="157"/>
      <c r="ZZ8" s="157"/>
      <c r="AAA8" s="157"/>
      <c r="AAB8" s="157"/>
      <c r="AAC8" s="157"/>
      <c r="AAD8" s="157"/>
      <c r="AAE8" s="157"/>
      <c r="AAF8" s="157"/>
      <c r="AAG8" s="157"/>
      <c r="AAH8" s="157"/>
      <c r="AAI8" s="157"/>
      <c r="AAJ8" s="157"/>
      <c r="AAK8" s="157"/>
      <c r="AAL8" s="157"/>
      <c r="AAM8" s="157"/>
      <c r="AAN8" s="157"/>
      <c r="AAO8" s="157"/>
      <c r="AAP8" s="157"/>
      <c r="AAQ8" s="157"/>
      <c r="AAR8" s="157"/>
      <c r="AAS8" s="157"/>
      <c r="AAT8" s="157"/>
      <c r="AAU8" s="157"/>
      <c r="AAV8" s="157"/>
      <c r="AAW8" s="157"/>
      <c r="AAX8" s="157"/>
      <c r="AAY8" s="157"/>
      <c r="AAZ8" s="157"/>
      <c r="ABA8" s="157"/>
      <c r="ABB8" s="157"/>
      <c r="ABC8" s="157"/>
      <c r="ABD8" s="157"/>
      <c r="ABE8" s="157"/>
      <c r="ABF8" s="157"/>
      <c r="ABG8" s="157"/>
      <c r="ABH8" s="157"/>
      <c r="ABI8" s="157"/>
      <c r="ABJ8" s="157"/>
      <c r="ABK8" s="157"/>
      <c r="ABL8" s="157"/>
      <c r="ABM8" s="157"/>
      <c r="ABN8" s="157"/>
      <c r="ABO8" s="157"/>
      <c r="ABP8" s="157"/>
      <c r="ABQ8" s="157"/>
      <c r="ABR8" s="157"/>
      <c r="ABS8" s="157"/>
      <c r="ABT8" s="157"/>
      <c r="ABU8" s="157"/>
      <c r="ABV8" s="157"/>
      <c r="ABW8" s="157"/>
      <c r="ABX8" s="157"/>
      <c r="ABY8" s="157"/>
      <c r="ABZ8" s="157"/>
      <c r="ACA8" s="157"/>
      <c r="ACB8" s="157"/>
      <c r="ACC8" s="157"/>
      <c r="ACD8" s="157"/>
      <c r="ACE8" s="157"/>
      <c r="ACF8" s="157"/>
      <c r="ACG8" s="157"/>
      <c r="ACH8" s="157"/>
      <c r="ACI8" s="157"/>
      <c r="ACJ8" s="157"/>
      <c r="ACK8" s="157"/>
      <c r="ACL8" s="157"/>
      <c r="ACM8" s="157"/>
      <c r="ACN8" s="157"/>
      <c r="ACO8" s="157"/>
      <c r="ACP8" s="157"/>
      <c r="ACQ8" s="157"/>
      <c r="ACR8" s="157"/>
      <c r="ACS8" s="157"/>
      <c r="ACT8" s="157"/>
      <c r="ACU8" s="157"/>
      <c r="ACV8" s="157"/>
      <c r="ACW8" s="157"/>
      <c r="ACX8" s="157"/>
      <c r="ACY8" s="157"/>
      <c r="ACZ8" s="157"/>
      <c r="ADA8" s="157"/>
      <c r="ADB8" s="157"/>
      <c r="ADC8" s="157"/>
      <c r="ADD8" s="157"/>
      <c r="ADE8" s="157"/>
      <c r="ADF8" s="157"/>
      <c r="ADG8" s="157"/>
      <c r="ADH8" s="157"/>
      <c r="ADI8" s="157"/>
      <c r="ADJ8" s="157"/>
      <c r="ADK8" s="157"/>
      <c r="ADL8" s="157"/>
      <c r="ADM8" s="157"/>
      <c r="ADN8" s="157"/>
      <c r="ADO8" s="157"/>
      <c r="ADP8" s="157"/>
      <c r="ADQ8" s="157"/>
      <c r="ADR8" s="157"/>
      <c r="ADS8" s="157"/>
      <c r="ADT8" s="157"/>
      <c r="ADU8" s="157"/>
      <c r="ADV8" s="157"/>
      <c r="ADW8" s="157"/>
      <c r="ADX8" s="157"/>
      <c r="ADY8" s="157"/>
      <c r="ADZ8" s="157"/>
      <c r="AEA8" s="157"/>
      <c r="AEB8" s="157"/>
      <c r="AEC8" s="157"/>
      <c r="AED8" s="157"/>
      <c r="AEE8" s="157"/>
      <c r="AEF8" s="157"/>
      <c r="AEG8" s="157"/>
      <c r="AEH8" s="157"/>
      <c r="AEI8" s="157"/>
      <c r="AEJ8" s="157"/>
      <c r="AEK8" s="157"/>
      <c r="AEL8" s="157"/>
      <c r="AEM8" s="157"/>
      <c r="AEN8" s="157"/>
      <c r="AEO8" s="157"/>
      <c r="AEP8" s="157"/>
      <c r="AEQ8" s="157"/>
      <c r="AER8" s="157"/>
      <c r="AES8" s="157"/>
      <c r="AET8" s="157"/>
      <c r="AEU8" s="157"/>
      <c r="AEV8" s="157"/>
      <c r="AEW8" s="157"/>
      <c r="AEX8" s="157"/>
      <c r="AEY8" s="157"/>
      <c r="AEZ8" s="157"/>
      <c r="AFA8" s="157"/>
      <c r="AFB8" s="157"/>
      <c r="AFC8" s="157"/>
      <c r="AFD8" s="157"/>
      <c r="AFE8" s="157"/>
      <c r="AFF8" s="157"/>
      <c r="AFG8" s="157"/>
      <c r="AFH8" s="157"/>
      <c r="AFI8" s="157"/>
      <c r="AFJ8" s="157"/>
      <c r="AFK8" s="157"/>
      <c r="AFL8" s="157"/>
      <c r="AFM8" s="157"/>
      <c r="AFN8" s="157"/>
      <c r="AFO8" s="157"/>
      <c r="AFP8" s="157"/>
      <c r="AFQ8" s="157"/>
      <c r="AFR8" s="157"/>
      <c r="AFS8" s="157"/>
      <c r="AFT8" s="157"/>
      <c r="AFU8" s="157"/>
      <c r="AFV8" s="157"/>
      <c r="AFW8" s="157"/>
      <c r="AFX8" s="157"/>
      <c r="AFY8" s="157"/>
      <c r="AFZ8" s="157"/>
      <c r="AGA8" s="157"/>
      <c r="AGB8" s="157"/>
      <c r="AGC8" s="157"/>
      <c r="AGD8" s="157"/>
      <c r="AGE8" s="157"/>
      <c r="AGF8" s="157"/>
      <c r="AGG8" s="157"/>
      <c r="AGH8" s="157"/>
      <c r="AGI8" s="157"/>
      <c r="AGJ8" s="157"/>
      <c r="AGK8" s="157"/>
      <c r="AGL8" s="157"/>
      <c r="AGM8" s="157"/>
      <c r="AGN8" s="157"/>
      <c r="AGO8" s="157"/>
      <c r="AGP8" s="157"/>
      <c r="AGQ8" s="157"/>
      <c r="AGR8" s="157"/>
      <c r="AGS8" s="157"/>
      <c r="AGT8" s="157"/>
      <c r="AGU8" s="157"/>
      <c r="AGV8" s="157"/>
      <c r="AGW8" s="157"/>
      <c r="AGX8" s="157"/>
      <c r="AGY8" s="157"/>
      <c r="AGZ8" s="157"/>
      <c r="AHA8" s="157"/>
      <c r="AHB8" s="157"/>
      <c r="AHC8" s="157"/>
      <c r="AHD8" s="157"/>
      <c r="AHE8" s="157"/>
      <c r="AHF8" s="157"/>
      <c r="AHG8" s="157"/>
      <c r="AHH8" s="157"/>
      <c r="AHI8" s="157"/>
      <c r="AHJ8" s="157"/>
      <c r="AHK8" s="157"/>
      <c r="AHL8" s="157"/>
      <c r="AHM8" s="157"/>
      <c r="AHN8" s="157"/>
      <c r="AHO8" s="157"/>
      <c r="AHP8" s="157"/>
      <c r="AHQ8" s="157"/>
      <c r="AHR8" s="157"/>
      <c r="AHS8" s="157"/>
      <c r="AHT8" s="157"/>
      <c r="AHU8" s="157"/>
      <c r="AHV8" s="157"/>
      <c r="AHW8" s="157"/>
      <c r="AHX8" s="157"/>
      <c r="AHY8" s="157"/>
      <c r="AHZ8" s="157"/>
      <c r="AIA8" s="157"/>
      <c r="AIB8" s="157"/>
      <c r="AIC8" s="157"/>
      <c r="AID8" s="157"/>
      <c r="AIE8" s="157"/>
      <c r="AIF8" s="157"/>
      <c r="AIG8" s="157"/>
      <c r="AIH8" s="157"/>
      <c r="AII8" s="157"/>
      <c r="AIJ8" s="157"/>
      <c r="AIK8" s="157"/>
      <c r="AIL8" s="157"/>
      <c r="AIM8" s="157"/>
      <c r="AIN8" s="157"/>
      <c r="AIO8" s="157"/>
      <c r="AIP8" s="157"/>
      <c r="AIQ8" s="157"/>
      <c r="AIR8" s="157"/>
      <c r="AIS8" s="157"/>
      <c r="AIT8" s="157"/>
      <c r="AIU8" s="157"/>
      <c r="AIV8" s="157"/>
      <c r="AIW8" s="157"/>
      <c r="AIX8" s="157"/>
      <c r="AIY8" s="157"/>
      <c r="AIZ8" s="157"/>
      <c r="AJA8" s="157"/>
      <c r="AJB8" s="157"/>
      <c r="AJC8" s="157"/>
      <c r="AJD8" s="157"/>
      <c r="AJE8" s="157"/>
      <c r="AJF8" s="157"/>
      <c r="AJG8" s="157"/>
      <c r="AJH8" s="157"/>
      <c r="AJI8" s="157"/>
      <c r="AJJ8" s="157"/>
      <c r="AJK8" s="157"/>
      <c r="AJL8" s="157"/>
      <c r="AJM8" s="157"/>
      <c r="AJN8" s="157"/>
      <c r="AJO8" s="157"/>
      <c r="AJP8" s="157"/>
      <c r="AJQ8" s="157"/>
      <c r="AJR8" s="157"/>
      <c r="AJS8" s="157"/>
      <c r="AJT8" s="157"/>
      <c r="AJU8" s="157"/>
      <c r="AJV8" s="157"/>
      <c r="AJW8" s="157"/>
      <c r="AJX8" s="157"/>
      <c r="AJY8" s="157"/>
      <c r="AJZ8" s="157"/>
      <c r="AKA8" s="157"/>
      <c r="AKB8" s="157"/>
      <c r="AKC8" s="157"/>
      <c r="AKD8" s="157"/>
      <c r="AKE8" s="157"/>
      <c r="AKF8" s="157"/>
      <c r="AKG8" s="157"/>
      <c r="AKH8" s="157"/>
      <c r="AKI8" s="157"/>
      <c r="AKJ8" s="157"/>
      <c r="AKK8" s="157"/>
      <c r="AKL8" s="157"/>
      <c r="AKM8" s="157"/>
      <c r="AKN8" s="157"/>
      <c r="AKO8" s="157"/>
      <c r="AKP8" s="157"/>
      <c r="AKQ8" s="157"/>
      <c r="AKR8" s="157"/>
      <c r="AKS8" s="157"/>
      <c r="AKT8" s="157"/>
      <c r="AKU8" s="157"/>
      <c r="AKV8" s="157"/>
      <c r="AKW8" s="157"/>
      <c r="AKX8" s="157"/>
      <c r="AKY8" s="157"/>
      <c r="AKZ8" s="157"/>
      <c r="ALA8" s="157"/>
      <c r="ALB8" s="157"/>
      <c r="ALC8" s="157"/>
      <c r="ALD8" s="157"/>
      <c r="ALE8" s="157"/>
      <c r="ALF8" s="157"/>
      <c r="ALG8" s="157"/>
      <c r="ALH8" s="157"/>
      <c r="ALI8" s="157"/>
      <c r="ALJ8" s="157"/>
      <c r="ALK8" s="157"/>
      <c r="ALL8" s="157"/>
      <c r="ALM8" s="157"/>
      <c r="ALN8" s="157"/>
      <c r="ALO8" s="157"/>
      <c r="ALP8" s="157"/>
      <c r="ALQ8" s="157"/>
      <c r="ALR8" s="157"/>
      <c r="ALS8" s="157"/>
      <c r="ALT8" s="157"/>
      <c r="ALU8" s="157"/>
      <c r="ALV8" s="157"/>
      <c r="ALW8" s="157"/>
      <c r="ALX8" s="157"/>
      <c r="ALY8" s="157"/>
      <c r="ALZ8" s="157"/>
      <c r="AMA8" s="157"/>
      <c r="AMB8" s="157"/>
      <c r="AMC8" s="157"/>
      <c r="AMD8" s="157"/>
      <c r="AME8" s="157"/>
      <c r="AMF8" s="157"/>
      <c r="AMG8" s="157"/>
      <c r="AMH8" s="157"/>
      <c r="AMI8" s="157"/>
      <c r="AMJ8" s="157"/>
      <c r="AMK8" s="157"/>
      <c r="AML8" s="157"/>
      <c r="AMM8" s="157"/>
      <c r="AMN8" s="157"/>
      <c r="AMO8" s="157"/>
      <c r="AMP8" s="157"/>
      <c r="AMQ8" s="157"/>
      <c r="AMR8" s="157"/>
      <c r="AMS8" s="157"/>
      <c r="AMT8" s="157"/>
      <c r="AMU8" s="157"/>
      <c r="AMV8" s="157"/>
      <c r="AMW8" s="157"/>
      <c r="AMX8" s="157"/>
      <c r="AMY8" s="157"/>
      <c r="AMZ8" s="157"/>
      <c r="ANA8" s="157"/>
      <c r="ANB8" s="157"/>
      <c r="ANC8" s="157"/>
      <c r="AND8" s="157"/>
      <c r="ANE8" s="157"/>
      <c r="ANF8" s="157"/>
      <c r="ANG8" s="157"/>
      <c r="ANH8" s="157"/>
      <c r="ANI8" s="157"/>
      <c r="ANJ8" s="157"/>
      <c r="ANK8" s="157"/>
      <c r="ANL8" s="157"/>
      <c r="ANM8" s="157"/>
      <c r="ANN8" s="157"/>
      <c r="ANO8" s="157"/>
      <c r="ANP8" s="157"/>
      <c r="ANQ8" s="157"/>
      <c r="ANR8" s="157"/>
      <c r="ANS8" s="157"/>
      <c r="ANT8" s="157"/>
      <c r="ANU8" s="157"/>
      <c r="ANV8" s="157"/>
      <c r="ANW8" s="157"/>
      <c r="ANX8" s="157"/>
      <c r="ANY8" s="157"/>
      <c r="ANZ8" s="157"/>
      <c r="AOA8" s="157"/>
      <c r="AOB8" s="157"/>
      <c r="AOC8" s="157"/>
      <c r="AOD8" s="157"/>
      <c r="AOE8" s="157"/>
      <c r="AOF8" s="157"/>
      <c r="AOG8" s="157"/>
      <c r="AOH8" s="157"/>
      <c r="AOI8" s="157"/>
      <c r="AOJ8" s="157"/>
      <c r="AOK8" s="157"/>
      <c r="AOL8" s="157"/>
      <c r="AOM8" s="157"/>
      <c r="AON8" s="157"/>
      <c r="AOO8" s="157"/>
      <c r="AOP8" s="157"/>
      <c r="AOQ8" s="157"/>
      <c r="AOR8" s="157"/>
      <c r="AOS8" s="157"/>
      <c r="AOT8" s="157"/>
      <c r="AOU8" s="157"/>
      <c r="AOV8" s="157"/>
      <c r="AOW8" s="157"/>
      <c r="AOX8" s="157"/>
      <c r="AOY8" s="157"/>
      <c r="AOZ8" s="157"/>
      <c r="APA8" s="157"/>
      <c r="APB8" s="157"/>
      <c r="APC8" s="157"/>
      <c r="APD8" s="157"/>
      <c r="APE8" s="157"/>
      <c r="APF8" s="157"/>
      <c r="APG8" s="157"/>
      <c r="APH8" s="157"/>
      <c r="API8" s="157"/>
      <c r="APJ8" s="157"/>
      <c r="APK8" s="157"/>
      <c r="APL8" s="157"/>
      <c r="APM8" s="157"/>
      <c r="APN8" s="157"/>
      <c r="APO8" s="157"/>
      <c r="APP8" s="157"/>
      <c r="APQ8" s="157"/>
      <c r="APR8" s="157"/>
      <c r="APS8" s="157"/>
      <c r="APT8" s="157"/>
      <c r="APU8" s="157"/>
      <c r="APV8" s="157"/>
      <c r="APW8" s="157"/>
      <c r="APX8" s="157"/>
      <c r="APY8" s="157"/>
      <c r="APZ8" s="157"/>
      <c r="AQA8" s="157"/>
      <c r="AQB8" s="157"/>
      <c r="AQC8" s="157"/>
      <c r="AQD8" s="157"/>
      <c r="AQE8" s="157"/>
      <c r="AQF8" s="157"/>
      <c r="AQG8" s="157"/>
      <c r="AQH8" s="157"/>
      <c r="AQI8" s="157"/>
      <c r="AQJ8" s="157"/>
      <c r="AQK8" s="157"/>
      <c r="AQL8" s="157"/>
      <c r="AQM8" s="157"/>
      <c r="AQN8" s="157"/>
      <c r="AQO8" s="157"/>
      <c r="AQP8" s="157"/>
      <c r="AQQ8" s="157"/>
      <c r="AQR8" s="157"/>
      <c r="AQS8" s="157"/>
      <c r="AQT8" s="157"/>
      <c r="AQU8" s="157"/>
      <c r="AQV8" s="157"/>
      <c r="AQW8" s="157"/>
      <c r="AQX8" s="157"/>
      <c r="AQY8" s="157"/>
      <c r="AQZ8" s="157"/>
      <c r="ARA8" s="157"/>
      <c r="ARB8" s="157"/>
      <c r="ARC8" s="157"/>
      <c r="ARD8" s="157"/>
      <c r="ARE8" s="157"/>
      <c r="ARF8" s="157"/>
      <c r="ARG8" s="157"/>
      <c r="ARH8" s="157"/>
      <c r="ARI8" s="157"/>
      <c r="ARJ8" s="157"/>
      <c r="ARK8" s="157"/>
      <c r="ARL8" s="157"/>
      <c r="ARM8" s="157"/>
      <c r="ARN8" s="157"/>
      <c r="ARO8" s="157"/>
      <c r="ARP8" s="157"/>
      <c r="ARQ8" s="157"/>
      <c r="ARR8" s="157"/>
      <c r="ARS8" s="157"/>
      <c r="ART8" s="157"/>
      <c r="ARU8" s="157"/>
      <c r="ARV8" s="157"/>
      <c r="ARW8" s="157"/>
      <c r="ARX8" s="157"/>
      <c r="ARY8" s="157"/>
      <c r="ARZ8" s="157"/>
      <c r="ASA8" s="157"/>
      <c r="ASB8" s="157"/>
      <c r="ASC8" s="157"/>
      <c r="ASD8" s="157"/>
      <c r="ASE8" s="157"/>
      <c r="ASF8" s="157"/>
      <c r="ASG8" s="157"/>
      <c r="ASH8" s="157"/>
      <c r="ASI8" s="157"/>
      <c r="ASJ8" s="157"/>
      <c r="ASK8" s="157"/>
      <c r="ASL8" s="157"/>
      <c r="ASM8" s="157"/>
      <c r="ASN8" s="157"/>
      <c r="ASO8" s="157"/>
      <c r="ASP8" s="157"/>
      <c r="ASQ8" s="157"/>
      <c r="ASR8" s="157"/>
      <c r="ASS8" s="157"/>
      <c r="AST8" s="157"/>
      <c r="ASU8" s="157"/>
      <c r="ASV8" s="157"/>
      <c r="ASW8" s="157"/>
      <c r="ASX8" s="157"/>
      <c r="ASY8" s="157"/>
      <c r="ASZ8" s="157"/>
      <c r="ATA8" s="157"/>
      <c r="ATB8" s="157"/>
      <c r="ATC8" s="157"/>
      <c r="ATD8" s="157"/>
      <c r="ATE8" s="157"/>
      <c r="ATF8" s="157"/>
      <c r="ATG8" s="157"/>
      <c r="ATH8" s="157"/>
      <c r="ATI8" s="157"/>
      <c r="ATJ8" s="157"/>
      <c r="ATK8" s="157"/>
      <c r="ATL8" s="157"/>
      <c r="ATM8" s="157"/>
      <c r="ATN8" s="157"/>
      <c r="ATO8" s="157"/>
      <c r="ATP8" s="157"/>
      <c r="ATQ8" s="157"/>
      <c r="ATR8" s="157"/>
      <c r="ATS8" s="157"/>
      <c r="ATT8" s="157"/>
      <c r="ATU8" s="157"/>
      <c r="ATV8" s="157"/>
      <c r="ATW8" s="157"/>
      <c r="ATX8" s="157"/>
      <c r="ATY8" s="157"/>
      <c r="ATZ8" s="157"/>
      <c r="AUA8" s="157"/>
      <c r="AUB8" s="157"/>
      <c r="AUC8" s="157"/>
      <c r="AUD8" s="157"/>
      <c r="AUE8" s="157"/>
      <c r="AUF8" s="157"/>
      <c r="AUG8" s="157"/>
      <c r="AUH8" s="157"/>
      <c r="AUI8" s="157"/>
      <c r="AUJ8" s="157"/>
      <c r="AUK8" s="157"/>
      <c r="AUL8" s="157"/>
      <c r="AUM8" s="157"/>
      <c r="AUN8" s="157"/>
      <c r="AUO8" s="157"/>
      <c r="AUP8" s="157"/>
      <c r="AUQ8" s="157"/>
      <c r="AUR8" s="157"/>
      <c r="AUS8" s="157"/>
      <c r="AUT8" s="157"/>
      <c r="AUU8" s="157"/>
      <c r="AUV8" s="157"/>
      <c r="AUW8" s="157"/>
      <c r="AUX8" s="157"/>
      <c r="AUY8" s="157"/>
      <c r="AUZ8" s="157"/>
      <c r="AVA8" s="157"/>
      <c r="AVB8" s="157"/>
      <c r="AVC8" s="157"/>
      <c r="AVD8" s="157"/>
      <c r="AVE8" s="157"/>
      <c r="AVF8" s="157"/>
      <c r="AVG8" s="157"/>
      <c r="AVH8" s="157"/>
      <c r="AVI8" s="157"/>
      <c r="AVJ8" s="157"/>
      <c r="AVK8" s="157"/>
      <c r="AVL8" s="157"/>
      <c r="AVM8" s="157"/>
      <c r="AVN8" s="157"/>
      <c r="AVO8" s="157"/>
      <c r="AVP8" s="157"/>
      <c r="AVQ8" s="157"/>
      <c r="AVR8" s="157"/>
      <c r="AVS8" s="157"/>
      <c r="AVT8" s="157"/>
      <c r="AVU8" s="157"/>
      <c r="AVV8" s="157"/>
      <c r="AVW8" s="157"/>
      <c r="AVX8" s="157"/>
      <c r="AVY8" s="157"/>
      <c r="AVZ8" s="157"/>
      <c r="AWA8" s="157"/>
      <c r="AWB8" s="157"/>
      <c r="AWC8" s="157"/>
      <c r="AWD8" s="157"/>
      <c r="AWE8" s="157"/>
      <c r="AWF8" s="157"/>
      <c r="AWG8" s="157"/>
      <c r="AWH8" s="157"/>
      <c r="AWI8" s="157"/>
      <c r="AWJ8" s="157"/>
      <c r="AWK8" s="157"/>
      <c r="AWL8" s="157"/>
      <c r="AWM8" s="157"/>
      <c r="AWN8" s="157"/>
      <c r="AWO8" s="157"/>
      <c r="AWP8" s="157"/>
      <c r="AWQ8" s="157"/>
      <c r="AWR8" s="157"/>
      <c r="AWS8" s="157"/>
      <c r="AWT8" s="157"/>
      <c r="AWU8" s="157"/>
      <c r="AWV8" s="157"/>
      <c r="AWW8" s="157"/>
      <c r="AWX8" s="157"/>
      <c r="AWY8" s="157"/>
      <c r="AWZ8" s="157"/>
      <c r="AXA8" s="157"/>
      <c r="AXB8" s="157"/>
      <c r="AXC8" s="157"/>
      <c r="AXD8" s="157"/>
      <c r="AXE8" s="157"/>
      <c r="AXF8" s="157"/>
      <c r="AXG8" s="157"/>
      <c r="AXH8" s="157"/>
      <c r="AXI8" s="157"/>
      <c r="AXJ8" s="157"/>
      <c r="AXK8" s="157"/>
      <c r="AXL8" s="157"/>
      <c r="AXM8" s="157"/>
      <c r="AXN8" s="157"/>
      <c r="AXO8" s="157"/>
      <c r="AXP8" s="157"/>
      <c r="AXQ8" s="157"/>
      <c r="AXR8" s="157"/>
      <c r="AXS8" s="157"/>
      <c r="AXT8" s="157"/>
      <c r="AXU8" s="157"/>
      <c r="AXV8" s="157"/>
      <c r="AXW8" s="157"/>
      <c r="AXX8" s="157"/>
      <c r="AXY8" s="157"/>
      <c r="AXZ8" s="157"/>
      <c r="AYA8" s="157"/>
      <c r="AYB8" s="157"/>
      <c r="AYC8" s="157"/>
      <c r="AYD8" s="157"/>
      <c r="AYE8" s="157"/>
      <c r="AYF8" s="157"/>
      <c r="AYG8" s="157"/>
      <c r="AYH8" s="157"/>
      <c r="AYI8" s="157"/>
      <c r="AYJ8" s="157"/>
      <c r="AYK8" s="157"/>
      <c r="AYL8" s="157"/>
      <c r="AYM8" s="157"/>
      <c r="AYN8" s="157"/>
      <c r="AYO8" s="157"/>
      <c r="AYP8" s="157"/>
      <c r="AYQ8" s="157"/>
      <c r="AYR8" s="157"/>
      <c r="AYS8" s="157"/>
      <c r="AYT8" s="157"/>
      <c r="AYU8" s="157"/>
      <c r="AYV8" s="157"/>
      <c r="AYW8" s="157"/>
      <c r="AYX8" s="157"/>
      <c r="AYY8" s="157"/>
      <c r="AYZ8" s="157"/>
      <c r="AZA8" s="157"/>
      <c r="AZB8" s="157"/>
      <c r="AZC8" s="157"/>
      <c r="AZD8" s="157"/>
      <c r="AZE8" s="157"/>
      <c r="AZF8" s="157"/>
      <c r="AZG8" s="157"/>
      <c r="AZH8" s="157"/>
      <c r="AZI8" s="157"/>
      <c r="AZJ8" s="157"/>
      <c r="AZK8" s="157"/>
      <c r="AZL8" s="157"/>
      <c r="AZM8" s="157"/>
      <c r="AZN8" s="157"/>
      <c r="AZO8" s="157"/>
      <c r="AZP8" s="157"/>
      <c r="AZQ8" s="157"/>
      <c r="AZR8" s="157"/>
      <c r="AZS8" s="157"/>
      <c r="AZT8" s="157"/>
      <c r="AZU8" s="157"/>
      <c r="AZV8" s="157"/>
      <c r="AZW8" s="157"/>
      <c r="AZX8" s="157"/>
      <c r="AZY8" s="157"/>
      <c r="AZZ8" s="157"/>
      <c r="BAA8" s="157"/>
      <c r="BAB8" s="157"/>
      <c r="BAC8" s="157"/>
      <c r="BAD8" s="157"/>
      <c r="BAE8" s="157"/>
      <c r="BAF8" s="157"/>
      <c r="BAG8" s="157"/>
      <c r="BAH8" s="157"/>
      <c r="BAI8" s="157"/>
      <c r="BAJ8" s="157"/>
      <c r="BAK8" s="157"/>
      <c r="BAL8" s="157"/>
      <c r="BAM8" s="157"/>
      <c r="BAN8" s="157"/>
      <c r="BAO8" s="157"/>
      <c r="BAP8" s="157"/>
      <c r="BAQ8" s="157"/>
      <c r="BAR8" s="157"/>
      <c r="BAS8" s="157"/>
      <c r="BAT8" s="157"/>
      <c r="BAU8" s="157"/>
      <c r="BAV8" s="157"/>
      <c r="BAW8" s="157"/>
      <c r="BAX8" s="157"/>
      <c r="BAY8" s="157"/>
      <c r="BAZ8" s="157"/>
      <c r="BBA8" s="157"/>
      <c r="BBB8" s="157"/>
      <c r="BBC8" s="157"/>
      <c r="BBD8" s="157"/>
      <c r="BBE8" s="157"/>
      <c r="BBF8" s="157"/>
      <c r="BBG8" s="157"/>
      <c r="BBH8" s="157"/>
      <c r="BBI8" s="157"/>
      <c r="BBJ8" s="157"/>
      <c r="BBK8" s="157"/>
      <c r="BBL8" s="157"/>
      <c r="BBM8" s="157"/>
      <c r="BBN8" s="157"/>
      <c r="BBO8" s="157"/>
      <c r="BBP8" s="157"/>
      <c r="BBQ8" s="157"/>
      <c r="BBR8" s="157"/>
      <c r="BBS8" s="157"/>
      <c r="BBT8" s="157"/>
      <c r="BBU8" s="157"/>
      <c r="BBV8" s="157"/>
      <c r="BBW8" s="157"/>
      <c r="BBX8" s="157"/>
      <c r="BBY8" s="157"/>
      <c r="BBZ8" s="157"/>
      <c r="BCA8" s="157"/>
      <c r="BCB8" s="157"/>
      <c r="BCC8" s="157"/>
      <c r="BCD8" s="157"/>
      <c r="BCE8" s="157"/>
      <c r="BCF8" s="157"/>
      <c r="BCG8" s="157"/>
      <c r="BCH8" s="157"/>
      <c r="BCI8" s="157"/>
      <c r="BCJ8" s="157"/>
      <c r="BCK8" s="157"/>
      <c r="BCL8" s="157"/>
      <c r="BCM8" s="157"/>
      <c r="BCN8" s="157"/>
      <c r="BCO8" s="157"/>
      <c r="BCP8" s="157"/>
      <c r="BCQ8" s="157"/>
      <c r="BCR8" s="157"/>
      <c r="BCS8" s="157"/>
      <c r="BCT8" s="157"/>
      <c r="BCU8" s="157"/>
      <c r="BCV8" s="157"/>
      <c r="BCW8" s="157"/>
      <c r="BCX8" s="157"/>
      <c r="BCY8" s="157"/>
      <c r="BCZ8" s="157"/>
      <c r="BDA8" s="157"/>
      <c r="BDB8" s="157"/>
      <c r="BDC8" s="157"/>
      <c r="BDD8" s="157"/>
      <c r="BDE8" s="157"/>
      <c r="BDF8" s="157"/>
      <c r="BDG8" s="157"/>
      <c r="BDH8" s="157"/>
      <c r="BDI8" s="157"/>
      <c r="BDJ8" s="157"/>
      <c r="BDK8" s="157"/>
      <c r="BDL8" s="157"/>
      <c r="BDM8" s="157"/>
      <c r="BDN8" s="157"/>
      <c r="BDO8" s="157"/>
      <c r="BDP8" s="157"/>
      <c r="BDQ8" s="157"/>
      <c r="BDR8" s="157"/>
      <c r="BDS8" s="157"/>
      <c r="BDT8" s="157"/>
      <c r="BDU8" s="157"/>
      <c r="BDV8" s="157"/>
      <c r="BDW8" s="157"/>
      <c r="BDX8" s="157"/>
      <c r="BDY8" s="157"/>
      <c r="BDZ8" s="157"/>
      <c r="BEA8" s="157"/>
      <c r="BEB8" s="157"/>
      <c r="BEC8" s="157"/>
      <c r="BED8" s="157"/>
      <c r="BEE8" s="157"/>
      <c r="BEF8" s="157"/>
      <c r="BEG8" s="157"/>
      <c r="BEH8" s="157"/>
      <c r="BEI8" s="157"/>
      <c r="BEJ8" s="157"/>
      <c r="BEK8" s="157"/>
      <c r="BEL8" s="157"/>
      <c r="BEM8" s="157"/>
      <c r="BEN8" s="157"/>
      <c r="BEO8" s="157"/>
      <c r="BEP8" s="157"/>
      <c r="BEQ8" s="157"/>
      <c r="BER8" s="157"/>
      <c r="BES8" s="157"/>
      <c r="BET8" s="157"/>
      <c r="BEU8" s="157"/>
      <c r="BEV8" s="157"/>
      <c r="BEW8" s="157"/>
      <c r="BEX8" s="157"/>
      <c r="BEY8" s="157"/>
      <c r="BEZ8" s="157"/>
      <c r="BFA8" s="157"/>
      <c r="BFB8" s="157"/>
      <c r="BFC8" s="157"/>
      <c r="BFD8" s="157"/>
      <c r="BFE8" s="157"/>
      <c r="BFF8" s="157"/>
      <c r="BFG8" s="157"/>
      <c r="BFH8" s="157"/>
      <c r="BFI8" s="157"/>
      <c r="BFJ8" s="157"/>
      <c r="BFK8" s="157"/>
      <c r="BFL8" s="157"/>
      <c r="BFM8" s="157"/>
      <c r="BFN8" s="157"/>
      <c r="BFO8" s="157"/>
      <c r="BFP8" s="157"/>
      <c r="BFQ8" s="157"/>
      <c r="BFR8" s="157"/>
      <c r="BFS8" s="157"/>
      <c r="BFT8" s="157"/>
      <c r="BFU8" s="157"/>
      <c r="BFV8" s="157"/>
      <c r="BFW8" s="157"/>
      <c r="BFX8" s="157"/>
      <c r="BFY8" s="157"/>
      <c r="BFZ8" s="157"/>
      <c r="BGA8" s="157"/>
      <c r="BGB8" s="157"/>
      <c r="BGC8" s="157"/>
      <c r="BGD8" s="157"/>
      <c r="BGE8" s="157"/>
      <c r="BGF8" s="157"/>
      <c r="BGG8" s="157"/>
      <c r="BGH8" s="157"/>
      <c r="BGI8" s="157"/>
      <c r="BGJ8" s="157"/>
      <c r="BGK8" s="157"/>
      <c r="BGL8" s="157"/>
      <c r="BGM8" s="157"/>
      <c r="BGN8" s="157"/>
      <c r="BGO8" s="157"/>
      <c r="BGP8" s="157"/>
      <c r="BGQ8" s="157"/>
      <c r="BGR8" s="157"/>
      <c r="BGS8" s="157"/>
      <c r="BGT8" s="157"/>
      <c r="BGU8" s="157"/>
      <c r="BGV8" s="157"/>
      <c r="BGW8" s="157"/>
      <c r="BGX8" s="157"/>
      <c r="BGY8" s="157"/>
      <c r="BGZ8" s="157"/>
      <c r="BHA8" s="157"/>
      <c r="BHB8" s="157"/>
      <c r="BHC8" s="157"/>
      <c r="BHD8" s="157"/>
      <c r="BHE8" s="157"/>
      <c r="BHF8" s="157"/>
      <c r="BHG8" s="157"/>
      <c r="BHH8" s="157"/>
      <c r="BHI8" s="157"/>
      <c r="BHJ8" s="157"/>
      <c r="BHK8" s="157"/>
      <c r="BHL8" s="157"/>
      <c r="BHM8" s="157"/>
      <c r="BHN8" s="157"/>
      <c r="BHO8" s="157"/>
      <c r="BHP8" s="157"/>
      <c r="BHQ8" s="157"/>
      <c r="BHR8" s="157"/>
      <c r="BHS8" s="157"/>
      <c r="BHT8" s="157"/>
      <c r="BHU8" s="157"/>
      <c r="BHV8" s="157"/>
      <c r="BHW8" s="157"/>
      <c r="BHX8" s="157"/>
      <c r="BHY8" s="157"/>
      <c r="BHZ8" s="157"/>
      <c r="BIA8" s="157"/>
      <c r="BIB8" s="157"/>
      <c r="BIC8" s="157"/>
      <c r="BID8" s="157"/>
      <c r="BIE8" s="157"/>
      <c r="BIF8" s="157"/>
      <c r="BIG8" s="157"/>
      <c r="BIH8" s="157"/>
      <c r="BII8" s="157"/>
      <c r="BIJ8" s="157"/>
      <c r="BIK8" s="157"/>
      <c r="BIL8" s="157"/>
      <c r="BIM8" s="157"/>
      <c r="BIN8" s="157"/>
      <c r="BIO8" s="157"/>
      <c r="BIP8" s="157"/>
      <c r="BIQ8" s="157"/>
      <c r="BIR8" s="157"/>
      <c r="BIS8" s="157"/>
      <c r="BIT8" s="157"/>
      <c r="BIU8" s="157"/>
      <c r="BIV8" s="157"/>
      <c r="BIW8" s="157"/>
      <c r="BIX8" s="157"/>
      <c r="BIY8" s="157"/>
      <c r="BIZ8" s="157"/>
      <c r="BJA8" s="157"/>
      <c r="BJB8" s="157"/>
      <c r="BJC8" s="157"/>
      <c r="BJD8" s="157"/>
      <c r="BJE8" s="157"/>
      <c r="BJF8" s="157"/>
      <c r="BJG8" s="157"/>
      <c r="BJH8" s="157"/>
      <c r="BJI8" s="157"/>
      <c r="BJJ8" s="157"/>
      <c r="BJK8" s="157"/>
      <c r="BJL8" s="157"/>
      <c r="BJM8" s="157"/>
      <c r="BJN8" s="157"/>
      <c r="BJO8" s="157"/>
      <c r="BJP8" s="157"/>
      <c r="BJQ8" s="157"/>
      <c r="BJR8" s="157"/>
      <c r="BJS8" s="157"/>
      <c r="BJT8" s="157"/>
      <c r="BJU8" s="157"/>
      <c r="BJV8" s="157"/>
      <c r="BJW8" s="157"/>
      <c r="BJX8" s="157"/>
      <c r="BJY8" s="157"/>
      <c r="BJZ8" s="157"/>
      <c r="BKA8" s="157"/>
      <c r="BKB8" s="157"/>
      <c r="BKC8" s="157"/>
      <c r="BKD8" s="157"/>
      <c r="BKE8" s="157"/>
      <c r="BKF8" s="157"/>
      <c r="BKG8" s="157"/>
      <c r="BKH8" s="157"/>
      <c r="BKI8" s="157"/>
      <c r="BKJ8" s="157"/>
      <c r="BKK8" s="157"/>
      <c r="BKL8" s="157"/>
      <c r="BKM8" s="157"/>
      <c r="BKN8" s="157"/>
      <c r="BKO8" s="157"/>
      <c r="BKP8" s="157"/>
      <c r="BKQ8" s="157"/>
      <c r="BKR8" s="157"/>
      <c r="BKS8" s="157"/>
      <c r="BKT8" s="157"/>
      <c r="BKU8" s="157"/>
      <c r="BKV8" s="157"/>
      <c r="BKW8" s="157"/>
      <c r="BKX8" s="157"/>
      <c r="BKY8" s="157"/>
      <c r="BKZ8" s="157"/>
      <c r="BLA8" s="157"/>
      <c r="BLB8" s="157"/>
      <c r="BLC8" s="157"/>
      <c r="BLD8" s="157"/>
      <c r="BLE8" s="157"/>
      <c r="BLF8" s="157"/>
      <c r="BLG8" s="157"/>
      <c r="BLH8" s="157"/>
      <c r="BLI8" s="157"/>
      <c r="BLJ8" s="157"/>
      <c r="BLK8" s="157"/>
      <c r="BLL8" s="157"/>
      <c r="BLM8" s="157"/>
      <c r="BLN8" s="157"/>
      <c r="BLO8" s="157"/>
      <c r="BLP8" s="157"/>
      <c r="BLQ8" s="157"/>
      <c r="BLR8" s="157"/>
      <c r="BLS8" s="157"/>
      <c r="BLT8" s="157"/>
      <c r="BLU8" s="157"/>
      <c r="BLV8" s="157"/>
      <c r="BLW8" s="157"/>
      <c r="BLX8" s="157"/>
      <c r="BLY8" s="157"/>
      <c r="BLZ8" s="157"/>
      <c r="BMA8" s="157"/>
      <c r="BMB8" s="157"/>
      <c r="BMC8" s="157"/>
      <c r="BMD8" s="157"/>
      <c r="BME8" s="157"/>
      <c r="BMF8" s="157"/>
      <c r="BMG8" s="157"/>
      <c r="BMH8" s="157"/>
      <c r="BMI8" s="157"/>
      <c r="BMJ8" s="157"/>
      <c r="BMK8" s="157"/>
      <c r="BML8" s="157"/>
      <c r="BMM8" s="157"/>
      <c r="BMN8" s="157"/>
      <c r="BMO8" s="157"/>
      <c r="BMP8" s="157"/>
      <c r="BMQ8" s="157"/>
      <c r="BMR8" s="157"/>
      <c r="BMS8" s="157"/>
      <c r="BMT8" s="157"/>
      <c r="BMU8" s="157"/>
      <c r="BMV8" s="157"/>
      <c r="BMW8" s="157"/>
      <c r="BMX8" s="157"/>
      <c r="BMY8" s="157"/>
      <c r="BMZ8" s="157"/>
      <c r="BNA8" s="157"/>
      <c r="BNB8" s="157"/>
      <c r="BNC8" s="157"/>
      <c r="BND8" s="157"/>
      <c r="BNE8" s="157"/>
      <c r="BNF8" s="157"/>
      <c r="BNG8" s="157"/>
      <c r="BNH8" s="157"/>
      <c r="BNI8" s="157"/>
      <c r="BNJ8" s="157"/>
      <c r="BNK8" s="157"/>
      <c r="BNL8" s="157"/>
      <c r="BNM8" s="157"/>
      <c r="BNN8" s="157"/>
      <c r="BNO8" s="157"/>
      <c r="BNP8" s="157"/>
      <c r="BNQ8" s="157"/>
      <c r="BNR8" s="157"/>
      <c r="BNS8" s="157"/>
      <c r="BNT8" s="157"/>
      <c r="BNU8" s="157"/>
      <c r="BNV8" s="157"/>
      <c r="BNW8" s="157"/>
      <c r="BNX8" s="157"/>
      <c r="BNY8" s="157"/>
      <c r="BNZ8" s="157"/>
      <c r="BOA8" s="157"/>
      <c r="BOB8" s="157"/>
      <c r="BOC8" s="157"/>
      <c r="BOD8" s="157"/>
      <c r="BOE8" s="157"/>
      <c r="BOF8" s="157"/>
      <c r="BOG8" s="157"/>
      <c r="BOH8" s="157"/>
      <c r="BOI8" s="157"/>
      <c r="BOJ8" s="157"/>
      <c r="BOK8" s="157"/>
      <c r="BOL8" s="157"/>
      <c r="BOM8" s="157"/>
      <c r="BON8" s="157"/>
      <c r="BOO8" s="157"/>
      <c r="BOP8" s="157"/>
      <c r="BOQ8" s="157"/>
      <c r="BOR8" s="157"/>
      <c r="BOS8" s="157"/>
      <c r="BOT8" s="157"/>
      <c r="BOU8" s="157"/>
      <c r="BOV8" s="157"/>
      <c r="BOW8" s="157"/>
      <c r="BOX8" s="157"/>
      <c r="BOY8" s="157"/>
      <c r="BOZ8" s="157"/>
      <c r="BPA8" s="157"/>
      <c r="BPB8" s="157"/>
      <c r="BPC8" s="157"/>
      <c r="BPD8" s="157"/>
      <c r="BPE8" s="157"/>
      <c r="BPF8" s="157"/>
      <c r="BPG8" s="157"/>
      <c r="BPH8" s="157"/>
      <c r="BPI8" s="157"/>
      <c r="BPJ8" s="157"/>
      <c r="BPK8" s="157"/>
      <c r="BPL8" s="157"/>
      <c r="BPM8" s="157"/>
      <c r="BPN8" s="157"/>
      <c r="BPO8" s="157"/>
      <c r="BPP8" s="157"/>
      <c r="BPQ8" s="157"/>
      <c r="BPR8" s="157"/>
      <c r="BPS8" s="157"/>
      <c r="BPT8" s="157"/>
      <c r="BPU8" s="157"/>
      <c r="BPV8" s="157"/>
      <c r="BPW8" s="157"/>
      <c r="BPX8" s="157"/>
      <c r="BPY8" s="157"/>
      <c r="BPZ8" s="157"/>
      <c r="BQA8" s="157"/>
      <c r="BQB8" s="157"/>
      <c r="BQC8" s="157"/>
      <c r="BQD8" s="157"/>
      <c r="BQE8" s="157"/>
      <c r="BQF8" s="157"/>
      <c r="BQG8" s="157"/>
      <c r="BQH8" s="157"/>
      <c r="BQI8" s="157"/>
      <c r="BQJ8" s="157"/>
      <c r="BQK8" s="157"/>
      <c r="BQL8" s="157"/>
      <c r="BQM8" s="157"/>
      <c r="BQN8" s="157"/>
      <c r="BQO8" s="157"/>
      <c r="BQP8" s="157"/>
      <c r="BQQ8" s="157"/>
      <c r="BQR8" s="157"/>
      <c r="BQS8" s="157"/>
      <c r="BQT8" s="157"/>
      <c r="BQU8" s="157"/>
      <c r="BQV8" s="157"/>
      <c r="BQW8" s="157"/>
      <c r="BQX8" s="157"/>
      <c r="BQY8" s="157"/>
      <c r="BQZ8" s="157"/>
      <c r="BRA8" s="157"/>
      <c r="BRB8" s="157"/>
      <c r="BRC8" s="157"/>
      <c r="BRD8" s="157"/>
      <c r="BRE8" s="157"/>
      <c r="BRF8" s="157"/>
      <c r="BRG8" s="157"/>
      <c r="BRH8" s="157"/>
      <c r="BRI8" s="157"/>
      <c r="BRJ8" s="157"/>
      <c r="BRK8" s="157"/>
      <c r="BRL8" s="157"/>
      <c r="BRM8" s="157"/>
      <c r="BRN8" s="157"/>
      <c r="BRO8" s="157"/>
      <c r="BRP8" s="157"/>
      <c r="BRQ8" s="157"/>
      <c r="BRR8" s="157"/>
      <c r="BRS8" s="157"/>
      <c r="BRT8" s="157"/>
      <c r="BRU8" s="157"/>
      <c r="BRV8" s="157"/>
      <c r="BRW8" s="157"/>
      <c r="BRX8" s="157"/>
      <c r="BRY8" s="157"/>
      <c r="BRZ8" s="157"/>
      <c r="BSA8" s="157"/>
      <c r="BSB8" s="157"/>
      <c r="BSC8" s="157"/>
      <c r="BSD8" s="157"/>
      <c r="BSE8" s="157"/>
      <c r="BSF8" s="157"/>
      <c r="BSG8" s="157"/>
      <c r="BSH8" s="157"/>
      <c r="BSI8" s="157"/>
      <c r="BSJ8" s="157"/>
      <c r="BSK8" s="157"/>
      <c r="BSL8" s="157"/>
      <c r="BSM8" s="157"/>
      <c r="BSN8" s="157"/>
      <c r="BSO8" s="157"/>
      <c r="BSP8" s="157"/>
      <c r="BSQ8" s="157"/>
      <c r="BSR8" s="157"/>
      <c r="BSS8" s="157"/>
      <c r="BST8" s="157"/>
      <c r="BSU8" s="157"/>
      <c r="BSV8" s="157"/>
      <c r="BSW8" s="157"/>
      <c r="BSX8" s="157"/>
      <c r="BSY8" s="157"/>
      <c r="BSZ8" s="157"/>
      <c r="BTA8" s="157"/>
      <c r="BTB8" s="157"/>
      <c r="BTC8" s="157"/>
      <c r="BTD8" s="157"/>
      <c r="BTE8" s="157"/>
      <c r="BTF8" s="157"/>
      <c r="BTG8" s="157"/>
      <c r="BTH8" s="157"/>
      <c r="BTI8" s="157"/>
      <c r="BTJ8" s="157"/>
      <c r="BTK8" s="157"/>
      <c r="BTL8" s="157"/>
      <c r="BTM8" s="157"/>
      <c r="BTN8" s="157"/>
      <c r="BTO8" s="157"/>
      <c r="BTP8" s="157"/>
      <c r="BTQ8" s="157"/>
      <c r="BTR8" s="157"/>
      <c r="BTS8" s="157"/>
      <c r="BTT8" s="157"/>
      <c r="BTU8" s="157"/>
      <c r="BTV8" s="157"/>
      <c r="BTW8" s="157"/>
      <c r="BTX8" s="157"/>
      <c r="BTY8" s="157"/>
      <c r="BTZ8" s="157"/>
      <c r="BUA8" s="157"/>
      <c r="BUB8" s="157"/>
      <c r="BUC8" s="157"/>
      <c r="BUD8" s="157"/>
      <c r="BUE8" s="157"/>
      <c r="BUF8" s="157"/>
      <c r="BUG8" s="157"/>
      <c r="BUH8" s="157"/>
      <c r="BUI8" s="157"/>
      <c r="BUJ8" s="157"/>
      <c r="BUK8" s="157"/>
      <c r="BUL8" s="157"/>
      <c r="BUM8" s="157"/>
      <c r="BUN8" s="157"/>
      <c r="BUO8" s="157"/>
      <c r="BUP8" s="157"/>
      <c r="BUQ8" s="157"/>
      <c r="BUR8" s="157"/>
      <c r="BUS8" s="157"/>
      <c r="BUT8" s="157"/>
      <c r="BUU8" s="157"/>
      <c r="BUV8" s="157"/>
      <c r="BUW8" s="157"/>
      <c r="BUX8" s="157"/>
      <c r="BUY8" s="157"/>
      <c r="BUZ8" s="157"/>
      <c r="BVA8" s="157"/>
      <c r="BVB8" s="157"/>
      <c r="BVC8" s="157"/>
      <c r="BVD8" s="157"/>
      <c r="BVE8" s="157"/>
      <c r="BVF8" s="157"/>
      <c r="BVG8" s="157"/>
      <c r="BVH8" s="157"/>
      <c r="BVI8" s="157"/>
      <c r="BVJ8" s="157"/>
      <c r="BVK8" s="157"/>
      <c r="BVL8" s="157"/>
      <c r="BVM8" s="157"/>
      <c r="BVN8" s="157"/>
      <c r="BVO8" s="157"/>
      <c r="BVP8" s="157"/>
      <c r="BVQ8" s="157"/>
      <c r="BVR8" s="157"/>
      <c r="BVS8" s="157"/>
      <c r="BVT8" s="157"/>
      <c r="BVU8" s="157"/>
      <c r="BVV8" s="157"/>
      <c r="BVW8" s="157"/>
      <c r="BVX8" s="157"/>
      <c r="BVY8" s="157"/>
      <c r="BVZ8" s="157"/>
      <c r="BWA8" s="157"/>
      <c r="BWB8" s="157"/>
      <c r="BWC8" s="157"/>
      <c r="BWD8" s="157"/>
      <c r="BWE8" s="157"/>
      <c r="BWF8" s="157"/>
      <c r="BWG8" s="157"/>
      <c r="BWH8" s="157"/>
      <c r="BWI8" s="157"/>
      <c r="BWJ8" s="157"/>
      <c r="BWK8" s="157"/>
      <c r="BWL8" s="157"/>
      <c r="BWM8" s="157"/>
      <c r="BWN8" s="157"/>
      <c r="BWO8" s="157"/>
      <c r="BWP8" s="157"/>
      <c r="BWQ8" s="157"/>
      <c r="BWR8" s="157"/>
      <c r="BWS8" s="157"/>
      <c r="BWT8" s="157"/>
      <c r="BWU8" s="157"/>
      <c r="BWV8" s="157"/>
      <c r="BWW8" s="157"/>
      <c r="BWX8" s="157"/>
      <c r="BWY8" s="157"/>
      <c r="BWZ8" s="157"/>
      <c r="BXA8" s="157"/>
      <c r="BXB8" s="157"/>
      <c r="BXC8" s="157"/>
      <c r="BXD8" s="157"/>
      <c r="BXE8" s="157"/>
      <c r="BXF8" s="157"/>
      <c r="BXG8" s="157"/>
      <c r="BXH8" s="157"/>
      <c r="BXI8" s="157"/>
      <c r="BXJ8" s="157"/>
      <c r="BXK8" s="157"/>
      <c r="BXL8" s="157"/>
      <c r="BXM8" s="157"/>
      <c r="BXN8" s="157"/>
      <c r="BXO8" s="157"/>
      <c r="BXP8" s="157"/>
      <c r="BXQ8" s="157"/>
      <c r="BXR8" s="157"/>
      <c r="BXS8" s="157"/>
      <c r="BXT8" s="157"/>
      <c r="BXU8" s="157"/>
      <c r="BXV8" s="157"/>
      <c r="BXW8" s="157"/>
      <c r="BXX8" s="157"/>
      <c r="BXY8" s="157"/>
      <c r="BXZ8" s="157"/>
      <c r="BYA8" s="157"/>
      <c r="BYB8" s="157"/>
      <c r="BYC8" s="157"/>
      <c r="BYD8" s="157"/>
      <c r="BYE8" s="157"/>
      <c r="BYF8" s="157"/>
      <c r="BYG8" s="157"/>
      <c r="BYH8" s="157"/>
      <c r="BYI8" s="157"/>
      <c r="BYJ8" s="157"/>
      <c r="BYK8" s="157"/>
      <c r="BYL8" s="157"/>
      <c r="BYM8" s="157"/>
      <c r="BYN8" s="157"/>
      <c r="BYO8" s="157"/>
      <c r="BYP8" s="157"/>
      <c r="BYQ8" s="157"/>
      <c r="BYR8" s="157"/>
      <c r="BYS8" s="157"/>
      <c r="BYT8" s="157"/>
      <c r="BYU8" s="157"/>
      <c r="BYV8" s="157"/>
      <c r="BYW8" s="157"/>
      <c r="BYX8" s="157"/>
      <c r="BYY8" s="157"/>
      <c r="BYZ8" s="157"/>
      <c r="BZA8" s="157"/>
      <c r="BZB8" s="157"/>
      <c r="BZC8" s="157"/>
      <c r="BZD8" s="157"/>
      <c r="BZE8" s="157"/>
      <c r="BZF8" s="157"/>
      <c r="BZG8" s="157"/>
      <c r="BZH8" s="157"/>
      <c r="BZI8" s="157"/>
      <c r="BZJ8" s="157"/>
      <c r="BZK8" s="157"/>
      <c r="BZL8" s="157"/>
      <c r="BZM8" s="157"/>
      <c r="BZN8" s="157"/>
      <c r="BZO8" s="157"/>
      <c r="BZP8" s="157"/>
      <c r="BZQ8" s="157"/>
      <c r="BZR8" s="157"/>
      <c r="BZS8" s="157"/>
      <c r="BZT8" s="157"/>
      <c r="BZU8" s="157"/>
      <c r="BZV8" s="157"/>
      <c r="BZW8" s="157"/>
      <c r="BZX8" s="157"/>
      <c r="BZY8" s="157"/>
      <c r="BZZ8" s="157"/>
      <c r="CAA8" s="157"/>
      <c r="CAB8" s="157"/>
      <c r="CAC8" s="157"/>
      <c r="CAD8" s="157"/>
      <c r="CAE8" s="157"/>
      <c r="CAF8" s="157"/>
      <c r="CAG8" s="157"/>
      <c r="CAH8" s="157"/>
      <c r="CAI8" s="157"/>
      <c r="CAJ8" s="157"/>
      <c r="CAK8" s="157"/>
      <c r="CAL8" s="157"/>
      <c r="CAM8" s="157"/>
      <c r="CAN8" s="157"/>
      <c r="CAO8" s="157"/>
      <c r="CAP8" s="157"/>
      <c r="CAQ8" s="157"/>
      <c r="CAR8" s="157"/>
      <c r="CAS8" s="157"/>
      <c r="CAT8" s="157"/>
      <c r="CAU8" s="157"/>
      <c r="CAV8" s="157"/>
      <c r="CAW8" s="157"/>
      <c r="CAX8" s="157"/>
      <c r="CAY8" s="157"/>
      <c r="CAZ8" s="157"/>
      <c r="CBA8" s="157"/>
      <c r="CBB8" s="157"/>
      <c r="CBC8" s="157"/>
      <c r="CBD8" s="157"/>
      <c r="CBE8" s="157"/>
      <c r="CBF8" s="157"/>
      <c r="CBG8" s="157"/>
      <c r="CBH8" s="157"/>
      <c r="CBI8" s="157"/>
      <c r="CBJ8" s="157"/>
      <c r="CBK8" s="157"/>
      <c r="CBL8" s="157"/>
      <c r="CBM8" s="157"/>
      <c r="CBN8" s="157"/>
      <c r="CBO8" s="157"/>
      <c r="CBP8" s="157"/>
      <c r="CBQ8" s="157"/>
      <c r="CBR8" s="157"/>
      <c r="CBS8" s="157"/>
      <c r="CBT8" s="157"/>
      <c r="CBU8" s="157"/>
      <c r="CBV8" s="157"/>
      <c r="CBW8" s="157"/>
      <c r="CBX8" s="157"/>
      <c r="CBY8" s="157"/>
      <c r="CBZ8" s="157"/>
      <c r="CCA8" s="157"/>
      <c r="CCB8" s="157"/>
      <c r="CCC8" s="157"/>
      <c r="CCD8" s="157"/>
      <c r="CCE8" s="157"/>
      <c r="CCF8" s="157"/>
      <c r="CCG8" s="157"/>
      <c r="CCH8" s="157"/>
      <c r="CCI8" s="157"/>
      <c r="CCJ8" s="157"/>
      <c r="CCK8" s="157"/>
      <c r="CCL8" s="157"/>
      <c r="CCM8" s="157"/>
      <c r="CCN8" s="157"/>
      <c r="CCO8" s="157"/>
      <c r="CCP8" s="157"/>
      <c r="CCQ8" s="157"/>
      <c r="CCR8" s="157"/>
      <c r="CCS8" s="157"/>
      <c r="CCT8" s="157"/>
      <c r="CCU8" s="157"/>
      <c r="CCV8" s="157"/>
    </row>
    <row r="9" spans="1:2129 15008:15070 15386:15394" s="70" customFormat="1" ht="23.25" customHeight="1" x14ac:dyDescent="0.2">
      <c r="A9" s="70" t="s">
        <v>17</v>
      </c>
      <c r="B9" s="70" t="s">
        <v>76</v>
      </c>
      <c r="C9" s="70" t="s">
        <v>75</v>
      </c>
      <c r="D9" s="70" t="s">
        <v>74</v>
      </c>
      <c r="E9" s="70" t="s">
        <v>73</v>
      </c>
      <c r="F9" s="70" t="s">
        <v>72</v>
      </c>
      <c r="G9" s="180" t="s">
        <v>44</v>
      </c>
      <c r="H9" s="78" t="s">
        <v>71</v>
      </c>
      <c r="I9" s="77" t="s">
        <v>70</v>
      </c>
      <c r="J9" s="163" t="s">
        <v>69</v>
      </c>
      <c r="K9" s="77" t="s">
        <v>68</v>
      </c>
      <c r="L9" s="75" t="s">
        <v>67</v>
      </c>
      <c r="M9" s="74" t="s">
        <v>66</v>
      </c>
      <c r="N9" s="76" t="s">
        <v>65</v>
      </c>
      <c r="O9" s="75" t="s">
        <v>64</v>
      </c>
      <c r="P9" s="74" t="s">
        <v>200</v>
      </c>
      <c r="Q9" s="73" t="s">
        <v>201</v>
      </c>
      <c r="R9" s="76" t="s">
        <v>62</v>
      </c>
      <c r="S9" s="75" t="s">
        <v>61</v>
      </c>
      <c r="T9" s="74" t="s">
        <v>60</v>
      </c>
      <c r="U9" s="163" t="s">
        <v>59</v>
      </c>
      <c r="V9" s="163" t="s">
        <v>58</v>
      </c>
      <c r="W9" s="163" t="s">
        <v>2</v>
      </c>
      <c r="X9" s="73" t="s">
        <v>27</v>
      </c>
      <c r="Y9" s="73" t="s">
        <v>57</v>
      </c>
      <c r="Z9" s="73" t="s">
        <v>56</v>
      </c>
      <c r="AA9" s="133" t="s">
        <v>168</v>
      </c>
      <c r="AB9" s="133" t="s">
        <v>169</v>
      </c>
      <c r="AC9" s="173" t="s">
        <v>205</v>
      </c>
      <c r="AD9" s="173" t="s">
        <v>206</v>
      </c>
      <c r="AE9" s="173" t="s">
        <v>207</v>
      </c>
      <c r="AF9" s="173" t="s">
        <v>208</v>
      </c>
      <c r="AG9" s="173" t="s">
        <v>209</v>
      </c>
      <c r="AH9" s="173" t="s">
        <v>210</v>
      </c>
      <c r="AI9" s="175" t="s">
        <v>211</v>
      </c>
      <c r="AJ9" s="173" t="s">
        <v>205</v>
      </c>
      <c r="AK9" s="173" t="s">
        <v>206</v>
      </c>
      <c r="AL9" s="173" t="s">
        <v>207</v>
      </c>
      <c r="AM9" s="174" t="s">
        <v>208</v>
      </c>
      <c r="AN9" s="173" t="s">
        <v>209</v>
      </c>
      <c r="AO9" s="173" t="s">
        <v>210</v>
      </c>
      <c r="AP9" s="175" t="s">
        <v>211</v>
      </c>
      <c r="AQ9" s="173" t="s">
        <v>205</v>
      </c>
      <c r="AR9" s="173" t="s">
        <v>206</v>
      </c>
      <c r="AS9" s="173" t="s">
        <v>207</v>
      </c>
      <c r="AT9" s="173" t="s">
        <v>208</v>
      </c>
      <c r="AU9" s="173" t="s">
        <v>209</v>
      </c>
      <c r="AV9" s="173" t="s">
        <v>210</v>
      </c>
      <c r="AW9" s="175" t="s">
        <v>211</v>
      </c>
      <c r="AX9" s="173" t="s">
        <v>205</v>
      </c>
      <c r="AY9" s="173" t="s">
        <v>206</v>
      </c>
      <c r="AZ9" s="173" t="s">
        <v>207</v>
      </c>
      <c r="BA9" s="173" t="s">
        <v>208</v>
      </c>
      <c r="BB9" s="173" t="s">
        <v>209</v>
      </c>
      <c r="BC9" s="173" t="s">
        <v>210</v>
      </c>
      <c r="BD9" s="175" t="s">
        <v>211</v>
      </c>
      <c r="BE9" s="173" t="s">
        <v>205</v>
      </c>
      <c r="BF9" s="173" t="s">
        <v>206</v>
      </c>
      <c r="BG9" s="173" t="s">
        <v>207</v>
      </c>
      <c r="BH9" s="173" t="s">
        <v>208</v>
      </c>
      <c r="BI9" s="173" t="s">
        <v>209</v>
      </c>
      <c r="BJ9" s="173" t="s">
        <v>210</v>
      </c>
      <c r="BK9" s="175" t="s">
        <v>211</v>
      </c>
      <c r="BL9" s="173" t="s">
        <v>205</v>
      </c>
      <c r="BM9" s="173" t="s">
        <v>206</v>
      </c>
      <c r="BN9" s="173" t="s">
        <v>207</v>
      </c>
      <c r="BO9" s="173" t="s">
        <v>208</v>
      </c>
      <c r="BP9" s="173" t="s">
        <v>209</v>
      </c>
      <c r="BQ9" s="173" t="s">
        <v>210</v>
      </c>
      <c r="BR9" s="175" t="s">
        <v>211</v>
      </c>
      <c r="BS9" s="173" t="s">
        <v>205</v>
      </c>
      <c r="BT9" s="173" t="s">
        <v>206</v>
      </c>
      <c r="BU9" s="173" t="s">
        <v>207</v>
      </c>
      <c r="BV9" s="173" t="s">
        <v>208</v>
      </c>
      <c r="BW9" s="173" t="s">
        <v>209</v>
      </c>
      <c r="BX9" s="173" t="s">
        <v>210</v>
      </c>
      <c r="BY9" s="175" t="s">
        <v>211</v>
      </c>
      <c r="BZ9" s="173" t="s">
        <v>205</v>
      </c>
      <c r="CA9" s="173" t="s">
        <v>206</v>
      </c>
      <c r="CB9" s="173" t="s">
        <v>207</v>
      </c>
      <c r="CC9" s="173" t="s">
        <v>208</v>
      </c>
      <c r="CD9" s="173" t="s">
        <v>209</v>
      </c>
      <c r="CE9" s="173" t="s">
        <v>210</v>
      </c>
      <c r="CF9" s="175" t="s">
        <v>211</v>
      </c>
      <c r="CG9" s="173"/>
      <c r="CH9" s="173"/>
      <c r="CI9" s="173"/>
      <c r="CJ9" s="173"/>
      <c r="CK9" s="173"/>
      <c r="CL9" s="175"/>
      <c r="CM9" s="175"/>
      <c r="CN9" s="173"/>
      <c r="CO9" s="173"/>
      <c r="CP9" s="173"/>
      <c r="CQ9" s="173"/>
      <c r="CR9" s="173"/>
      <c r="CS9" s="175"/>
      <c r="CT9" s="175"/>
      <c r="CU9" s="173"/>
      <c r="CV9" s="173"/>
      <c r="CW9" s="173"/>
      <c r="CX9" s="173"/>
      <c r="CY9" s="173"/>
      <c r="CZ9" s="175"/>
      <c r="DA9" s="175"/>
      <c r="DB9" s="173"/>
      <c r="DC9" s="173"/>
      <c r="DD9" s="173"/>
      <c r="DE9" s="173"/>
      <c r="DF9" s="173"/>
      <c r="DG9" s="175"/>
      <c r="DH9" s="175"/>
      <c r="DI9" s="173"/>
      <c r="DJ9" s="173"/>
      <c r="DK9" s="173"/>
      <c r="DL9" s="173"/>
      <c r="DM9" s="173"/>
      <c r="DN9" s="175"/>
      <c r="DO9" s="175"/>
      <c r="DP9" s="173"/>
      <c r="DQ9" s="173"/>
      <c r="DR9" s="173"/>
      <c r="DS9" s="173"/>
      <c r="DT9" s="173"/>
      <c r="DU9" s="175"/>
      <c r="DV9" s="175"/>
      <c r="DW9" s="173"/>
      <c r="DX9" s="173"/>
      <c r="DY9" s="173"/>
      <c r="DZ9" s="173"/>
      <c r="EA9" s="173"/>
      <c r="EB9" s="175"/>
      <c r="EC9" s="175"/>
      <c r="ED9" s="173"/>
      <c r="EE9" s="173"/>
      <c r="EF9" s="173"/>
      <c r="EG9" s="173"/>
      <c r="EH9" s="173"/>
      <c r="EI9" s="175"/>
      <c r="EJ9" s="175"/>
      <c r="EK9" s="173"/>
      <c r="EL9" s="173"/>
      <c r="EM9" s="173"/>
      <c r="EN9" s="173"/>
      <c r="EO9" s="173"/>
      <c r="EP9" s="175"/>
      <c r="EQ9" s="175"/>
      <c r="ER9" s="173"/>
      <c r="ES9" s="173"/>
      <c r="ET9" s="173"/>
      <c r="EU9" s="173"/>
      <c r="EV9" s="173"/>
      <c r="EW9" s="175"/>
      <c r="EX9" s="175"/>
      <c r="EY9" s="173"/>
      <c r="EZ9" s="173"/>
      <c r="FA9" s="173"/>
      <c r="FB9" s="173"/>
      <c r="FC9" s="173"/>
      <c r="FD9" s="175"/>
      <c r="FE9" s="175"/>
      <c r="FF9" s="173"/>
      <c r="FG9" s="173"/>
      <c r="FH9" s="173"/>
      <c r="FI9" s="173"/>
      <c r="FJ9" s="173"/>
      <c r="FK9" s="175"/>
      <c r="FL9" s="175"/>
      <c r="FM9" s="173"/>
      <c r="FN9" s="173"/>
      <c r="FO9" s="173"/>
      <c r="FP9" s="173"/>
      <c r="FQ9" s="173"/>
      <c r="FR9" s="175"/>
      <c r="FS9" s="175"/>
      <c r="FT9" s="173"/>
      <c r="FU9" s="173"/>
      <c r="FV9" s="173"/>
      <c r="FW9" s="173"/>
      <c r="FX9" s="173"/>
      <c r="FY9" s="175"/>
      <c r="FZ9" s="175"/>
      <c r="GA9" s="173"/>
      <c r="GB9" s="173"/>
      <c r="GC9" s="173"/>
      <c r="GD9" s="173"/>
      <c r="GE9" s="173"/>
      <c r="GF9" s="175"/>
      <c r="GG9" s="175"/>
      <c r="GH9" s="173"/>
      <c r="GI9" s="173"/>
      <c r="GJ9" s="173"/>
      <c r="GK9" s="173"/>
      <c r="GL9" s="173"/>
      <c r="GM9" s="175"/>
      <c r="GN9" s="175"/>
      <c r="GO9" s="173"/>
      <c r="GP9" s="173"/>
      <c r="GQ9" s="173"/>
      <c r="GR9" s="173"/>
      <c r="GS9" s="173"/>
      <c r="GT9" s="175"/>
      <c r="GU9" s="175"/>
      <c r="GV9" s="173"/>
      <c r="GW9" s="173"/>
      <c r="GX9" s="173"/>
      <c r="GY9" s="173"/>
      <c r="GZ9" s="173"/>
      <c r="HA9" s="175"/>
      <c r="HB9" s="175"/>
      <c r="HC9" s="173"/>
      <c r="HD9" s="173"/>
      <c r="HE9" s="173"/>
      <c r="HF9" s="173"/>
      <c r="HG9" s="173"/>
      <c r="HH9" s="175"/>
      <c r="HI9" s="175"/>
      <c r="HJ9" s="173"/>
      <c r="HK9" s="173"/>
      <c r="HL9" s="173"/>
      <c r="HM9" s="173"/>
      <c r="HN9" s="173"/>
      <c r="HO9" s="175"/>
      <c r="HP9" s="175"/>
      <c r="HQ9" s="173"/>
      <c r="HR9" s="173"/>
      <c r="HS9" s="173"/>
      <c r="HT9" s="173"/>
      <c r="HU9" s="173"/>
      <c r="HV9" s="175"/>
      <c r="HW9" s="175"/>
      <c r="HX9" s="173"/>
      <c r="HY9" s="173"/>
      <c r="HZ9" s="173"/>
      <c r="IA9" s="173"/>
      <c r="IB9" s="173"/>
      <c r="IC9" s="175"/>
      <c r="ID9" s="175"/>
      <c r="IE9" s="173"/>
      <c r="IF9" s="173"/>
      <c r="IG9" s="173"/>
      <c r="IH9" s="173"/>
      <c r="II9" s="173"/>
      <c r="IJ9" s="175"/>
      <c r="IK9" s="175"/>
      <c r="IL9" s="173"/>
      <c r="IM9" s="173"/>
      <c r="IN9" s="173"/>
      <c r="IO9" s="173"/>
      <c r="IP9" s="173"/>
      <c r="IQ9" s="175"/>
      <c r="IR9" s="175"/>
      <c r="IS9" s="173"/>
      <c r="IT9" s="173"/>
      <c r="IU9" s="173"/>
      <c r="IV9" s="173"/>
      <c r="IW9" s="173"/>
      <c r="IX9" s="175"/>
      <c r="IY9" s="175"/>
      <c r="IZ9" s="173"/>
      <c r="JA9" s="173"/>
      <c r="JB9" s="173"/>
      <c r="JC9" s="173"/>
      <c r="JD9" s="173"/>
      <c r="JE9" s="175"/>
      <c r="JF9" s="175"/>
      <c r="JG9" s="173"/>
      <c r="JH9" s="173"/>
      <c r="JI9" s="173"/>
      <c r="JJ9" s="173"/>
      <c r="JK9" s="173"/>
      <c r="JL9" s="175"/>
      <c r="JM9" s="175"/>
      <c r="JN9" s="173"/>
      <c r="JO9" s="173"/>
      <c r="JP9" s="173"/>
      <c r="JQ9" s="173"/>
      <c r="JR9" s="173"/>
      <c r="JS9" s="175"/>
      <c r="JT9" s="175"/>
      <c r="JU9" s="173"/>
      <c r="JV9" s="173"/>
      <c r="JW9" s="173"/>
      <c r="JX9" s="173"/>
      <c r="JY9" s="173"/>
      <c r="JZ9" s="175"/>
      <c r="KA9" s="175"/>
      <c r="KB9" s="173"/>
      <c r="KC9" s="173"/>
      <c r="KD9" s="173"/>
      <c r="KE9" s="173"/>
      <c r="KF9" s="173"/>
      <c r="KG9" s="175"/>
      <c r="KH9" s="175"/>
      <c r="KI9" s="173"/>
      <c r="KJ9" s="173"/>
      <c r="KK9" s="173"/>
      <c r="KL9" s="173"/>
      <c r="KM9" s="173"/>
      <c r="KN9" s="175"/>
      <c r="KO9" s="175"/>
      <c r="KP9" s="173"/>
      <c r="KQ9" s="173"/>
      <c r="KR9" s="173"/>
      <c r="KS9" s="173"/>
      <c r="KT9" s="173"/>
      <c r="KU9" s="175"/>
      <c r="KV9" s="175"/>
      <c r="KW9" s="173"/>
      <c r="KX9" s="173"/>
      <c r="KY9" s="173"/>
      <c r="KZ9" s="173"/>
      <c r="LA9" s="173"/>
      <c r="LB9" s="175"/>
      <c r="LC9" s="175"/>
      <c r="LD9" s="173"/>
      <c r="LE9" s="173"/>
      <c r="LF9" s="173"/>
      <c r="LG9" s="173"/>
      <c r="LH9" s="173"/>
      <c r="LI9" s="175"/>
      <c r="LJ9" s="175"/>
      <c r="LK9" s="173"/>
      <c r="LL9" s="173"/>
      <c r="LM9" s="173"/>
      <c r="LN9" s="173"/>
      <c r="LO9" s="173"/>
      <c r="LP9" s="175"/>
      <c r="LQ9" s="175"/>
      <c r="LR9" s="173"/>
      <c r="LS9" s="173"/>
      <c r="LT9" s="173"/>
      <c r="LU9" s="173"/>
      <c r="LV9" s="173"/>
      <c r="LW9" s="175"/>
      <c r="LX9" s="175"/>
      <c r="LY9" s="173"/>
      <c r="LZ9" s="173"/>
      <c r="MA9" s="173"/>
      <c r="MB9" s="173"/>
      <c r="MC9" s="173"/>
      <c r="MD9" s="175"/>
      <c r="ME9" s="175"/>
      <c r="MF9" s="173"/>
      <c r="MG9" s="173"/>
      <c r="MH9" s="173"/>
      <c r="MI9" s="173"/>
      <c r="MJ9" s="173"/>
      <c r="MK9" s="175"/>
      <c r="ML9" s="175"/>
      <c r="MM9" s="173"/>
      <c r="MN9" s="173"/>
      <c r="MO9" s="173"/>
      <c r="MP9" s="173"/>
      <c r="MQ9" s="173"/>
      <c r="MR9" s="175"/>
      <c r="MS9" s="175"/>
      <c r="MT9" s="173"/>
      <c r="MU9" s="173"/>
      <c r="MV9" s="173"/>
      <c r="MW9" s="173"/>
      <c r="MX9" s="173"/>
      <c r="MY9" s="175"/>
      <c r="MZ9" s="175"/>
      <c r="NA9" s="173"/>
      <c r="NB9" s="173"/>
      <c r="NC9" s="173"/>
      <c r="ND9" s="173"/>
      <c r="NE9" s="173"/>
      <c r="NF9" s="175"/>
      <c r="NG9" s="175"/>
      <c r="NH9" s="173"/>
      <c r="NI9" s="173"/>
      <c r="NJ9" s="173"/>
      <c r="NK9" s="173"/>
      <c r="NL9" s="173"/>
      <c r="NM9" s="175"/>
      <c r="NN9" s="175"/>
      <c r="NO9" s="173"/>
      <c r="NP9" s="173"/>
      <c r="NQ9" s="173"/>
      <c r="NR9" s="173"/>
      <c r="NS9" s="173"/>
      <c r="NT9" s="175"/>
      <c r="NU9" s="175"/>
      <c r="NV9" s="173"/>
      <c r="NW9" s="173"/>
      <c r="NX9" s="173"/>
      <c r="NY9" s="173"/>
      <c r="NZ9" s="173"/>
      <c r="OA9" s="175"/>
      <c r="OB9" s="175"/>
      <c r="OC9" s="173"/>
      <c r="OD9" s="173"/>
      <c r="OE9" s="173"/>
      <c r="OF9" s="173"/>
      <c r="OG9" s="173"/>
      <c r="OH9" s="175"/>
      <c r="OI9" s="175"/>
      <c r="OJ9" s="173"/>
      <c r="OK9" s="173"/>
      <c r="OL9" s="173"/>
      <c r="OM9" s="173"/>
      <c r="ON9" s="173"/>
      <c r="OO9" s="175"/>
      <c r="OP9" s="175"/>
      <c r="OQ9" s="173"/>
      <c r="OR9" s="173"/>
      <c r="OS9" s="173"/>
      <c r="OT9" s="173"/>
      <c r="OU9" s="173"/>
      <c r="OV9" s="175"/>
      <c r="OW9" s="175"/>
      <c r="OX9" s="173"/>
      <c r="OY9" s="173"/>
      <c r="OZ9" s="173"/>
      <c r="PA9" s="173"/>
      <c r="PB9" s="173"/>
      <c r="PC9" s="175"/>
      <c r="PD9" s="175"/>
      <c r="PE9" s="173"/>
      <c r="PF9" s="173"/>
      <c r="PG9" s="173"/>
      <c r="PH9" s="173"/>
      <c r="PI9" s="173"/>
      <c r="PJ9" s="175"/>
      <c r="PK9" s="175"/>
      <c r="PL9" s="173"/>
      <c r="PM9" s="173"/>
      <c r="PN9" s="173"/>
      <c r="PO9" s="173"/>
      <c r="PP9" s="173"/>
      <c r="PQ9" s="175"/>
      <c r="PR9" s="175"/>
      <c r="PS9" s="173"/>
      <c r="PT9" s="173"/>
      <c r="PU9" s="173"/>
      <c r="PV9" s="173"/>
      <c r="PW9" s="173"/>
      <c r="PX9" s="175"/>
      <c r="PY9" s="175"/>
      <c r="PZ9" s="173"/>
      <c r="QA9" s="173"/>
      <c r="QB9" s="173"/>
      <c r="QC9" s="173"/>
      <c r="QD9" s="173"/>
      <c r="QE9" s="175"/>
      <c r="QF9" s="175"/>
      <c r="QG9" s="173"/>
      <c r="QH9" s="173"/>
      <c r="QI9" s="173"/>
      <c r="QJ9" s="173"/>
      <c r="QK9" s="173"/>
      <c r="QL9" s="175"/>
      <c r="QM9" s="175"/>
      <c r="QN9" s="173"/>
      <c r="QO9" s="173"/>
      <c r="QP9" s="173"/>
      <c r="QQ9" s="173"/>
      <c r="QR9" s="173"/>
      <c r="QS9" s="175"/>
      <c r="QT9" s="175"/>
      <c r="QU9" s="173"/>
      <c r="QV9" s="173"/>
      <c r="QW9" s="173"/>
      <c r="QX9" s="173"/>
      <c r="QY9" s="173"/>
      <c r="QZ9" s="175"/>
      <c r="RA9" s="175"/>
      <c r="RB9" s="173"/>
      <c r="RC9" s="173"/>
      <c r="RD9" s="173"/>
      <c r="RE9" s="173"/>
      <c r="RF9" s="173"/>
      <c r="RG9" s="175"/>
      <c r="RH9" s="175"/>
      <c r="RI9" s="173"/>
      <c r="RJ9" s="173"/>
      <c r="RK9" s="173"/>
      <c r="RL9" s="173"/>
      <c r="RM9" s="173"/>
      <c r="RN9" s="175"/>
      <c r="RO9" s="175"/>
      <c r="RP9" s="173"/>
      <c r="RQ9" s="173"/>
      <c r="RR9" s="173"/>
      <c r="RS9" s="173"/>
      <c r="RT9" s="173"/>
      <c r="RU9" s="175"/>
      <c r="RV9" s="175"/>
      <c r="RW9" s="173"/>
      <c r="RX9" s="173"/>
      <c r="RY9" s="173"/>
      <c r="RZ9" s="173"/>
      <c r="SA9" s="173"/>
      <c r="SB9" s="175"/>
      <c r="SC9" s="175"/>
      <c r="SD9" s="173"/>
      <c r="SE9" s="173"/>
      <c r="SF9" s="173"/>
      <c r="SG9" s="173"/>
      <c r="SH9" s="173"/>
      <c r="SI9" s="175"/>
      <c r="SJ9" s="175"/>
      <c r="SK9" s="173"/>
      <c r="SL9" s="173"/>
      <c r="SM9" s="173"/>
      <c r="SN9" s="173"/>
      <c r="SO9" s="173"/>
      <c r="SP9" s="175"/>
      <c r="SQ9" s="175"/>
      <c r="SR9" s="173"/>
      <c r="SS9" s="173"/>
      <c r="ST9" s="173"/>
      <c r="SU9" s="173"/>
      <c r="SV9" s="173"/>
      <c r="SW9" s="175"/>
      <c r="SX9" s="175"/>
      <c r="SY9" s="173"/>
      <c r="SZ9" s="173"/>
      <c r="TA9" s="173"/>
      <c r="TB9" s="173"/>
      <c r="TC9" s="173"/>
      <c r="TD9" s="175"/>
      <c r="TE9" s="175"/>
      <c r="TF9" s="173"/>
      <c r="TG9" s="173"/>
      <c r="TH9" s="173"/>
      <c r="TI9" s="173"/>
      <c r="TJ9" s="173"/>
      <c r="TK9" s="175"/>
      <c r="TL9" s="175"/>
      <c r="TM9" s="173"/>
      <c r="TN9" s="173"/>
      <c r="TO9" s="173"/>
      <c r="TP9" s="173"/>
      <c r="TQ9" s="173"/>
      <c r="TR9" s="175"/>
      <c r="TS9" s="175"/>
      <c r="TT9" s="173"/>
      <c r="TU9" s="173"/>
      <c r="TV9" s="173"/>
      <c r="TW9" s="173"/>
      <c r="TX9" s="173"/>
      <c r="TY9" s="175"/>
      <c r="TZ9" s="175"/>
      <c r="UA9" s="173"/>
      <c r="UB9" s="173"/>
      <c r="UC9" s="173"/>
      <c r="UD9" s="173"/>
      <c r="UE9" s="173"/>
      <c r="UF9" s="175"/>
      <c r="UG9" s="175"/>
      <c r="UH9" s="173"/>
      <c r="UI9" s="173"/>
      <c r="UJ9" s="173"/>
      <c r="UK9" s="173"/>
      <c r="UL9" s="173"/>
      <c r="UM9" s="175"/>
      <c r="UN9" s="175"/>
      <c r="UO9" s="173"/>
      <c r="UP9" s="173"/>
      <c r="UQ9" s="173"/>
      <c r="UR9" s="173"/>
      <c r="US9" s="173"/>
      <c r="UT9" s="175"/>
      <c r="UU9" s="175"/>
      <c r="UV9" s="173"/>
      <c r="UW9" s="173"/>
      <c r="UX9" s="173"/>
      <c r="UY9" s="173"/>
      <c r="UZ9" s="173"/>
      <c r="VA9" s="175"/>
      <c r="VB9" s="175"/>
      <c r="VC9" s="173"/>
      <c r="VD9" s="173"/>
      <c r="VE9" s="173"/>
      <c r="VF9" s="173"/>
      <c r="VG9" s="173"/>
      <c r="VH9" s="175"/>
      <c r="VI9" s="175"/>
      <c r="VJ9" s="173"/>
      <c r="VK9" s="173"/>
      <c r="VL9" s="173"/>
      <c r="VM9" s="173"/>
      <c r="VN9" s="173"/>
      <c r="VO9" s="175"/>
      <c r="VP9" s="175"/>
      <c r="VQ9" s="173"/>
      <c r="VR9" s="173"/>
      <c r="VS9" s="173"/>
      <c r="VT9" s="173"/>
      <c r="VU9" s="173"/>
      <c r="VV9" s="175"/>
      <c r="VW9" s="175"/>
      <c r="VX9" s="173"/>
      <c r="VY9" s="173"/>
      <c r="VZ9" s="173"/>
      <c r="WA9" s="173"/>
      <c r="WB9" s="173"/>
      <c r="WC9" s="175"/>
      <c r="WD9" s="175"/>
      <c r="WE9" s="173"/>
      <c r="WF9" s="173"/>
      <c r="WG9" s="173"/>
      <c r="WH9" s="173"/>
      <c r="WI9" s="173"/>
      <c r="WJ9" s="175"/>
      <c r="WK9" s="175"/>
      <c r="WL9" s="173"/>
      <c r="WM9" s="173"/>
      <c r="WN9" s="173"/>
      <c r="WO9" s="173"/>
      <c r="WP9" s="173"/>
      <c r="WQ9" s="175"/>
      <c r="WR9" s="175"/>
      <c r="WS9" s="173"/>
      <c r="WT9" s="173"/>
      <c r="WU9" s="173"/>
      <c r="WV9" s="173"/>
      <c r="WW9" s="173"/>
      <c r="WX9" s="175"/>
      <c r="WY9" s="175"/>
      <c r="WZ9" s="173"/>
      <c r="XA9" s="173"/>
      <c r="XB9" s="173"/>
      <c r="XC9" s="173"/>
      <c r="XD9" s="173"/>
      <c r="XE9" s="175"/>
      <c r="XF9" s="175"/>
      <c r="XG9" s="173"/>
      <c r="XH9" s="173"/>
      <c r="XI9" s="173"/>
      <c r="XJ9" s="173"/>
      <c r="XK9" s="173"/>
      <c r="XL9" s="175"/>
      <c r="XM9" s="175"/>
      <c r="XN9" s="173"/>
      <c r="XO9" s="173"/>
      <c r="XP9" s="173"/>
      <c r="XQ9" s="173"/>
      <c r="XR9" s="173"/>
      <c r="XS9" s="175"/>
      <c r="XT9" s="175"/>
      <c r="XU9" s="173"/>
      <c r="XV9" s="173"/>
      <c r="XW9" s="173"/>
      <c r="XX9" s="173"/>
      <c r="XY9" s="173"/>
      <c r="XZ9" s="175"/>
      <c r="YA9" s="175"/>
      <c r="YB9" s="173"/>
      <c r="YC9" s="173"/>
      <c r="YD9" s="173"/>
      <c r="YE9" s="173"/>
      <c r="YF9" s="173"/>
      <c r="YG9" s="175"/>
      <c r="YH9" s="175"/>
      <c r="YI9" s="173"/>
      <c r="YJ9" s="173"/>
      <c r="YK9" s="173"/>
      <c r="YL9" s="173"/>
      <c r="YM9" s="173"/>
      <c r="YN9" s="175"/>
      <c r="YO9" s="175"/>
      <c r="YP9" s="173"/>
      <c r="YQ9" s="173"/>
      <c r="YR9" s="173"/>
      <c r="YS9" s="173"/>
      <c r="YT9" s="173"/>
      <c r="YU9" s="175"/>
      <c r="YV9" s="175"/>
      <c r="YW9" s="173"/>
      <c r="YX9" s="173"/>
      <c r="YY9" s="173"/>
      <c r="YZ9" s="173"/>
      <c r="ZA9" s="173"/>
      <c r="ZB9" s="175"/>
      <c r="ZC9" s="175"/>
      <c r="ZD9" s="173"/>
      <c r="ZE9" s="173"/>
      <c r="ZF9" s="173"/>
      <c r="ZG9" s="173"/>
      <c r="ZH9" s="173"/>
      <c r="ZI9" s="175"/>
      <c r="ZJ9" s="175"/>
      <c r="ZK9" s="173"/>
      <c r="ZL9" s="173"/>
      <c r="ZM9" s="173"/>
      <c r="ZN9" s="173"/>
      <c r="ZO9" s="173"/>
      <c r="ZP9" s="175"/>
      <c r="ZQ9" s="175"/>
      <c r="ZR9" s="173"/>
      <c r="ZS9" s="173"/>
      <c r="ZT9" s="173"/>
      <c r="ZU9" s="173"/>
      <c r="ZV9" s="173"/>
      <c r="ZW9" s="175"/>
      <c r="ZX9" s="175"/>
      <c r="ZY9" s="173"/>
      <c r="ZZ9" s="173"/>
      <c r="AAA9" s="173"/>
      <c r="AAB9" s="173"/>
      <c r="AAC9" s="173"/>
      <c r="AAD9" s="175"/>
      <c r="AAE9" s="175"/>
      <c r="AAF9" s="173"/>
      <c r="AAG9" s="173"/>
      <c r="AAH9" s="173"/>
      <c r="AAI9" s="173"/>
      <c r="AAJ9" s="173"/>
      <c r="AAK9" s="175"/>
      <c r="AAL9" s="175"/>
      <c r="AAM9" s="173"/>
      <c r="AAN9" s="173"/>
      <c r="AAO9" s="173"/>
      <c r="AAP9" s="173"/>
      <c r="AAQ9" s="173"/>
      <c r="AAR9" s="175"/>
      <c r="AAS9" s="175"/>
      <c r="AAT9" s="173"/>
      <c r="AAU9" s="173"/>
      <c r="AAV9" s="173"/>
      <c r="AAW9" s="173"/>
      <c r="AAX9" s="173"/>
      <c r="AAY9" s="175"/>
      <c r="AAZ9" s="175"/>
      <c r="ABA9" s="173"/>
      <c r="ABB9" s="173"/>
      <c r="ABC9" s="173"/>
      <c r="ABD9" s="173"/>
      <c r="ABE9" s="173"/>
      <c r="ABF9" s="175"/>
      <c r="ABG9" s="175"/>
      <c r="ABH9" s="173"/>
      <c r="ABI9" s="173"/>
      <c r="ABJ9" s="173"/>
      <c r="ABK9" s="173"/>
      <c r="ABL9" s="173"/>
      <c r="ABM9" s="175"/>
      <c r="ABN9" s="175"/>
      <c r="ABO9" s="173"/>
      <c r="ABP9" s="173"/>
      <c r="ABQ9" s="173"/>
      <c r="ABR9" s="173"/>
      <c r="ABS9" s="173"/>
      <c r="ABT9" s="175"/>
      <c r="ABU9" s="175"/>
      <c r="ABV9" s="173"/>
      <c r="ABW9" s="173"/>
      <c r="ABX9" s="173"/>
      <c r="ABY9" s="173"/>
      <c r="ABZ9" s="173"/>
      <c r="ACA9" s="175"/>
      <c r="ACB9" s="175"/>
      <c r="ACC9" s="173"/>
      <c r="ACD9" s="173"/>
      <c r="ACE9" s="173"/>
      <c r="ACF9" s="173"/>
      <c r="ACG9" s="173"/>
      <c r="ACH9" s="175"/>
      <c r="ACI9" s="175"/>
      <c r="ACJ9" s="173"/>
      <c r="ACK9" s="173"/>
      <c r="ACL9" s="173"/>
      <c r="ACM9" s="173"/>
      <c r="ACN9" s="173"/>
      <c r="ACO9" s="175"/>
      <c r="ACP9" s="175"/>
      <c r="ACQ9" s="173"/>
      <c r="ACR9" s="173"/>
      <c r="ACS9" s="173"/>
      <c r="ACT9" s="173"/>
      <c r="ACU9" s="173"/>
      <c r="ACV9" s="175"/>
      <c r="ACW9" s="175"/>
      <c r="ACX9" s="173"/>
      <c r="ACY9" s="173"/>
      <c r="ACZ9" s="173"/>
      <c r="ADA9" s="173"/>
      <c r="ADB9" s="173"/>
      <c r="ADC9" s="175"/>
      <c r="ADD9" s="175"/>
      <c r="ADE9" s="173"/>
      <c r="ADF9" s="173"/>
      <c r="ADG9" s="173"/>
      <c r="ADH9" s="173"/>
      <c r="ADI9" s="173"/>
      <c r="ADJ9" s="175"/>
      <c r="ADK9" s="175"/>
      <c r="ADL9" s="173"/>
      <c r="ADM9" s="173"/>
      <c r="ADN9" s="173"/>
      <c r="ADO9" s="173"/>
      <c r="ADP9" s="173"/>
      <c r="ADQ9" s="175"/>
      <c r="ADR9" s="175"/>
      <c r="ADS9" s="173"/>
      <c r="ADT9" s="173"/>
      <c r="ADU9" s="173"/>
      <c r="ADV9" s="173"/>
      <c r="ADW9" s="173"/>
      <c r="ADX9" s="175"/>
      <c r="ADY9" s="175"/>
      <c r="ADZ9" s="173"/>
      <c r="AEA9" s="173"/>
      <c r="AEB9" s="173"/>
      <c r="AEC9" s="173"/>
      <c r="AED9" s="173"/>
      <c r="AEE9" s="175"/>
      <c r="AEF9" s="175"/>
      <c r="AEG9" s="173"/>
      <c r="AEH9" s="173"/>
      <c r="AEI9" s="173"/>
      <c r="AEJ9" s="173"/>
      <c r="AEK9" s="173"/>
      <c r="AEL9" s="175"/>
      <c r="AEM9" s="175"/>
      <c r="AEN9" s="173"/>
      <c r="AEO9" s="173"/>
      <c r="AEP9" s="173"/>
      <c r="AEQ9" s="173"/>
      <c r="AER9" s="173"/>
      <c r="AES9" s="175"/>
      <c r="AET9" s="175"/>
      <c r="AEU9" s="173"/>
      <c r="AEV9" s="173"/>
      <c r="AEW9" s="173"/>
      <c r="AEX9" s="173"/>
      <c r="AEY9" s="173"/>
      <c r="AEZ9" s="175"/>
      <c r="AFA9" s="175"/>
      <c r="AFB9" s="173"/>
      <c r="AFC9" s="173"/>
      <c r="AFD9" s="173"/>
      <c r="AFE9" s="173"/>
      <c r="AFF9" s="173"/>
      <c r="AFG9" s="175"/>
      <c r="AFH9" s="175"/>
      <c r="AFI9" s="173"/>
      <c r="AFJ9" s="173"/>
      <c r="AFK9" s="173"/>
      <c r="AFL9" s="173"/>
      <c r="AFM9" s="173"/>
      <c r="AFN9" s="175"/>
      <c r="AFO9" s="175"/>
      <c r="AFP9" s="173"/>
      <c r="AFQ9" s="173"/>
      <c r="AFR9" s="173"/>
      <c r="AFS9" s="173"/>
      <c r="AFT9" s="173"/>
      <c r="AFU9" s="175"/>
      <c r="AFV9" s="175"/>
      <c r="AFW9" s="173"/>
      <c r="AFX9" s="173"/>
      <c r="AFY9" s="173"/>
      <c r="AFZ9" s="173"/>
      <c r="AGA9" s="173"/>
      <c r="AGB9" s="175"/>
      <c r="AGC9" s="175"/>
      <c r="AGD9" s="173"/>
      <c r="AGE9" s="173"/>
      <c r="AGF9" s="173"/>
      <c r="AGG9" s="173"/>
      <c r="AGH9" s="173"/>
      <c r="AGI9" s="175"/>
      <c r="AGJ9" s="175"/>
      <c r="AGK9" s="173"/>
      <c r="AGL9" s="173"/>
      <c r="AGM9" s="173"/>
      <c r="AGN9" s="173"/>
      <c r="AGO9" s="173"/>
      <c r="AGP9" s="175"/>
      <c r="AGQ9" s="175"/>
      <c r="AGR9" s="173"/>
      <c r="AGS9" s="173"/>
      <c r="AGT9" s="173"/>
      <c r="AGU9" s="173"/>
      <c r="AGV9" s="173"/>
      <c r="AGW9" s="175"/>
      <c r="AGX9" s="175"/>
      <c r="AGY9" s="173"/>
      <c r="AGZ9" s="173"/>
      <c r="AHA9" s="173"/>
      <c r="AHB9" s="173"/>
      <c r="AHC9" s="173"/>
      <c r="AHD9" s="175"/>
      <c r="AHE9" s="175"/>
      <c r="AHF9" s="173"/>
      <c r="AHG9" s="173"/>
      <c r="AHH9" s="173"/>
      <c r="AHI9" s="173"/>
      <c r="AHJ9" s="173"/>
      <c r="AHK9" s="175"/>
      <c r="AHL9" s="175"/>
      <c r="AHM9" s="173"/>
      <c r="AHN9" s="173"/>
      <c r="AHO9" s="173"/>
      <c r="AHP9" s="173"/>
      <c r="AHQ9" s="173"/>
      <c r="AHR9" s="175"/>
      <c r="AHS9" s="175"/>
      <c r="AHT9" s="173"/>
      <c r="AHU9" s="173"/>
      <c r="AHV9" s="173"/>
      <c r="AHW9" s="173"/>
      <c r="AHX9" s="173"/>
      <c r="AHY9" s="175"/>
      <c r="AHZ9" s="175"/>
      <c r="AIA9" s="173"/>
      <c r="AIB9" s="173"/>
      <c r="AIC9" s="173"/>
      <c r="AID9" s="173"/>
      <c r="AIE9" s="173"/>
      <c r="AIF9" s="175"/>
      <c r="AIG9" s="175"/>
      <c r="AIH9" s="173"/>
      <c r="AII9" s="173"/>
      <c r="AIJ9" s="173"/>
      <c r="AIK9" s="173"/>
      <c r="AIL9" s="173"/>
      <c r="AIM9" s="175"/>
      <c r="AIN9" s="175"/>
      <c r="AIO9" s="173"/>
      <c r="AIP9" s="173"/>
      <c r="AIQ9" s="173"/>
      <c r="AIR9" s="173"/>
      <c r="AIS9" s="173"/>
      <c r="AIT9" s="175"/>
      <c r="AIU9" s="175"/>
      <c r="AIV9" s="173"/>
      <c r="AIW9" s="173"/>
      <c r="AIX9" s="173"/>
      <c r="AIY9" s="173"/>
      <c r="AIZ9" s="173"/>
      <c r="AJA9" s="175"/>
      <c r="AJB9" s="175"/>
      <c r="AJC9" s="173"/>
      <c r="AJD9" s="173"/>
      <c r="AJE9" s="173"/>
      <c r="AJF9" s="173"/>
      <c r="AJG9" s="173"/>
      <c r="AJH9" s="175"/>
      <c r="AJI9" s="175"/>
      <c r="AJJ9" s="173"/>
      <c r="AJK9" s="173"/>
      <c r="AJL9" s="173"/>
      <c r="AJM9" s="173"/>
      <c r="AJN9" s="173"/>
      <c r="AJO9" s="175"/>
      <c r="AJP9" s="175"/>
      <c r="AJQ9" s="173"/>
      <c r="AJR9" s="173"/>
      <c r="AJS9" s="173"/>
      <c r="AJT9" s="173"/>
      <c r="AJU9" s="173"/>
      <c r="AJV9" s="175"/>
      <c r="AJW9" s="175"/>
      <c r="AJX9" s="173"/>
      <c r="AJY9" s="173"/>
      <c r="AJZ9" s="173"/>
      <c r="AKA9" s="173"/>
      <c r="AKB9" s="173"/>
      <c r="AKC9" s="175"/>
      <c r="AKD9" s="175"/>
      <c r="AKE9" s="173"/>
      <c r="AKF9" s="173"/>
      <c r="AKG9" s="173"/>
      <c r="AKH9" s="173"/>
      <c r="AKI9" s="173"/>
      <c r="AKJ9" s="175"/>
      <c r="AKK9" s="175"/>
      <c r="AKL9" s="173"/>
      <c r="AKM9" s="173"/>
      <c r="AKN9" s="173"/>
      <c r="AKO9" s="173"/>
      <c r="AKP9" s="173"/>
      <c r="AKQ9" s="175"/>
      <c r="AKR9" s="175"/>
      <c r="AKS9" s="173"/>
      <c r="AKT9" s="173"/>
      <c r="AKU9" s="173"/>
      <c r="AKV9" s="173"/>
      <c r="AKW9" s="173"/>
      <c r="AKX9" s="175"/>
      <c r="AKY9" s="175"/>
      <c r="AKZ9" s="173"/>
      <c r="ALA9" s="173"/>
      <c r="ALB9" s="173"/>
      <c r="ALC9" s="173"/>
      <c r="ALD9" s="173"/>
      <c r="ALE9" s="175"/>
      <c r="ALF9" s="175"/>
      <c r="ALG9" s="173"/>
      <c r="ALH9" s="173"/>
      <c r="ALI9" s="173"/>
      <c r="ALJ9" s="173"/>
      <c r="ALK9" s="173"/>
      <c r="ALL9" s="175"/>
      <c r="ALM9" s="175"/>
      <c r="ALN9" s="173"/>
      <c r="ALO9" s="173"/>
      <c r="ALP9" s="173"/>
      <c r="ALQ9" s="173"/>
      <c r="ALR9" s="173"/>
      <c r="ALS9" s="175"/>
      <c r="ALT9" s="175"/>
      <c r="ALU9" s="173"/>
      <c r="ALV9" s="173"/>
      <c r="ALW9" s="173"/>
      <c r="ALX9" s="173"/>
      <c r="ALY9" s="173"/>
      <c r="ALZ9" s="175"/>
      <c r="AMA9" s="175"/>
      <c r="AMB9" s="173"/>
      <c r="AMC9" s="173"/>
      <c r="AMD9" s="173"/>
      <c r="AME9" s="173"/>
      <c r="AMF9" s="173"/>
      <c r="AMG9" s="175"/>
      <c r="AMH9" s="175"/>
      <c r="AMI9" s="173"/>
      <c r="AMJ9" s="173"/>
      <c r="AMK9" s="173"/>
      <c r="AML9" s="173"/>
      <c r="AMM9" s="173"/>
      <c r="AMN9" s="175"/>
      <c r="AMO9" s="175"/>
      <c r="AMP9" s="173"/>
      <c r="AMQ9" s="173"/>
      <c r="AMR9" s="173"/>
      <c r="AMS9" s="173"/>
      <c r="AMT9" s="173"/>
      <c r="AMU9" s="175"/>
      <c r="AMV9" s="175"/>
      <c r="AMW9" s="173"/>
      <c r="AMX9" s="173"/>
      <c r="AMY9" s="173"/>
      <c r="AMZ9" s="173"/>
      <c r="ANA9" s="173"/>
      <c r="ANB9" s="175"/>
      <c r="ANC9" s="175"/>
      <c r="AND9" s="173"/>
      <c r="ANE9" s="173"/>
      <c r="ANF9" s="173"/>
      <c r="ANG9" s="173"/>
      <c r="ANH9" s="173"/>
      <c r="ANI9" s="175"/>
      <c r="ANJ9" s="175"/>
      <c r="ANK9" s="173"/>
      <c r="ANL9" s="173"/>
      <c r="ANM9" s="173"/>
      <c r="ANN9" s="173"/>
      <c r="ANO9" s="173"/>
      <c r="ANP9" s="175"/>
      <c r="ANQ9" s="175"/>
      <c r="ANR9" s="173"/>
      <c r="ANS9" s="173"/>
      <c r="ANT9" s="173"/>
      <c r="ANU9" s="173"/>
      <c r="ANV9" s="173"/>
      <c r="ANW9" s="175"/>
      <c r="ANX9" s="175"/>
      <c r="ANY9" s="173"/>
      <c r="ANZ9" s="173"/>
      <c r="AOA9" s="173"/>
      <c r="AOB9" s="173"/>
      <c r="AOC9" s="173"/>
      <c r="AOD9" s="175"/>
      <c r="AOE9" s="175"/>
      <c r="AOF9" s="173"/>
      <c r="AOG9" s="173"/>
      <c r="AOH9" s="173"/>
      <c r="AOI9" s="173"/>
      <c r="AOJ9" s="173"/>
      <c r="AOK9" s="175"/>
      <c r="AOL9" s="175"/>
      <c r="AOM9" s="173"/>
      <c r="AON9" s="173"/>
      <c r="AOO9" s="173"/>
      <c r="AOP9" s="173"/>
      <c r="AOQ9" s="173"/>
      <c r="AOR9" s="175"/>
      <c r="AOS9" s="175"/>
      <c r="AOT9" s="173"/>
      <c r="AOU9" s="173"/>
      <c r="AOV9" s="173"/>
      <c r="AOW9" s="173"/>
      <c r="AOX9" s="173"/>
      <c r="AOY9" s="175"/>
      <c r="AOZ9" s="175"/>
      <c r="APA9" s="173"/>
      <c r="APB9" s="173"/>
      <c r="APC9" s="173"/>
      <c r="APD9" s="173"/>
      <c r="APE9" s="173"/>
      <c r="APF9" s="175"/>
      <c r="APG9" s="175"/>
      <c r="APH9" s="173"/>
      <c r="API9" s="173"/>
      <c r="APJ9" s="173"/>
      <c r="APK9" s="173"/>
      <c r="APL9" s="173"/>
      <c r="APM9" s="175"/>
      <c r="APN9" s="175"/>
      <c r="APO9" s="173"/>
      <c r="APP9" s="173"/>
      <c r="APQ9" s="173"/>
      <c r="APR9" s="173"/>
      <c r="APS9" s="173"/>
      <c r="APT9" s="175"/>
      <c r="APU9" s="175"/>
      <c r="APV9" s="173"/>
      <c r="APW9" s="173"/>
      <c r="APX9" s="173"/>
      <c r="APY9" s="173"/>
      <c r="APZ9" s="173"/>
      <c r="AQA9" s="175"/>
      <c r="AQB9" s="175"/>
      <c r="AQC9" s="173"/>
      <c r="AQD9" s="173"/>
      <c r="AQE9" s="173"/>
      <c r="AQF9" s="173"/>
      <c r="AQG9" s="173"/>
      <c r="AQH9" s="175"/>
      <c r="AQI9" s="175"/>
      <c r="AQJ9" s="173"/>
      <c r="AQK9" s="173"/>
      <c r="AQL9" s="173"/>
      <c r="AQM9" s="173"/>
      <c r="AQN9" s="173"/>
      <c r="AQO9" s="175"/>
      <c r="AQP9" s="175"/>
      <c r="AQQ9" s="173"/>
      <c r="AQR9" s="173"/>
      <c r="AQS9" s="173"/>
      <c r="AQT9" s="173"/>
      <c r="AQU9" s="173"/>
      <c r="AQV9" s="175"/>
      <c r="AQW9" s="175"/>
      <c r="AQX9" s="173"/>
      <c r="AQY9" s="173"/>
      <c r="AQZ9" s="173"/>
      <c r="ARA9" s="173"/>
      <c r="ARB9" s="173"/>
      <c r="ARC9" s="175"/>
      <c r="ARD9" s="175"/>
      <c r="ARE9" s="173"/>
      <c r="ARF9" s="173"/>
      <c r="ARG9" s="173"/>
      <c r="ARH9" s="173"/>
      <c r="ARI9" s="173"/>
      <c r="ARJ9" s="175"/>
      <c r="ARK9" s="175"/>
      <c r="ARL9" s="173"/>
      <c r="ARM9" s="173"/>
      <c r="ARN9" s="173"/>
      <c r="ARO9" s="173"/>
      <c r="ARP9" s="173"/>
      <c r="ARQ9" s="175"/>
      <c r="ARR9" s="175"/>
      <c r="ARS9" s="173"/>
      <c r="ART9" s="173"/>
      <c r="ARU9" s="173"/>
      <c r="ARV9" s="173"/>
      <c r="ARW9" s="173"/>
      <c r="ARX9" s="175"/>
      <c r="ARY9" s="175"/>
      <c r="ARZ9" s="173"/>
      <c r="ASA9" s="173"/>
      <c r="ASB9" s="173"/>
      <c r="ASC9" s="173"/>
      <c r="ASD9" s="173"/>
      <c r="ASE9" s="175"/>
      <c r="ASF9" s="175"/>
      <c r="ASG9" s="173"/>
      <c r="ASH9" s="173"/>
      <c r="ASI9" s="173"/>
      <c r="ASJ9" s="173"/>
      <c r="ASK9" s="173"/>
      <c r="ASL9" s="175"/>
      <c r="ASM9" s="175"/>
      <c r="ASN9" s="173"/>
      <c r="ASO9" s="173"/>
      <c r="ASP9" s="173"/>
      <c r="ASQ9" s="173"/>
      <c r="ASR9" s="173"/>
      <c r="ASS9" s="175"/>
      <c r="AST9" s="175"/>
      <c r="ASU9" s="173"/>
      <c r="ASV9" s="173"/>
      <c r="ASW9" s="173"/>
      <c r="ASX9" s="173"/>
      <c r="ASY9" s="173"/>
      <c r="ASZ9" s="175"/>
      <c r="ATA9" s="175"/>
      <c r="ATB9" s="173"/>
      <c r="ATC9" s="173"/>
      <c r="ATD9" s="173"/>
      <c r="ATE9" s="173"/>
      <c r="ATF9" s="173"/>
      <c r="ATG9" s="175"/>
      <c r="ATH9" s="175"/>
      <c r="ATI9" s="173"/>
      <c r="ATJ9" s="173"/>
      <c r="ATK9" s="173"/>
      <c r="ATL9" s="173"/>
      <c r="ATM9" s="173"/>
      <c r="ATN9" s="175"/>
      <c r="ATO9" s="175"/>
      <c r="ATP9" s="173"/>
      <c r="ATQ9" s="173"/>
      <c r="ATR9" s="173"/>
      <c r="ATS9" s="173"/>
      <c r="ATT9" s="173"/>
      <c r="ATU9" s="175"/>
      <c r="ATV9" s="175"/>
      <c r="ATW9" s="173"/>
      <c r="ATX9" s="173"/>
      <c r="ATY9" s="173"/>
      <c r="ATZ9" s="173"/>
      <c r="AUA9" s="173"/>
      <c r="AUB9" s="175"/>
      <c r="AUC9" s="175"/>
      <c r="AUD9" s="173"/>
      <c r="AUE9" s="173"/>
      <c r="AUF9" s="173"/>
      <c r="AUG9" s="173"/>
      <c r="AUH9" s="173"/>
      <c r="AUI9" s="175"/>
      <c r="AUJ9" s="175"/>
      <c r="AUK9" s="173"/>
      <c r="AUL9" s="173"/>
      <c r="AUM9" s="173"/>
      <c r="AUN9" s="173"/>
      <c r="AUO9" s="173"/>
      <c r="AUP9" s="175"/>
      <c r="AUQ9" s="175"/>
      <c r="AUR9" s="173"/>
      <c r="AUS9" s="173"/>
      <c r="AUT9" s="173"/>
      <c r="AUU9" s="173"/>
      <c r="AUV9" s="173"/>
      <c r="AUW9" s="175"/>
      <c r="AUX9" s="175"/>
      <c r="AUY9" s="173"/>
      <c r="AUZ9" s="173"/>
      <c r="AVA9" s="173"/>
      <c r="AVB9" s="173"/>
      <c r="AVC9" s="173"/>
      <c r="AVD9" s="175"/>
      <c r="AVE9" s="175"/>
      <c r="AVF9" s="173"/>
      <c r="AVG9" s="173"/>
      <c r="AVH9" s="173"/>
      <c r="AVI9" s="173"/>
      <c r="AVJ9" s="173"/>
      <c r="AVK9" s="175"/>
      <c r="AVL9" s="175"/>
      <c r="AVM9" s="173"/>
      <c r="AVN9" s="173"/>
      <c r="AVO9" s="173"/>
      <c r="AVP9" s="173"/>
      <c r="AVQ9" s="173"/>
      <c r="AVR9" s="175"/>
      <c r="AVS9" s="175"/>
      <c r="AVT9" s="173"/>
      <c r="AVU9" s="173"/>
      <c r="AVV9" s="173"/>
      <c r="AVW9" s="173"/>
      <c r="AVX9" s="173"/>
      <c r="AVY9" s="175"/>
      <c r="AVZ9" s="175"/>
      <c r="AWA9" s="173"/>
      <c r="AWB9" s="173"/>
      <c r="AWC9" s="173"/>
      <c r="AWD9" s="173"/>
      <c r="AWE9" s="173"/>
      <c r="AWF9" s="175"/>
      <c r="AWG9" s="175"/>
      <c r="AWH9" s="173"/>
      <c r="AWI9" s="173"/>
      <c r="AWJ9" s="173"/>
      <c r="AWK9" s="173"/>
      <c r="AWL9" s="173"/>
      <c r="AWM9" s="175"/>
      <c r="AWN9" s="175"/>
      <c r="AWO9" s="173"/>
      <c r="AWP9" s="173"/>
      <c r="AWQ9" s="173"/>
      <c r="AWR9" s="173"/>
      <c r="AWS9" s="173"/>
      <c r="AWT9" s="175"/>
      <c r="AWU9" s="175"/>
      <c r="AWV9" s="173"/>
      <c r="AWW9" s="173"/>
      <c r="AWX9" s="173"/>
      <c r="AWY9" s="173"/>
      <c r="AWZ9" s="173"/>
      <c r="AXA9" s="175"/>
      <c r="AXB9" s="175"/>
      <c r="AXC9" s="173"/>
      <c r="AXD9" s="173"/>
      <c r="AXE9" s="173"/>
      <c r="AXF9" s="173"/>
      <c r="AXG9" s="173"/>
      <c r="AXH9" s="175"/>
      <c r="AXI9" s="175"/>
      <c r="AXJ9" s="173"/>
      <c r="AXK9" s="173"/>
      <c r="AXL9" s="173"/>
      <c r="AXM9" s="173"/>
      <c r="AXN9" s="173"/>
      <c r="AXO9" s="175"/>
      <c r="AXP9" s="175"/>
      <c r="AXQ9" s="173"/>
      <c r="AXR9" s="173"/>
      <c r="AXS9" s="173"/>
      <c r="AXT9" s="173"/>
      <c r="AXU9" s="173"/>
      <c r="AXV9" s="175"/>
      <c r="AXW9" s="175"/>
      <c r="AXX9" s="173"/>
      <c r="AXY9" s="173"/>
      <c r="AXZ9" s="173"/>
      <c r="AYA9" s="173"/>
      <c r="AYB9" s="173"/>
      <c r="AYC9" s="175"/>
      <c r="AYD9" s="175"/>
      <c r="AYE9" s="173"/>
      <c r="AYF9" s="173"/>
      <c r="AYG9" s="173"/>
      <c r="AYH9" s="173"/>
      <c r="AYI9" s="173"/>
      <c r="AYJ9" s="175"/>
      <c r="AYK9" s="175"/>
      <c r="AYL9" s="173"/>
      <c r="AYM9" s="173"/>
      <c r="AYN9" s="173"/>
      <c r="AYO9" s="173"/>
      <c r="AYP9" s="173"/>
      <c r="AYQ9" s="175"/>
      <c r="AYR9" s="175"/>
      <c r="AYS9" s="173"/>
      <c r="AYT9" s="173"/>
      <c r="AYU9" s="173"/>
      <c r="AYV9" s="173"/>
      <c r="AYW9" s="173"/>
      <c r="AYX9" s="175"/>
      <c r="AYY9" s="175"/>
      <c r="AYZ9" s="173"/>
      <c r="AZA9" s="173"/>
      <c r="AZB9" s="173"/>
      <c r="AZC9" s="173"/>
      <c r="AZD9" s="173"/>
      <c r="AZE9" s="175"/>
      <c r="AZF9" s="175"/>
      <c r="AZG9" s="173"/>
      <c r="AZH9" s="173"/>
      <c r="AZI9" s="173"/>
      <c r="AZJ9" s="173"/>
      <c r="AZK9" s="173"/>
      <c r="AZL9" s="175"/>
      <c r="AZM9" s="175"/>
      <c r="AZN9" s="173"/>
      <c r="AZO9" s="173"/>
      <c r="AZP9" s="173"/>
      <c r="AZQ9" s="173"/>
      <c r="AZR9" s="173"/>
      <c r="AZS9" s="175"/>
      <c r="AZT9" s="175"/>
      <c r="AZU9" s="173"/>
      <c r="AZV9" s="173"/>
      <c r="AZW9" s="173"/>
      <c r="AZX9" s="173"/>
      <c r="AZY9" s="173"/>
      <c r="AZZ9" s="175"/>
      <c r="BAA9" s="175"/>
      <c r="BAB9" s="173"/>
      <c r="BAC9" s="173"/>
      <c r="BAD9" s="173"/>
      <c r="BAE9" s="173"/>
      <c r="BAF9" s="173"/>
      <c r="BAG9" s="175"/>
      <c r="BAH9" s="175"/>
      <c r="BAI9" s="173"/>
      <c r="BAJ9" s="173"/>
      <c r="BAK9" s="173"/>
      <c r="BAL9" s="173"/>
      <c r="BAM9" s="173"/>
      <c r="BAN9" s="175"/>
      <c r="BAO9" s="175"/>
      <c r="BAP9" s="173"/>
      <c r="BAQ9" s="173"/>
      <c r="BAR9" s="173"/>
      <c r="BAS9" s="173"/>
      <c r="BAT9" s="173"/>
      <c r="BAU9" s="175"/>
      <c r="BAV9" s="175"/>
      <c r="BAW9" s="173"/>
      <c r="BAX9" s="173"/>
      <c r="BAY9" s="173"/>
      <c r="BAZ9" s="173"/>
      <c r="BBA9" s="173"/>
      <c r="BBB9" s="175"/>
      <c r="BBC9" s="175"/>
      <c r="BBD9" s="173"/>
      <c r="BBE9" s="173"/>
      <c r="BBF9" s="173"/>
      <c r="BBG9" s="173"/>
      <c r="BBH9" s="173"/>
      <c r="BBI9" s="175"/>
      <c r="BBJ9" s="175"/>
      <c r="BBK9" s="173"/>
      <c r="BBL9" s="173"/>
      <c r="BBM9" s="173"/>
      <c r="BBN9" s="173"/>
      <c r="BBO9" s="173"/>
      <c r="BBP9" s="175"/>
      <c r="BBQ9" s="175"/>
      <c r="BBR9" s="173"/>
      <c r="BBS9" s="173"/>
      <c r="BBT9" s="173"/>
      <c r="BBU9" s="173"/>
      <c r="BBV9" s="173"/>
      <c r="BBW9" s="175"/>
      <c r="BBX9" s="175"/>
      <c r="BBY9" s="173"/>
      <c r="BBZ9" s="173"/>
      <c r="BCA9" s="173"/>
      <c r="BCB9" s="173"/>
      <c r="BCC9" s="173"/>
      <c r="BCD9" s="175"/>
      <c r="BCE9" s="175"/>
      <c r="BCF9" s="173"/>
      <c r="BCG9" s="173"/>
      <c r="BCH9" s="173"/>
      <c r="BCI9" s="173"/>
      <c r="BCJ9" s="173"/>
      <c r="BCK9" s="175"/>
      <c r="BCL9" s="175"/>
      <c r="BCM9" s="173"/>
      <c r="BCN9" s="173"/>
      <c r="BCO9" s="173"/>
      <c r="BCP9" s="173"/>
      <c r="BCQ9" s="173"/>
      <c r="BCR9" s="175"/>
      <c r="BCS9" s="175"/>
      <c r="BCT9" s="173"/>
      <c r="BCU9" s="173"/>
      <c r="BCV9" s="173"/>
      <c r="BCW9" s="173"/>
      <c r="BCX9" s="173"/>
      <c r="BCY9" s="175"/>
      <c r="BCZ9" s="175"/>
      <c r="BDA9" s="173"/>
      <c r="BDB9" s="173"/>
      <c r="BDC9" s="173"/>
      <c r="BDD9" s="173"/>
      <c r="BDE9" s="173"/>
      <c r="BDF9" s="175"/>
      <c r="BDG9" s="175"/>
      <c r="BDH9" s="173"/>
      <c r="BDI9" s="173"/>
      <c r="BDJ9" s="173"/>
      <c r="BDK9" s="173"/>
      <c r="BDL9" s="173"/>
      <c r="BDM9" s="175"/>
      <c r="BDN9" s="175"/>
      <c r="BDO9" s="173"/>
      <c r="BDP9" s="173"/>
      <c r="BDQ9" s="173"/>
      <c r="BDR9" s="173"/>
      <c r="BDS9" s="173"/>
      <c r="BDT9" s="175"/>
      <c r="BDU9" s="175"/>
      <c r="BDV9" s="173"/>
      <c r="BDW9" s="173"/>
      <c r="BDX9" s="173"/>
      <c r="BDY9" s="173"/>
      <c r="BDZ9" s="173"/>
      <c r="BEA9" s="175"/>
      <c r="BEB9" s="175"/>
      <c r="BEC9" s="173"/>
      <c r="BED9" s="173"/>
      <c r="BEE9" s="173"/>
      <c r="BEF9" s="173"/>
      <c r="BEG9" s="173"/>
      <c r="BEH9" s="175"/>
      <c r="BEI9" s="175"/>
      <c r="BEJ9" s="173"/>
      <c r="BEK9" s="173"/>
      <c r="BEL9" s="173"/>
      <c r="BEM9" s="173"/>
      <c r="BEN9" s="173"/>
      <c r="BEO9" s="175"/>
      <c r="BEP9" s="175"/>
      <c r="BEQ9" s="173"/>
      <c r="BER9" s="173"/>
      <c r="BES9" s="173"/>
      <c r="BET9" s="173"/>
      <c r="BEU9" s="173"/>
      <c r="BEV9" s="175"/>
      <c r="BEW9" s="175"/>
      <c r="BEX9" s="173"/>
      <c r="BEY9" s="173"/>
      <c r="BEZ9" s="173"/>
      <c r="BFA9" s="173"/>
      <c r="BFB9" s="173"/>
      <c r="BFC9" s="175"/>
      <c r="BFD9" s="175"/>
      <c r="BFE9" s="173"/>
      <c r="BFF9" s="173"/>
      <c r="BFG9" s="173"/>
      <c r="BFH9" s="173"/>
      <c r="BFI9" s="173"/>
      <c r="BFJ9" s="175"/>
      <c r="BFK9" s="175"/>
      <c r="BFL9" s="173"/>
      <c r="BFM9" s="173"/>
      <c r="BFN9" s="173"/>
      <c r="BFO9" s="173"/>
      <c r="BFP9" s="173"/>
      <c r="BFQ9" s="175"/>
      <c r="BFR9" s="175"/>
      <c r="BFS9" s="173"/>
      <c r="BFT9" s="173"/>
      <c r="BFU9" s="173"/>
      <c r="BFV9" s="173"/>
      <c r="BFW9" s="173"/>
      <c r="BFX9" s="175"/>
      <c r="BFY9" s="175"/>
      <c r="BFZ9" s="173"/>
      <c r="BGA9" s="173"/>
      <c r="BGB9" s="173"/>
      <c r="BGC9" s="173"/>
      <c r="BGD9" s="173"/>
      <c r="BGE9" s="175"/>
      <c r="BGF9" s="175"/>
      <c r="BGG9" s="173"/>
      <c r="BGH9" s="173"/>
      <c r="BGI9" s="173"/>
      <c r="BGJ9" s="173"/>
      <c r="BGK9" s="173"/>
      <c r="BGL9" s="175"/>
      <c r="BGM9" s="175"/>
      <c r="BGN9" s="173"/>
      <c r="BGO9" s="173"/>
      <c r="BGP9" s="173"/>
      <c r="BGQ9" s="173"/>
      <c r="BGR9" s="173"/>
      <c r="BGS9" s="175"/>
      <c r="BGT9" s="175"/>
      <c r="BGU9" s="173"/>
      <c r="BGV9" s="173"/>
      <c r="BGW9" s="173"/>
      <c r="BGX9" s="173"/>
      <c r="BGY9" s="173"/>
      <c r="BGZ9" s="175"/>
      <c r="BHA9" s="175"/>
      <c r="BHB9" s="173"/>
      <c r="BHC9" s="173"/>
      <c r="BHD9" s="173"/>
      <c r="BHE9" s="173"/>
      <c r="BHF9" s="173"/>
      <c r="BHG9" s="175"/>
      <c r="BHH9" s="175"/>
      <c r="BHI9" s="173"/>
      <c r="BHJ9" s="173"/>
      <c r="BHK9" s="173"/>
      <c r="BHL9" s="173"/>
      <c r="BHM9" s="173"/>
      <c r="BHN9" s="175"/>
      <c r="BHO9" s="175"/>
      <c r="BHP9" s="173"/>
      <c r="BHQ9" s="173"/>
      <c r="BHR9" s="173"/>
      <c r="BHS9" s="173"/>
      <c r="BHT9" s="173"/>
      <c r="BHU9" s="175"/>
      <c r="BHV9" s="175"/>
      <c r="BHW9" s="173"/>
      <c r="BHX9" s="173"/>
      <c r="BHY9" s="173"/>
      <c r="BHZ9" s="173"/>
      <c r="BIA9" s="173"/>
      <c r="BIB9" s="175"/>
      <c r="BIC9" s="175"/>
      <c r="BID9" s="173"/>
      <c r="BIE9" s="173"/>
      <c r="BIF9" s="173"/>
      <c r="BIG9" s="173"/>
      <c r="BIH9" s="173"/>
      <c r="BII9" s="175"/>
      <c r="BIJ9" s="175"/>
      <c r="BIK9" s="173"/>
      <c r="BIL9" s="173"/>
      <c r="BIM9" s="173"/>
      <c r="BIN9" s="173"/>
      <c r="BIO9" s="173"/>
      <c r="BIP9" s="175"/>
      <c r="BIQ9" s="175"/>
      <c r="BIR9" s="173"/>
      <c r="BIS9" s="173"/>
      <c r="BIT9" s="173"/>
      <c r="BIU9" s="173"/>
      <c r="BIV9" s="173"/>
      <c r="BIW9" s="175"/>
      <c r="BIX9" s="175"/>
      <c r="BIY9" s="173"/>
      <c r="BIZ9" s="173"/>
      <c r="BJA9" s="173"/>
      <c r="BJB9" s="173"/>
      <c r="BJC9" s="173"/>
      <c r="BJD9" s="175"/>
      <c r="BJE9" s="175"/>
      <c r="BJF9" s="173"/>
      <c r="BJG9" s="173"/>
      <c r="BJH9" s="173"/>
      <c r="BJI9" s="173"/>
      <c r="BJJ9" s="173"/>
      <c r="BJK9" s="175"/>
      <c r="BJL9" s="175"/>
      <c r="BJM9" s="173"/>
      <c r="BJN9" s="173"/>
      <c r="BJO9" s="173"/>
      <c r="BJP9" s="173"/>
      <c r="BJQ9" s="173"/>
      <c r="BJR9" s="175"/>
      <c r="BJS9" s="175"/>
      <c r="BJT9" s="173"/>
      <c r="BJU9" s="173"/>
      <c r="BJV9" s="173"/>
      <c r="BJW9" s="173"/>
      <c r="BJX9" s="173"/>
      <c r="BJY9" s="175"/>
      <c r="BJZ9" s="175"/>
      <c r="BKA9" s="173"/>
      <c r="BKB9" s="173"/>
      <c r="BKC9" s="173"/>
      <c r="BKD9" s="173"/>
      <c r="BKE9" s="173"/>
      <c r="BKF9" s="175"/>
      <c r="BKG9" s="175"/>
      <c r="BKH9" s="173"/>
      <c r="BKI9" s="173"/>
      <c r="BKJ9" s="173"/>
      <c r="BKK9" s="173"/>
      <c r="BKL9" s="173"/>
      <c r="BKM9" s="175"/>
      <c r="BKN9" s="175"/>
      <c r="BKO9" s="173"/>
      <c r="BKP9" s="173"/>
      <c r="BKQ9" s="173"/>
      <c r="BKR9" s="173"/>
      <c r="BKS9" s="173"/>
      <c r="BKT9" s="175"/>
      <c r="BKU9" s="175"/>
      <c r="BKV9" s="173"/>
      <c r="BKW9" s="173"/>
      <c r="BKX9" s="173"/>
      <c r="BKY9" s="173"/>
      <c r="BKZ9" s="173"/>
      <c r="BLA9" s="175"/>
      <c r="BLB9" s="175"/>
      <c r="BLC9" s="173"/>
      <c r="BLD9" s="173"/>
      <c r="BLE9" s="173"/>
      <c r="BLF9" s="173"/>
      <c r="BLG9" s="173"/>
      <c r="BLH9" s="175"/>
      <c r="BLI9" s="175"/>
      <c r="BLJ9" s="173"/>
      <c r="BLK9" s="173"/>
      <c r="BLL9" s="173"/>
      <c r="BLM9" s="173"/>
      <c r="BLN9" s="173"/>
      <c r="BLO9" s="175"/>
      <c r="BLP9" s="175"/>
      <c r="BLQ9" s="173"/>
      <c r="BLR9" s="173"/>
      <c r="BLS9" s="173"/>
      <c r="BLT9" s="173"/>
      <c r="BLU9" s="173"/>
      <c r="BLV9" s="175"/>
      <c r="BLW9" s="175"/>
      <c r="BLX9" s="173"/>
      <c r="BLY9" s="173"/>
      <c r="BLZ9" s="173"/>
      <c r="BMA9" s="173"/>
      <c r="BMB9" s="173"/>
      <c r="BMC9" s="175"/>
      <c r="BMD9" s="175"/>
      <c r="BME9" s="173"/>
      <c r="BMF9" s="173"/>
      <c r="BMG9" s="173"/>
      <c r="BMH9" s="173"/>
      <c r="BMI9" s="173"/>
      <c r="BMJ9" s="175"/>
      <c r="BMK9" s="175"/>
      <c r="BML9" s="173"/>
      <c r="BMM9" s="173"/>
      <c r="BMN9" s="173"/>
      <c r="BMO9" s="173"/>
      <c r="BMP9" s="173"/>
      <c r="BMQ9" s="175"/>
      <c r="BMR9" s="175"/>
      <c r="BMS9" s="173"/>
      <c r="BMT9" s="173"/>
      <c r="BMU9" s="173"/>
      <c r="BMV9" s="173"/>
      <c r="BMW9" s="173"/>
      <c r="BMX9" s="175"/>
      <c r="BMY9" s="175"/>
      <c r="BMZ9" s="173"/>
      <c r="BNA9" s="173"/>
      <c r="BNB9" s="173"/>
      <c r="BNC9" s="173"/>
      <c r="BND9" s="173"/>
      <c r="BNE9" s="175"/>
      <c r="BNF9" s="175"/>
      <c r="BNG9" s="173"/>
      <c r="BNH9" s="173"/>
      <c r="BNI9" s="173"/>
      <c r="BNJ9" s="173"/>
      <c r="BNK9" s="173"/>
      <c r="BNL9" s="175"/>
      <c r="BNM9" s="175"/>
      <c r="BNN9" s="173"/>
      <c r="BNO9" s="173"/>
      <c r="BNP9" s="173"/>
      <c r="BNQ9" s="173"/>
      <c r="BNR9" s="173"/>
      <c r="BNS9" s="175"/>
      <c r="BNT9" s="175"/>
      <c r="BNU9" s="173"/>
      <c r="BNV9" s="173"/>
      <c r="BNW9" s="173"/>
      <c r="BNX9" s="173"/>
      <c r="BNY9" s="173"/>
      <c r="BNZ9" s="175"/>
      <c r="BOA9" s="175"/>
      <c r="BOB9" s="173"/>
      <c r="BOC9" s="173"/>
      <c r="BOD9" s="173"/>
      <c r="BOE9" s="173"/>
      <c r="BOF9" s="173"/>
      <c r="BOG9" s="175"/>
      <c r="BOH9" s="175"/>
      <c r="BOI9" s="173"/>
      <c r="BOJ9" s="173"/>
      <c r="BOK9" s="173"/>
      <c r="BOL9" s="173"/>
      <c r="BOM9" s="173"/>
      <c r="BON9" s="175"/>
      <c r="BOO9" s="175"/>
      <c r="BOP9" s="173"/>
      <c r="BOQ9" s="173"/>
      <c r="BOR9" s="173"/>
      <c r="BOS9" s="173"/>
      <c r="BOT9" s="173"/>
      <c r="BOU9" s="175"/>
      <c r="BOV9" s="175"/>
      <c r="BOW9" s="173"/>
      <c r="BOX9" s="173"/>
      <c r="BOY9" s="173"/>
      <c r="BOZ9" s="173"/>
      <c r="BPA9" s="173"/>
      <c r="BPB9" s="175"/>
      <c r="BPC9" s="175"/>
      <c r="BPD9" s="173"/>
      <c r="BPE9" s="173"/>
      <c r="BPF9" s="173"/>
      <c r="BPG9" s="173"/>
      <c r="BPH9" s="173"/>
      <c r="BPI9" s="175"/>
      <c r="BPJ9" s="175"/>
      <c r="BPK9" s="173"/>
      <c r="BPL9" s="173"/>
      <c r="BPM9" s="173"/>
      <c r="BPN9" s="173"/>
      <c r="BPO9" s="173"/>
      <c r="BPP9" s="175"/>
      <c r="BPQ9" s="175"/>
      <c r="BPR9" s="173"/>
      <c r="BPS9" s="173"/>
      <c r="BPT9" s="173"/>
      <c r="BPU9" s="173"/>
      <c r="BPV9" s="173"/>
      <c r="BPW9" s="175"/>
      <c r="BPX9" s="175"/>
      <c r="BPY9" s="173"/>
      <c r="BPZ9" s="173"/>
      <c r="BQA9" s="173"/>
      <c r="BQB9" s="173"/>
      <c r="BQC9" s="173"/>
      <c r="BQD9" s="175"/>
      <c r="BQE9" s="175"/>
      <c r="BQF9" s="173"/>
      <c r="BQG9" s="173"/>
      <c r="BQH9" s="173"/>
      <c r="BQI9" s="173"/>
      <c r="BQJ9" s="173"/>
      <c r="BQK9" s="175"/>
      <c r="BQL9" s="175"/>
      <c r="BQM9" s="173"/>
      <c r="BQN9" s="173"/>
      <c r="BQO9" s="173"/>
      <c r="BQP9" s="173"/>
      <c r="BQQ9" s="173"/>
      <c r="BQR9" s="175"/>
      <c r="BQS9" s="175"/>
      <c r="BQT9" s="173"/>
      <c r="BQU9" s="173"/>
      <c r="BQV9" s="173"/>
      <c r="BQW9" s="173"/>
      <c r="BQX9" s="173"/>
      <c r="BQY9" s="175"/>
      <c r="BQZ9" s="175"/>
      <c r="BRA9" s="173"/>
      <c r="BRB9" s="173"/>
      <c r="BRC9" s="173"/>
      <c r="BRD9" s="173"/>
      <c r="BRE9" s="173"/>
      <c r="BRF9" s="175"/>
      <c r="BRG9" s="175"/>
      <c r="BRH9" s="173"/>
      <c r="BRI9" s="173"/>
      <c r="BRJ9" s="173"/>
      <c r="BRK9" s="173"/>
      <c r="BRL9" s="173"/>
      <c r="BRM9" s="175"/>
      <c r="BRN9" s="175"/>
      <c r="BRO9" s="173"/>
      <c r="BRP9" s="173"/>
      <c r="BRQ9" s="173"/>
      <c r="BRR9" s="173"/>
      <c r="BRS9" s="173"/>
      <c r="BRT9" s="175"/>
      <c r="BRU9" s="175"/>
      <c r="BRV9" s="173"/>
      <c r="BRW9" s="173"/>
      <c r="BRX9" s="173"/>
      <c r="BRY9" s="173"/>
      <c r="BRZ9" s="173"/>
      <c r="BSA9" s="175"/>
      <c r="BSB9" s="175"/>
      <c r="BSC9" s="173"/>
      <c r="BSD9" s="173"/>
      <c r="BSE9" s="173"/>
      <c r="BSF9" s="173"/>
      <c r="BSG9" s="173"/>
      <c r="BSH9" s="175"/>
      <c r="BSI9" s="175"/>
      <c r="BSJ9" s="173"/>
      <c r="BSK9" s="173"/>
      <c r="BSL9" s="173"/>
      <c r="BSM9" s="173"/>
      <c r="BSN9" s="173"/>
      <c r="BSO9" s="175"/>
      <c r="BSP9" s="175"/>
      <c r="BSQ9" s="173"/>
      <c r="BSR9" s="173"/>
      <c r="BSS9" s="173"/>
      <c r="BST9" s="173"/>
      <c r="BSU9" s="173"/>
      <c r="BSV9" s="175"/>
      <c r="BSW9" s="175"/>
      <c r="BSX9" s="173"/>
      <c r="BSY9" s="173"/>
      <c r="BSZ9" s="173"/>
      <c r="BTA9" s="173"/>
      <c r="BTB9" s="173"/>
      <c r="BTC9" s="175"/>
      <c r="BTD9" s="175"/>
      <c r="BTE9" s="173"/>
      <c r="BTF9" s="173"/>
      <c r="BTG9" s="173"/>
      <c r="BTH9" s="173"/>
      <c r="BTI9" s="173"/>
      <c r="BTJ9" s="175"/>
      <c r="BTK9" s="175"/>
      <c r="BTL9" s="173"/>
      <c r="BTM9" s="173"/>
      <c r="BTN9" s="173"/>
      <c r="BTO9" s="173"/>
      <c r="BTP9" s="173"/>
      <c r="BTQ9" s="175"/>
      <c r="BTR9" s="175"/>
      <c r="BTS9" s="173"/>
      <c r="BTT9" s="173"/>
      <c r="BTU9" s="173"/>
      <c r="BTV9" s="173"/>
      <c r="BTW9" s="173"/>
      <c r="BTX9" s="175"/>
      <c r="BTY9" s="175"/>
      <c r="BTZ9" s="173"/>
      <c r="BUA9" s="173"/>
      <c r="BUB9" s="173"/>
      <c r="BUC9" s="173"/>
      <c r="BUD9" s="173"/>
      <c r="BUE9" s="175"/>
      <c r="BUF9" s="175"/>
      <c r="BUG9" s="173"/>
      <c r="BUH9" s="173"/>
      <c r="BUI9" s="173"/>
      <c r="BUJ9" s="173"/>
      <c r="BUK9" s="173"/>
      <c r="BUL9" s="175"/>
      <c r="BUM9" s="175"/>
      <c r="BUN9" s="173"/>
      <c r="BUO9" s="173"/>
      <c r="BUP9" s="173"/>
      <c r="BUQ9" s="173"/>
      <c r="BUR9" s="173"/>
      <c r="BUS9" s="175"/>
      <c r="BUT9" s="175"/>
      <c r="BUU9" s="173"/>
      <c r="BUV9" s="173"/>
      <c r="BUW9" s="173"/>
      <c r="BUX9" s="173"/>
      <c r="BUY9" s="173"/>
      <c r="BUZ9" s="175"/>
      <c r="BVA9" s="175"/>
      <c r="BVB9" s="173"/>
      <c r="BVC9" s="173"/>
      <c r="BVD9" s="173"/>
      <c r="BVE9" s="173"/>
      <c r="BVF9" s="173"/>
      <c r="BVG9" s="175"/>
      <c r="BVH9" s="175"/>
      <c r="BVI9" s="173"/>
      <c r="BVJ9" s="173"/>
      <c r="BVK9" s="173"/>
      <c r="BVL9" s="173"/>
      <c r="BVM9" s="173"/>
      <c r="BVN9" s="175"/>
      <c r="BVO9" s="175"/>
      <c r="BVP9" s="173"/>
      <c r="BVQ9" s="173"/>
      <c r="BVR9" s="173"/>
      <c r="BVS9" s="173"/>
      <c r="BVT9" s="173"/>
      <c r="BVU9" s="175"/>
      <c r="BVV9" s="175"/>
      <c r="BVW9" s="173"/>
      <c r="BVX9" s="173"/>
      <c r="BVY9" s="173"/>
      <c r="BVZ9" s="173"/>
      <c r="BWA9" s="173"/>
      <c r="BWB9" s="175"/>
      <c r="BWC9" s="175"/>
      <c r="BWD9" s="173"/>
      <c r="BWE9" s="173"/>
      <c r="BWF9" s="173"/>
      <c r="BWG9" s="173"/>
      <c r="BWH9" s="173"/>
      <c r="BWI9" s="175"/>
      <c r="BWJ9" s="175"/>
      <c r="BWK9" s="173"/>
      <c r="BWL9" s="173"/>
      <c r="BWM9" s="173"/>
      <c r="BWN9" s="173"/>
      <c r="BWO9" s="173"/>
      <c r="BWP9" s="175"/>
      <c r="BWQ9" s="175"/>
      <c r="BWR9" s="173"/>
      <c r="BWS9" s="173"/>
      <c r="BWT9" s="173"/>
      <c r="BWU9" s="173"/>
      <c r="BWV9" s="173"/>
      <c r="BWW9" s="175"/>
      <c r="BWX9" s="175"/>
      <c r="BWY9" s="173"/>
      <c r="BWZ9" s="173"/>
      <c r="BXA9" s="173"/>
      <c r="BXB9" s="173"/>
      <c r="BXC9" s="173"/>
      <c r="BXD9" s="175"/>
      <c r="BXE9" s="175"/>
      <c r="BXF9" s="173"/>
      <c r="BXG9" s="173"/>
      <c r="BXH9" s="173"/>
      <c r="BXI9" s="173"/>
      <c r="BXJ9" s="173"/>
      <c r="BXK9" s="175"/>
      <c r="BXL9" s="175"/>
      <c r="BXM9" s="173"/>
      <c r="BXN9" s="173"/>
      <c r="BXO9" s="173"/>
      <c r="BXP9" s="173"/>
      <c r="BXQ9" s="173"/>
      <c r="BXR9" s="175"/>
      <c r="BXS9" s="175"/>
      <c r="BXT9" s="173"/>
      <c r="BXU9" s="173"/>
      <c r="BXV9" s="173"/>
      <c r="BXW9" s="173"/>
      <c r="BXX9" s="173"/>
      <c r="BXY9" s="175"/>
      <c r="BXZ9" s="175"/>
      <c r="BYA9" s="173"/>
      <c r="BYB9" s="173"/>
      <c r="BYC9" s="173"/>
      <c r="BYD9" s="173"/>
      <c r="BYE9" s="173"/>
      <c r="BYF9" s="175"/>
      <c r="BYG9" s="175"/>
      <c r="BYH9" s="173"/>
      <c r="BYI9" s="173"/>
      <c r="BYJ9" s="173"/>
      <c r="BYK9" s="173"/>
      <c r="BYL9" s="173"/>
      <c r="BYM9" s="175"/>
      <c r="BYN9" s="175"/>
      <c r="BYO9" s="173"/>
      <c r="BYP9" s="173"/>
      <c r="BYQ9" s="173"/>
      <c r="BYR9" s="173"/>
      <c r="BYS9" s="173"/>
      <c r="BYT9" s="175"/>
      <c r="BYU9" s="175"/>
      <c r="BYV9" s="173"/>
      <c r="BYW9" s="173"/>
      <c r="BYX9" s="173"/>
      <c r="BYY9" s="173"/>
      <c r="BYZ9" s="173"/>
      <c r="BZA9" s="175"/>
      <c r="BZB9" s="175"/>
      <c r="BZC9" s="173"/>
      <c r="BZD9" s="173"/>
      <c r="BZE9" s="173"/>
      <c r="BZF9" s="173"/>
      <c r="BZG9" s="173"/>
      <c r="BZH9" s="175"/>
      <c r="BZI9" s="175"/>
      <c r="BZJ9" s="173"/>
      <c r="BZK9" s="173"/>
      <c r="BZL9" s="173"/>
      <c r="BZM9" s="173"/>
      <c r="BZN9" s="173"/>
      <c r="BZO9" s="175"/>
      <c r="BZP9" s="175"/>
      <c r="BZQ9" s="173"/>
      <c r="BZR9" s="173"/>
      <c r="BZS9" s="173"/>
      <c r="BZT9" s="173"/>
      <c r="BZU9" s="173"/>
      <c r="BZV9" s="175"/>
      <c r="BZW9" s="175"/>
      <c r="BZX9" s="173"/>
      <c r="BZY9" s="173"/>
      <c r="BZZ9" s="173"/>
      <c r="CAA9" s="173"/>
      <c r="CAB9" s="173"/>
      <c r="CAC9" s="175"/>
      <c r="CAD9" s="175"/>
      <c r="CAE9" s="173"/>
      <c r="CAF9" s="173"/>
      <c r="CAG9" s="173"/>
      <c r="CAH9" s="173"/>
      <c r="CAI9" s="173"/>
      <c r="CAJ9" s="175"/>
      <c r="CAK9" s="175"/>
      <c r="CAL9" s="173"/>
      <c r="CAM9" s="173"/>
      <c r="CAN9" s="173"/>
      <c r="CAO9" s="173"/>
      <c r="CAP9" s="173"/>
      <c r="CAQ9" s="175"/>
      <c r="CAR9" s="175"/>
      <c r="CAS9" s="173"/>
      <c r="CAT9" s="173"/>
      <c r="CAU9" s="173"/>
      <c r="CAV9" s="173"/>
      <c r="CAW9" s="173"/>
      <c r="CAX9" s="175"/>
      <c r="CAY9" s="175"/>
      <c r="CAZ9" s="173"/>
      <c r="CBA9" s="173"/>
      <c r="CBB9" s="173"/>
      <c r="CBC9" s="173"/>
      <c r="CBD9" s="173"/>
      <c r="CBE9" s="175"/>
      <c r="CBF9" s="175"/>
      <c r="CBG9" s="173"/>
      <c r="CBH9" s="173"/>
      <c r="CBI9" s="173"/>
      <c r="CBJ9" s="173"/>
      <c r="CBK9" s="173"/>
      <c r="CBL9" s="175"/>
      <c r="CBM9" s="175"/>
      <c r="CBN9" s="173"/>
      <c r="CBO9" s="173"/>
      <c r="CBP9" s="173"/>
      <c r="CBQ9" s="173"/>
      <c r="CBR9" s="173"/>
      <c r="CBS9" s="175"/>
      <c r="CBT9" s="175"/>
      <c r="CBU9" s="173"/>
      <c r="CBV9" s="173"/>
      <c r="CBW9" s="173"/>
      <c r="CBX9" s="173"/>
      <c r="CBY9" s="173"/>
      <c r="CBZ9" s="175"/>
      <c r="CCA9" s="175"/>
      <c r="CCB9" s="173"/>
      <c r="CCC9" s="173"/>
      <c r="CCD9" s="173"/>
      <c r="CCE9" s="173"/>
      <c r="CCF9" s="173"/>
      <c r="CCG9" s="175"/>
      <c r="CCH9" s="175"/>
      <c r="CCI9" s="173"/>
      <c r="CCJ9" s="173"/>
      <c r="CCK9" s="173"/>
      <c r="CCL9" s="173"/>
      <c r="CCM9" s="173"/>
      <c r="CCN9" s="175"/>
      <c r="CCO9" s="175"/>
      <c r="CCP9" s="173"/>
      <c r="CCQ9" s="173"/>
      <c r="CCR9" s="173"/>
      <c r="CCS9" s="173"/>
      <c r="CCT9" s="173"/>
      <c r="CCU9" s="175"/>
      <c r="CCV9" s="175"/>
      <c r="CCW9" s="172"/>
      <c r="VST9" s="45"/>
      <c r="VTB9" s="45"/>
    </row>
    <row r="10" spans="1:2129 15008:15070 15386:15394" s="255" customFormat="1" ht="15.95" customHeight="1" x14ac:dyDescent="0.2">
      <c r="A10" s="253" t="s">
        <v>55</v>
      </c>
      <c r="B10" s="253">
        <v>10</v>
      </c>
      <c r="C10" s="253"/>
      <c r="D10" s="253"/>
      <c r="E10" s="253"/>
      <c r="F10" s="253"/>
      <c r="G10" s="257" t="s">
        <v>160</v>
      </c>
      <c r="H10" s="258" t="s">
        <v>228</v>
      </c>
      <c r="I10" s="259"/>
      <c r="J10" s="260"/>
      <c r="K10" s="261"/>
      <c r="L10" s="262"/>
      <c r="M10" s="263"/>
      <c r="N10" s="262">
        <v>42996</v>
      </c>
      <c r="O10" s="262">
        <v>42996</v>
      </c>
      <c r="P10" s="263">
        <v>1</v>
      </c>
      <c r="Q10" s="264">
        <v>1</v>
      </c>
      <c r="R10" s="262"/>
      <c r="S10" s="262"/>
      <c r="T10" s="263"/>
      <c r="U10" s="263"/>
      <c r="V10" s="263"/>
      <c r="W10" s="263"/>
      <c r="X10" s="264"/>
      <c r="Y10" s="265"/>
      <c r="Z10" s="265"/>
      <c r="AA10" s="266"/>
      <c r="AB10" s="265"/>
      <c r="AC10" s="254"/>
      <c r="AD10" s="254"/>
      <c r="AE10" s="254"/>
      <c r="AF10" s="254"/>
      <c r="AG10" s="254"/>
      <c r="AH10" s="254"/>
      <c r="AI10" s="254"/>
      <c r="AJ10" s="254"/>
      <c r="AK10" s="254"/>
      <c r="AL10" s="254"/>
      <c r="AM10" s="254"/>
      <c r="AN10" s="254"/>
      <c r="AO10" s="254"/>
      <c r="AP10" s="254"/>
      <c r="AQ10" s="254"/>
      <c r="AR10" s="254"/>
      <c r="AS10" s="254"/>
      <c r="AT10" s="254"/>
      <c r="AU10" s="254"/>
      <c r="AV10" s="254"/>
      <c r="AW10" s="254"/>
      <c r="AX10" s="254"/>
      <c r="AY10" s="254"/>
      <c r="AZ10" s="254"/>
      <c r="BA10" s="254"/>
      <c r="BB10" s="254"/>
      <c r="BC10" s="254"/>
      <c r="BD10" s="254"/>
      <c r="BE10" s="254"/>
      <c r="BF10" s="254"/>
      <c r="BG10" s="254"/>
      <c r="BH10" s="254"/>
      <c r="BI10" s="254"/>
      <c r="BJ10" s="254"/>
      <c r="BK10" s="254"/>
      <c r="BL10" s="254"/>
      <c r="BM10" s="254"/>
      <c r="BN10" s="254"/>
      <c r="BO10" s="254"/>
      <c r="BP10" s="254"/>
      <c r="BQ10" s="254"/>
      <c r="BR10" s="254"/>
      <c r="BS10" s="254"/>
      <c r="BT10" s="254"/>
      <c r="BU10" s="254"/>
      <c r="BV10" s="254"/>
      <c r="BW10" s="254"/>
      <c r="BX10" s="254"/>
      <c r="BY10" s="254"/>
      <c r="BZ10" s="254"/>
      <c r="CA10" s="254"/>
      <c r="CB10" s="254"/>
      <c r="CC10" s="254"/>
      <c r="CD10" s="254"/>
      <c r="CE10" s="254"/>
      <c r="CF10" s="254"/>
      <c r="CG10" s="254"/>
      <c r="CH10" s="254"/>
      <c r="CI10" s="254"/>
      <c r="CJ10" s="254"/>
      <c r="CK10" s="254"/>
      <c r="CL10" s="254"/>
      <c r="CM10" s="254"/>
      <c r="CN10" s="254"/>
      <c r="CO10" s="254"/>
      <c r="CP10" s="254"/>
      <c r="CQ10" s="254"/>
      <c r="CR10" s="254"/>
      <c r="CS10" s="254"/>
      <c r="CT10" s="254"/>
      <c r="CU10" s="254"/>
      <c r="CV10" s="254"/>
      <c r="CW10" s="254"/>
      <c r="CX10" s="254"/>
      <c r="CY10" s="254"/>
      <c r="CZ10" s="254"/>
      <c r="DA10" s="254"/>
      <c r="DB10" s="254"/>
      <c r="DC10" s="254"/>
      <c r="DD10" s="254"/>
      <c r="DE10" s="254"/>
      <c r="DF10" s="254"/>
      <c r="DG10" s="254"/>
      <c r="DH10" s="254"/>
      <c r="DI10" s="254"/>
      <c r="DJ10" s="254"/>
      <c r="DK10" s="254"/>
      <c r="DL10" s="254"/>
      <c r="DM10" s="254"/>
      <c r="DN10" s="254"/>
      <c r="DO10" s="254"/>
      <c r="DP10" s="254"/>
      <c r="DQ10" s="254"/>
      <c r="DR10" s="254"/>
      <c r="DS10" s="254"/>
      <c r="DT10" s="254"/>
      <c r="DU10" s="254"/>
      <c r="DV10" s="254"/>
      <c r="DW10" s="254"/>
      <c r="DX10" s="254"/>
      <c r="DY10" s="254"/>
      <c r="DZ10" s="254"/>
      <c r="EA10" s="254"/>
      <c r="EB10" s="254"/>
      <c r="EC10" s="254"/>
      <c r="ED10" s="254"/>
      <c r="EE10" s="254"/>
      <c r="EF10" s="254"/>
      <c r="EG10" s="254"/>
      <c r="EH10" s="254"/>
      <c r="EI10" s="254"/>
      <c r="EJ10" s="254"/>
      <c r="EK10" s="254"/>
      <c r="EL10" s="254"/>
      <c r="EM10" s="254"/>
      <c r="EN10" s="254"/>
      <c r="EO10" s="254"/>
      <c r="EP10" s="254"/>
      <c r="EQ10" s="254"/>
      <c r="ER10" s="254"/>
      <c r="ES10" s="254"/>
      <c r="ET10" s="254"/>
      <c r="EU10" s="254"/>
      <c r="EV10" s="254"/>
      <c r="EW10" s="254"/>
      <c r="EX10" s="254"/>
      <c r="EY10" s="254"/>
      <c r="EZ10" s="254"/>
      <c r="FA10" s="254"/>
      <c r="FB10" s="254"/>
      <c r="FC10" s="254"/>
      <c r="FD10" s="254"/>
      <c r="FE10" s="254"/>
      <c r="FF10" s="254"/>
      <c r="FG10" s="254"/>
      <c r="FH10" s="254"/>
      <c r="FI10" s="254"/>
      <c r="FJ10" s="254"/>
      <c r="FK10" s="254"/>
      <c r="FL10" s="254"/>
      <c r="FM10" s="254"/>
      <c r="FN10" s="254"/>
      <c r="FO10" s="254"/>
      <c r="FP10" s="254"/>
      <c r="FQ10" s="254"/>
      <c r="FR10" s="254"/>
      <c r="FS10" s="254"/>
      <c r="FT10" s="254"/>
      <c r="FU10" s="254"/>
      <c r="FV10" s="254"/>
      <c r="FW10" s="254"/>
      <c r="FX10" s="254"/>
      <c r="FY10" s="254"/>
      <c r="FZ10" s="254"/>
      <c r="GA10" s="254"/>
      <c r="GB10" s="254"/>
      <c r="GC10" s="254"/>
      <c r="GD10" s="254"/>
      <c r="GE10" s="254"/>
      <c r="GF10" s="254"/>
      <c r="GG10" s="254"/>
      <c r="GH10" s="254"/>
      <c r="GI10" s="254"/>
      <c r="GJ10" s="254"/>
      <c r="GK10" s="254"/>
      <c r="GL10" s="254"/>
      <c r="GM10" s="254"/>
      <c r="GN10" s="254"/>
      <c r="GO10" s="254"/>
      <c r="GP10" s="254"/>
      <c r="GQ10" s="254"/>
      <c r="GR10" s="254"/>
      <c r="GS10" s="254"/>
      <c r="GT10" s="254"/>
      <c r="GU10" s="254"/>
      <c r="GV10" s="254"/>
      <c r="GW10" s="254"/>
      <c r="GX10" s="254"/>
      <c r="GY10" s="254"/>
      <c r="GZ10" s="254"/>
      <c r="HA10" s="254"/>
      <c r="HB10" s="254"/>
      <c r="HC10" s="254"/>
      <c r="HD10" s="254"/>
      <c r="HE10" s="254"/>
      <c r="HF10" s="254"/>
      <c r="HG10" s="254"/>
      <c r="HH10" s="254"/>
      <c r="HI10" s="254"/>
      <c r="HJ10" s="254"/>
      <c r="HK10" s="254"/>
      <c r="HL10" s="254"/>
      <c r="HM10" s="254"/>
      <c r="HN10" s="254"/>
      <c r="HO10" s="254"/>
      <c r="HP10" s="254"/>
      <c r="HQ10" s="254"/>
      <c r="HR10" s="254"/>
      <c r="HS10" s="254"/>
      <c r="HT10" s="254"/>
      <c r="HU10" s="254"/>
      <c r="HV10" s="254"/>
      <c r="HW10" s="254"/>
      <c r="HX10" s="254"/>
      <c r="HY10" s="254"/>
      <c r="HZ10" s="254"/>
      <c r="IA10" s="254"/>
      <c r="IB10" s="254"/>
      <c r="IC10" s="254"/>
      <c r="ID10" s="254"/>
      <c r="IE10" s="254"/>
      <c r="IF10" s="254"/>
      <c r="IG10" s="254"/>
      <c r="IH10" s="254"/>
      <c r="II10" s="254"/>
      <c r="IJ10" s="254"/>
      <c r="IK10" s="254"/>
      <c r="IL10" s="254"/>
      <c r="IM10" s="254"/>
      <c r="IN10" s="254"/>
      <c r="IO10" s="254"/>
      <c r="IP10" s="254"/>
      <c r="IQ10" s="254"/>
      <c r="IR10" s="254"/>
      <c r="IS10" s="254"/>
      <c r="IT10" s="254"/>
      <c r="IU10" s="254"/>
      <c r="IV10" s="254"/>
      <c r="IW10" s="254"/>
      <c r="IX10" s="254"/>
      <c r="IY10" s="254"/>
      <c r="IZ10" s="254"/>
      <c r="JA10" s="254"/>
      <c r="JB10" s="254"/>
      <c r="JC10" s="254"/>
      <c r="JD10" s="254"/>
      <c r="JE10" s="254"/>
      <c r="JF10" s="254"/>
      <c r="JG10" s="254"/>
      <c r="JH10" s="254"/>
      <c r="JI10" s="254"/>
      <c r="JJ10" s="254"/>
      <c r="JK10" s="254"/>
      <c r="JL10" s="254"/>
      <c r="JM10" s="254"/>
      <c r="JN10" s="254"/>
      <c r="JO10" s="254"/>
      <c r="JP10" s="254"/>
      <c r="JQ10" s="254"/>
      <c r="JR10" s="254"/>
      <c r="JS10" s="254"/>
      <c r="JT10" s="254"/>
      <c r="JU10" s="254"/>
      <c r="JV10" s="254"/>
      <c r="JW10" s="254"/>
      <c r="JX10" s="254"/>
      <c r="JY10" s="254"/>
      <c r="JZ10" s="254"/>
      <c r="KA10" s="254"/>
      <c r="KB10" s="254"/>
      <c r="KC10" s="254"/>
      <c r="KD10" s="254"/>
      <c r="KE10" s="254"/>
      <c r="KF10" s="254"/>
      <c r="KG10" s="254"/>
      <c r="KH10" s="254"/>
      <c r="KI10" s="254"/>
      <c r="KJ10" s="254"/>
      <c r="KK10" s="254"/>
      <c r="KL10" s="254"/>
      <c r="KM10" s="254"/>
      <c r="KN10" s="254"/>
      <c r="KO10" s="254"/>
      <c r="KP10" s="254"/>
      <c r="KQ10" s="254"/>
      <c r="KR10" s="254"/>
      <c r="KS10" s="254"/>
      <c r="KT10" s="254"/>
      <c r="KU10" s="254"/>
      <c r="KV10" s="254"/>
      <c r="KW10" s="254"/>
      <c r="KX10" s="254"/>
      <c r="KY10" s="254"/>
      <c r="KZ10" s="254"/>
      <c r="LA10" s="254"/>
      <c r="LB10" s="254"/>
      <c r="LC10" s="254"/>
      <c r="LD10" s="254"/>
      <c r="LE10" s="254"/>
      <c r="LF10" s="254"/>
      <c r="LG10" s="254"/>
      <c r="LH10" s="254"/>
      <c r="LI10" s="254"/>
      <c r="LJ10" s="254"/>
      <c r="LK10" s="254"/>
      <c r="LL10" s="254"/>
      <c r="LM10" s="254"/>
      <c r="LN10" s="254"/>
      <c r="LO10" s="254"/>
      <c r="LP10" s="254"/>
      <c r="LQ10" s="254"/>
      <c r="LR10" s="254"/>
      <c r="LS10" s="254"/>
      <c r="LT10" s="254"/>
      <c r="LU10" s="254"/>
      <c r="LV10" s="254"/>
      <c r="LW10" s="254"/>
      <c r="LX10" s="254"/>
      <c r="LY10" s="254"/>
      <c r="LZ10" s="254"/>
      <c r="MA10" s="254"/>
      <c r="MB10" s="254"/>
      <c r="MC10" s="254"/>
      <c r="MD10" s="254"/>
      <c r="ME10" s="254"/>
      <c r="MF10" s="254"/>
      <c r="MG10" s="254"/>
      <c r="MH10" s="254"/>
      <c r="MI10" s="254"/>
      <c r="MJ10" s="254"/>
      <c r="MK10" s="254"/>
      <c r="ML10" s="254"/>
      <c r="MM10" s="254"/>
      <c r="MN10" s="254"/>
      <c r="MO10" s="254"/>
      <c r="MP10" s="254"/>
      <c r="MQ10" s="254"/>
      <c r="MR10" s="254"/>
      <c r="MS10" s="254"/>
      <c r="MT10" s="254"/>
      <c r="MU10" s="254"/>
      <c r="MV10" s="254"/>
      <c r="MW10" s="254"/>
      <c r="MX10" s="254"/>
      <c r="MY10" s="254"/>
      <c r="MZ10" s="254"/>
      <c r="NA10" s="254"/>
      <c r="NB10" s="254"/>
      <c r="NC10" s="254"/>
      <c r="ND10" s="254"/>
      <c r="NE10" s="254"/>
      <c r="NF10" s="254"/>
      <c r="NG10" s="254"/>
      <c r="NH10" s="254"/>
      <c r="NI10" s="254"/>
      <c r="NJ10" s="254"/>
      <c r="NK10" s="254"/>
      <c r="NL10" s="254"/>
      <c r="NM10" s="254"/>
      <c r="NN10" s="254"/>
      <c r="NO10" s="254"/>
      <c r="NP10" s="254"/>
      <c r="NQ10" s="254"/>
      <c r="NR10" s="254"/>
      <c r="NS10" s="254"/>
      <c r="NT10" s="254"/>
      <c r="NU10" s="254"/>
      <c r="NV10" s="254"/>
      <c r="NW10" s="254"/>
      <c r="NX10" s="254"/>
      <c r="NY10" s="254"/>
      <c r="NZ10" s="254"/>
      <c r="OA10" s="254"/>
      <c r="OB10" s="254"/>
      <c r="OC10" s="254"/>
      <c r="OD10" s="254"/>
      <c r="OE10" s="254"/>
      <c r="OF10" s="254"/>
      <c r="OG10" s="254"/>
      <c r="OH10" s="254"/>
      <c r="OI10" s="254"/>
      <c r="OJ10" s="254"/>
      <c r="OK10" s="254"/>
      <c r="OL10" s="254"/>
      <c r="OM10" s="254"/>
      <c r="ON10" s="254"/>
      <c r="OO10" s="254"/>
      <c r="OP10" s="254"/>
      <c r="OQ10" s="254"/>
      <c r="OR10" s="254"/>
      <c r="OS10" s="254"/>
      <c r="OT10" s="254"/>
      <c r="OU10" s="254"/>
      <c r="OV10" s="254"/>
      <c r="OW10" s="254"/>
      <c r="OX10" s="254"/>
      <c r="OY10" s="254"/>
      <c r="OZ10" s="254"/>
      <c r="PA10" s="254"/>
      <c r="PB10" s="254"/>
      <c r="PC10" s="254"/>
      <c r="PD10" s="254"/>
      <c r="PE10" s="254"/>
      <c r="PF10" s="254"/>
      <c r="PG10" s="254"/>
      <c r="PH10" s="254"/>
      <c r="PI10" s="254"/>
      <c r="PJ10" s="254"/>
      <c r="PK10" s="254"/>
      <c r="PL10" s="254"/>
      <c r="PM10" s="254"/>
      <c r="PN10" s="254"/>
      <c r="PO10" s="254"/>
      <c r="PP10" s="254"/>
      <c r="PQ10" s="254"/>
      <c r="PR10" s="254"/>
      <c r="PS10" s="254"/>
      <c r="PT10" s="254"/>
      <c r="PU10" s="254"/>
      <c r="PV10" s="254"/>
      <c r="PW10" s="254"/>
      <c r="PX10" s="254"/>
      <c r="PY10" s="254"/>
      <c r="PZ10" s="254"/>
      <c r="QA10" s="254"/>
      <c r="QB10" s="254"/>
      <c r="QC10" s="254"/>
      <c r="QD10" s="254"/>
      <c r="QE10" s="254"/>
      <c r="QF10" s="254"/>
      <c r="QG10" s="254"/>
      <c r="QH10" s="254"/>
      <c r="QI10" s="254"/>
      <c r="QJ10" s="254"/>
      <c r="QK10" s="254"/>
      <c r="QL10" s="254"/>
      <c r="QM10" s="254"/>
      <c r="QN10" s="254"/>
      <c r="QO10" s="254"/>
      <c r="QP10" s="254"/>
      <c r="QQ10" s="254"/>
      <c r="QR10" s="254"/>
      <c r="QS10" s="254"/>
      <c r="QT10" s="254"/>
      <c r="QU10" s="254"/>
      <c r="QV10" s="254"/>
      <c r="QW10" s="254"/>
      <c r="QX10" s="254"/>
      <c r="QY10" s="254"/>
      <c r="QZ10" s="254"/>
      <c r="RA10" s="254"/>
      <c r="RB10" s="254"/>
      <c r="RC10" s="254"/>
      <c r="RD10" s="254"/>
      <c r="RE10" s="254"/>
      <c r="RF10" s="254"/>
      <c r="RG10" s="254"/>
      <c r="RH10" s="254"/>
      <c r="RI10" s="254"/>
      <c r="RJ10" s="254"/>
      <c r="RK10" s="254"/>
      <c r="RL10" s="254"/>
      <c r="RM10" s="254"/>
      <c r="RN10" s="254"/>
      <c r="RO10" s="254"/>
      <c r="RP10" s="254"/>
      <c r="RQ10" s="254"/>
      <c r="RR10" s="254"/>
      <c r="RS10" s="254"/>
      <c r="RT10" s="254"/>
      <c r="RU10" s="254"/>
      <c r="RV10" s="254"/>
      <c r="RW10" s="254"/>
      <c r="RX10" s="254"/>
      <c r="RY10" s="254"/>
      <c r="RZ10" s="254"/>
      <c r="SA10" s="254"/>
      <c r="SB10" s="254"/>
      <c r="SC10" s="254"/>
      <c r="SD10" s="254"/>
      <c r="SE10" s="254"/>
      <c r="SF10" s="254"/>
      <c r="SG10" s="254"/>
      <c r="SH10" s="254"/>
      <c r="SI10" s="254"/>
      <c r="SJ10" s="254"/>
      <c r="SK10" s="254"/>
      <c r="SL10" s="254"/>
      <c r="SM10" s="254"/>
      <c r="SN10" s="254"/>
      <c r="SO10" s="254"/>
      <c r="SP10" s="254"/>
      <c r="SQ10" s="254"/>
      <c r="SR10" s="254"/>
      <c r="SS10" s="254"/>
      <c r="ST10" s="254"/>
      <c r="SU10" s="254"/>
      <c r="SV10" s="254"/>
      <c r="SW10" s="254"/>
      <c r="SX10" s="254"/>
      <c r="SY10" s="254"/>
      <c r="SZ10" s="254"/>
      <c r="TA10" s="254"/>
      <c r="TB10" s="254"/>
      <c r="TC10" s="254"/>
      <c r="TD10" s="254"/>
      <c r="TE10" s="254"/>
      <c r="TF10" s="254"/>
      <c r="TG10" s="254"/>
      <c r="TH10" s="254"/>
      <c r="TI10" s="254"/>
      <c r="TJ10" s="254"/>
      <c r="TK10" s="254"/>
      <c r="TL10" s="254"/>
      <c r="TM10" s="254"/>
      <c r="TN10" s="254"/>
      <c r="TO10" s="254"/>
      <c r="TP10" s="254"/>
      <c r="TQ10" s="254"/>
      <c r="TR10" s="254"/>
      <c r="TS10" s="254"/>
      <c r="TT10" s="254"/>
      <c r="TU10" s="254"/>
      <c r="TV10" s="254"/>
      <c r="TW10" s="254"/>
      <c r="TX10" s="254"/>
      <c r="TY10" s="254"/>
      <c r="TZ10" s="254"/>
      <c r="UA10" s="254"/>
      <c r="UB10" s="254"/>
      <c r="UC10" s="254"/>
      <c r="UD10" s="254"/>
      <c r="UE10" s="254"/>
      <c r="UF10" s="254"/>
      <c r="UG10" s="254"/>
      <c r="UH10" s="254"/>
      <c r="UI10" s="254"/>
      <c r="UJ10" s="254"/>
      <c r="UK10" s="254"/>
      <c r="UL10" s="254"/>
      <c r="UM10" s="254"/>
      <c r="UN10" s="254"/>
      <c r="UO10" s="254"/>
      <c r="UP10" s="254"/>
      <c r="UQ10" s="254"/>
      <c r="UR10" s="254"/>
      <c r="US10" s="254"/>
      <c r="UT10" s="254"/>
      <c r="UU10" s="254"/>
      <c r="UV10" s="254"/>
      <c r="UW10" s="254"/>
      <c r="UX10" s="254"/>
      <c r="UY10" s="254"/>
      <c r="UZ10" s="254"/>
      <c r="VA10" s="254"/>
      <c r="VB10" s="254"/>
      <c r="VC10" s="254"/>
      <c r="VD10" s="254"/>
      <c r="VE10" s="254"/>
      <c r="VF10" s="254"/>
      <c r="VG10" s="254"/>
      <c r="VH10" s="254"/>
      <c r="VI10" s="254"/>
      <c r="VJ10" s="254"/>
      <c r="VK10" s="254"/>
      <c r="VL10" s="254"/>
      <c r="VM10" s="254"/>
      <c r="VN10" s="254"/>
      <c r="VO10" s="254"/>
      <c r="VP10" s="254"/>
      <c r="VQ10" s="254"/>
      <c r="VR10" s="254"/>
      <c r="VS10" s="254"/>
      <c r="VT10" s="254"/>
      <c r="VU10" s="254"/>
      <c r="VV10" s="254"/>
      <c r="VW10" s="254"/>
      <c r="VX10" s="254"/>
      <c r="VY10" s="254"/>
      <c r="VZ10" s="254"/>
      <c r="WA10" s="254"/>
      <c r="WB10" s="254"/>
      <c r="WC10" s="254"/>
      <c r="WD10" s="254"/>
      <c r="WE10" s="254"/>
      <c r="WF10" s="254"/>
      <c r="WG10" s="254"/>
      <c r="WH10" s="254"/>
      <c r="WI10" s="254"/>
      <c r="WJ10" s="254"/>
      <c r="WK10" s="254"/>
      <c r="WL10" s="254"/>
      <c r="WM10" s="254"/>
      <c r="WN10" s="254"/>
      <c r="WO10" s="254"/>
      <c r="WP10" s="254"/>
      <c r="WQ10" s="254"/>
      <c r="WR10" s="254"/>
      <c r="WS10" s="254"/>
      <c r="WT10" s="254"/>
      <c r="WU10" s="254"/>
      <c r="WV10" s="254"/>
      <c r="WW10" s="254"/>
      <c r="WX10" s="254"/>
      <c r="WY10" s="254"/>
      <c r="WZ10" s="254"/>
      <c r="XA10" s="254"/>
      <c r="XB10" s="254"/>
      <c r="XC10" s="254"/>
      <c r="XD10" s="254"/>
      <c r="XE10" s="254"/>
      <c r="XF10" s="254"/>
      <c r="XG10" s="254"/>
      <c r="XH10" s="254"/>
      <c r="XI10" s="254"/>
      <c r="XJ10" s="254"/>
      <c r="XK10" s="254"/>
      <c r="XL10" s="254"/>
      <c r="XM10" s="254"/>
      <c r="XN10" s="254"/>
      <c r="XO10" s="254"/>
      <c r="XP10" s="254"/>
      <c r="XQ10" s="254"/>
      <c r="XR10" s="254"/>
      <c r="XS10" s="254"/>
      <c r="XT10" s="254"/>
      <c r="XU10" s="254"/>
      <c r="XV10" s="254"/>
      <c r="XW10" s="254"/>
      <c r="XX10" s="254"/>
      <c r="XY10" s="254"/>
      <c r="XZ10" s="254"/>
      <c r="YA10" s="254"/>
      <c r="YB10" s="254"/>
      <c r="YC10" s="254"/>
      <c r="YD10" s="254"/>
      <c r="YE10" s="254"/>
      <c r="YF10" s="254"/>
      <c r="YG10" s="254"/>
      <c r="YH10" s="254"/>
      <c r="YI10" s="254"/>
      <c r="YJ10" s="254"/>
      <c r="YK10" s="254"/>
      <c r="YL10" s="254"/>
      <c r="YM10" s="254"/>
      <c r="YN10" s="254"/>
      <c r="YO10" s="254"/>
      <c r="YP10" s="254"/>
      <c r="YQ10" s="254"/>
      <c r="YR10" s="254"/>
      <c r="YS10" s="254"/>
      <c r="YT10" s="254"/>
      <c r="YU10" s="254"/>
      <c r="YV10" s="254"/>
      <c r="YW10" s="254"/>
      <c r="YX10" s="254"/>
      <c r="YY10" s="254"/>
      <c r="YZ10" s="254"/>
      <c r="ZA10" s="254"/>
      <c r="ZB10" s="254"/>
      <c r="ZC10" s="254"/>
      <c r="ZD10" s="254"/>
      <c r="ZE10" s="254"/>
      <c r="ZF10" s="254"/>
      <c r="ZG10" s="254"/>
      <c r="ZH10" s="254"/>
      <c r="ZI10" s="254"/>
      <c r="ZJ10" s="254"/>
      <c r="ZK10" s="254"/>
      <c r="ZL10" s="254"/>
      <c r="ZM10" s="254"/>
      <c r="ZN10" s="254"/>
      <c r="ZO10" s="254"/>
      <c r="ZP10" s="254"/>
      <c r="ZQ10" s="254"/>
      <c r="ZR10" s="254"/>
      <c r="ZS10" s="254"/>
      <c r="ZT10" s="254"/>
      <c r="ZU10" s="254"/>
      <c r="ZV10" s="254"/>
      <c r="ZW10" s="254"/>
      <c r="ZX10" s="254"/>
      <c r="ZY10" s="254"/>
      <c r="ZZ10" s="254"/>
      <c r="AAA10" s="254"/>
      <c r="AAB10" s="254"/>
      <c r="AAC10" s="254"/>
      <c r="AAD10" s="254"/>
      <c r="AAE10" s="254"/>
      <c r="AAF10" s="254"/>
      <c r="AAG10" s="254"/>
      <c r="AAH10" s="254"/>
      <c r="AAI10" s="254"/>
      <c r="AAJ10" s="254"/>
      <c r="AAK10" s="254"/>
      <c r="AAL10" s="254"/>
      <c r="AAM10" s="254"/>
      <c r="AAN10" s="254"/>
      <c r="AAO10" s="254"/>
      <c r="AAP10" s="254"/>
      <c r="AAQ10" s="254"/>
      <c r="AAR10" s="254"/>
      <c r="AAS10" s="254"/>
      <c r="AAT10" s="254"/>
      <c r="AAU10" s="254"/>
      <c r="AAV10" s="254"/>
      <c r="AAW10" s="254"/>
      <c r="AAX10" s="254"/>
      <c r="AAY10" s="254"/>
      <c r="AAZ10" s="254"/>
      <c r="ABA10" s="254"/>
      <c r="ABB10" s="254"/>
      <c r="ABC10" s="254"/>
      <c r="ABD10" s="254"/>
      <c r="ABE10" s="254"/>
      <c r="ABF10" s="254"/>
      <c r="ABG10" s="254"/>
      <c r="ABH10" s="254"/>
      <c r="ABI10" s="254"/>
      <c r="ABJ10" s="254"/>
      <c r="ABK10" s="254"/>
      <c r="ABL10" s="254"/>
      <c r="ABM10" s="254"/>
      <c r="ABN10" s="254"/>
      <c r="ABO10" s="254"/>
      <c r="ABP10" s="254"/>
      <c r="ABQ10" s="254"/>
      <c r="ABR10" s="254"/>
      <c r="ABS10" s="254"/>
      <c r="ABT10" s="254"/>
      <c r="ABU10" s="254"/>
      <c r="ABV10" s="254"/>
      <c r="ABW10" s="254"/>
      <c r="ABX10" s="254"/>
      <c r="ABY10" s="254"/>
      <c r="ABZ10" s="254"/>
      <c r="ACA10" s="254"/>
      <c r="ACB10" s="254"/>
      <c r="ACC10" s="254"/>
      <c r="ACD10" s="254"/>
      <c r="ACE10" s="254"/>
      <c r="ACF10" s="254"/>
      <c r="ACG10" s="254"/>
      <c r="ACH10" s="254"/>
      <c r="ACI10" s="254"/>
      <c r="ACJ10" s="254"/>
      <c r="ACK10" s="254"/>
      <c r="ACL10" s="254"/>
      <c r="ACM10" s="254"/>
      <c r="ACN10" s="254"/>
      <c r="ACO10" s="254"/>
      <c r="ACP10" s="254"/>
      <c r="ACQ10" s="254"/>
      <c r="ACR10" s="254"/>
      <c r="ACS10" s="254"/>
      <c r="ACT10" s="254"/>
      <c r="ACU10" s="254"/>
      <c r="ACV10" s="254"/>
      <c r="ACW10" s="254"/>
      <c r="ACX10" s="254"/>
      <c r="ACY10" s="254"/>
      <c r="ACZ10" s="254"/>
      <c r="ADA10" s="254"/>
      <c r="ADB10" s="254"/>
      <c r="ADC10" s="254"/>
      <c r="ADD10" s="254"/>
      <c r="ADE10" s="254"/>
      <c r="ADF10" s="254"/>
      <c r="ADG10" s="254"/>
      <c r="ADH10" s="254"/>
      <c r="ADI10" s="254"/>
      <c r="ADJ10" s="254"/>
      <c r="ADK10" s="254"/>
      <c r="ADL10" s="254"/>
      <c r="ADM10" s="254"/>
      <c r="ADN10" s="254"/>
      <c r="ADO10" s="254"/>
      <c r="ADP10" s="254"/>
      <c r="ADQ10" s="254"/>
      <c r="ADR10" s="254"/>
      <c r="ADS10" s="254"/>
      <c r="ADT10" s="254"/>
      <c r="ADU10" s="254"/>
      <c r="ADV10" s="254"/>
      <c r="ADW10" s="254"/>
      <c r="ADX10" s="254"/>
      <c r="ADY10" s="254"/>
      <c r="ADZ10" s="254"/>
      <c r="AEA10" s="254"/>
      <c r="AEB10" s="254"/>
      <c r="AEC10" s="254"/>
      <c r="AED10" s="254"/>
      <c r="AEE10" s="254"/>
      <c r="AEF10" s="254"/>
      <c r="AEG10" s="254"/>
      <c r="AEH10" s="254"/>
      <c r="AEI10" s="254"/>
      <c r="AEJ10" s="254"/>
      <c r="AEK10" s="254"/>
      <c r="AEL10" s="254"/>
      <c r="AEM10" s="254"/>
      <c r="AEN10" s="254"/>
      <c r="AEO10" s="254"/>
      <c r="AEP10" s="254"/>
      <c r="AEQ10" s="254"/>
      <c r="AER10" s="254"/>
      <c r="AES10" s="254"/>
      <c r="AET10" s="254"/>
      <c r="AEU10" s="254"/>
      <c r="AEV10" s="254"/>
      <c r="AEW10" s="254"/>
      <c r="AEX10" s="254"/>
      <c r="AEY10" s="254"/>
      <c r="AEZ10" s="254"/>
      <c r="AFA10" s="254"/>
      <c r="AFB10" s="254"/>
      <c r="AFC10" s="254"/>
      <c r="AFD10" s="254"/>
      <c r="AFE10" s="254"/>
      <c r="AFF10" s="254"/>
      <c r="AFG10" s="254"/>
      <c r="AFH10" s="254"/>
      <c r="AFI10" s="254"/>
      <c r="AFJ10" s="254"/>
      <c r="AFK10" s="254"/>
      <c r="AFL10" s="254"/>
      <c r="AFM10" s="254"/>
      <c r="AFN10" s="254"/>
      <c r="AFO10" s="254"/>
      <c r="AFP10" s="254"/>
      <c r="AFQ10" s="254"/>
      <c r="AFR10" s="254"/>
      <c r="AFS10" s="254"/>
      <c r="AFT10" s="254"/>
      <c r="AFU10" s="254"/>
      <c r="AFV10" s="254"/>
      <c r="AFW10" s="254"/>
      <c r="AFX10" s="254"/>
      <c r="AFY10" s="254"/>
      <c r="AFZ10" s="254"/>
      <c r="AGA10" s="254"/>
      <c r="AGB10" s="254"/>
      <c r="AGC10" s="254"/>
      <c r="AGD10" s="254"/>
      <c r="AGE10" s="254"/>
      <c r="AGF10" s="254"/>
      <c r="AGG10" s="254"/>
      <c r="AGH10" s="254"/>
      <c r="AGI10" s="254"/>
      <c r="AGJ10" s="254"/>
      <c r="AGK10" s="254"/>
      <c r="AGL10" s="254"/>
      <c r="AGM10" s="254"/>
      <c r="AGN10" s="254"/>
      <c r="AGO10" s="254"/>
      <c r="AGP10" s="254"/>
      <c r="AGQ10" s="254"/>
      <c r="AGR10" s="254"/>
      <c r="AGS10" s="254"/>
      <c r="AGT10" s="254"/>
      <c r="AGU10" s="254"/>
      <c r="AGV10" s="254"/>
      <c r="AGW10" s="254"/>
      <c r="AGX10" s="254"/>
      <c r="AGY10" s="254"/>
      <c r="AGZ10" s="254"/>
      <c r="AHA10" s="254"/>
      <c r="AHB10" s="254"/>
      <c r="AHC10" s="254"/>
      <c r="AHD10" s="254"/>
      <c r="AHE10" s="254"/>
      <c r="AHF10" s="254"/>
      <c r="AHG10" s="254"/>
      <c r="AHH10" s="254"/>
      <c r="AHI10" s="254"/>
      <c r="AHJ10" s="254"/>
      <c r="AHK10" s="254"/>
      <c r="AHL10" s="254"/>
      <c r="AHM10" s="254"/>
      <c r="AHN10" s="254"/>
      <c r="AHO10" s="254"/>
      <c r="AHP10" s="254"/>
      <c r="AHQ10" s="254"/>
      <c r="AHR10" s="254"/>
      <c r="AHS10" s="254"/>
      <c r="AHT10" s="254"/>
      <c r="AHU10" s="254"/>
      <c r="AHV10" s="254"/>
      <c r="AHW10" s="254"/>
      <c r="AHX10" s="254"/>
      <c r="AHY10" s="254"/>
      <c r="AHZ10" s="254"/>
      <c r="AIA10" s="254"/>
      <c r="AIB10" s="254"/>
      <c r="AIC10" s="254"/>
      <c r="AID10" s="254"/>
      <c r="AIE10" s="254"/>
      <c r="AIF10" s="254"/>
      <c r="AIG10" s="254"/>
      <c r="AIH10" s="254"/>
      <c r="AII10" s="254"/>
      <c r="AIJ10" s="254"/>
      <c r="AIK10" s="254"/>
      <c r="AIL10" s="254"/>
      <c r="AIM10" s="254"/>
      <c r="AIN10" s="254"/>
      <c r="AIO10" s="254"/>
      <c r="AIP10" s="254"/>
      <c r="AIQ10" s="254"/>
      <c r="AIR10" s="254"/>
      <c r="AIS10" s="254"/>
      <c r="AIT10" s="254"/>
      <c r="AIU10" s="254"/>
      <c r="AIV10" s="254"/>
      <c r="AIW10" s="254"/>
      <c r="AIX10" s="254"/>
      <c r="AIY10" s="254"/>
      <c r="AIZ10" s="254"/>
      <c r="AJA10" s="254"/>
      <c r="AJB10" s="254"/>
      <c r="AJC10" s="254"/>
      <c r="AJD10" s="254"/>
      <c r="AJE10" s="254"/>
      <c r="AJF10" s="254"/>
      <c r="AJG10" s="254"/>
      <c r="AJH10" s="254"/>
      <c r="AJI10" s="254"/>
      <c r="AJJ10" s="254"/>
      <c r="AJK10" s="254"/>
      <c r="AJL10" s="254"/>
      <c r="AJM10" s="254"/>
      <c r="AJN10" s="254"/>
      <c r="AJO10" s="254"/>
      <c r="AJP10" s="254"/>
      <c r="AJQ10" s="254"/>
      <c r="AJR10" s="254"/>
      <c r="AJS10" s="254"/>
      <c r="AJT10" s="254"/>
      <c r="AJU10" s="254"/>
      <c r="AJV10" s="254"/>
      <c r="AJW10" s="254"/>
      <c r="AJX10" s="254"/>
      <c r="AJY10" s="254"/>
      <c r="AJZ10" s="254"/>
      <c r="AKA10" s="254"/>
      <c r="AKB10" s="254"/>
      <c r="AKC10" s="254"/>
      <c r="AKD10" s="254"/>
      <c r="AKE10" s="254"/>
      <c r="AKF10" s="254"/>
      <c r="AKG10" s="254"/>
      <c r="AKH10" s="254"/>
      <c r="AKI10" s="254"/>
      <c r="AKJ10" s="254"/>
      <c r="AKK10" s="254"/>
      <c r="AKL10" s="254"/>
      <c r="AKM10" s="254"/>
      <c r="AKN10" s="254"/>
      <c r="AKO10" s="254"/>
      <c r="AKP10" s="254"/>
      <c r="AKQ10" s="254"/>
      <c r="AKR10" s="254"/>
      <c r="AKS10" s="254"/>
      <c r="AKT10" s="254"/>
      <c r="AKU10" s="254"/>
      <c r="AKV10" s="254"/>
      <c r="AKW10" s="254"/>
      <c r="AKX10" s="254"/>
      <c r="AKY10" s="254"/>
      <c r="AKZ10" s="254"/>
      <c r="ALA10" s="254"/>
      <c r="ALB10" s="254"/>
      <c r="ALC10" s="254"/>
      <c r="ALD10" s="254"/>
      <c r="ALE10" s="254"/>
      <c r="ALF10" s="254"/>
      <c r="ALG10" s="254"/>
      <c r="ALH10" s="254"/>
      <c r="ALI10" s="254"/>
      <c r="ALJ10" s="254"/>
      <c r="ALK10" s="254"/>
      <c r="ALL10" s="254"/>
      <c r="ALM10" s="254"/>
      <c r="ALN10" s="254"/>
      <c r="ALO10" s="254"/>
      <c r="ALP10" s="254"/>
      <c r="ALQ10" s="254"/>
      <c r="ALR10" s="254"/>
      <c r="ALS10" s="254"/>
      <c r="ALT10" s="254"/>
      <c r="ALU10" s="254"/>
      <c r="ALV10" s="254"/>
      <c r="ALW10" s="254"/>
      <c r="ALX10" s="254"/>
      <c r="ALY10" s="254"/>
      <c r="ALZ10" s="254"/>
      <c r="AMA10" s="254"/>
      <c r="AMB10" s="254"/>
      <c r="AMC10" s="254"/>
      <c r="AMD10" s="254"/>
      <c r="AME10" s="254"/>
      <c r="AMF10" s="254"/>
      <c r="AMG10" s="254"/>
      <c r="AMH10" s="254"/>
      <c r="AMI10" s="254"/>
      <c r="AMJ10" s="254"/>
      <c r="AMK10" s="254"/>
      <c r="AML10" s="254"/>
      <c r="AMM10" s="254"/>
      <c r="AMN10" s="254"/>
      <c r="AMO10" s="254"/>
      <c r="AMP10" s="254"/>
      <c r="AMQ10" s="254"/>
      <c r="AMR10" s="254"/>
      <c r="AMS10" s="254"/>
      <c r="AMT10" s="254"/>
      <c r="AMU10" s="254"/>
      <c r="AMV10" s="254"/>
      <c r="AMW10" s="254"/>
      <c r="AMX10" s="254"/>
      <c r="AMY10" s="254"/>
      <c r="AMZ10" s="254"/>
      <c r="ANA10" s="254"/>
      <c r="ANB10" s="254"/>
      <c r="ANC10" s="254"/>
      <c r="AND10" s="254"/>
      <c r="ANE10" s="254"/>
      <c r="ANF10" s="254"/>
      <c r="ANG10" s="254"/>
      <c r="ANH10" s="254"/>
      <c r="ANI10" s="254"/>
      <c r="ANJ10" s="254"/>
      <c r="ANK10" s="254"/>
      <c r="ANL10" s="254"/>
      <c r="ANM10" s="254"/>
      <c r="ANN10" s="254"/>
      <c r="ANO10" s="254"/>
      <c r="ANP10" s="254"/>
      <c r="ANQ10" s="254"/>
      <c r="ANR10" s="254"/>
      <c r="ANS10" s="254"/>
      <c r="ANT10" s="254"/>
      <c r="ANU10" s="254"/>
      <c r="ANV10" s="254"/>
      <c r="ANW10" s="254"/>
      <c r="ANX10" s="254"/>
      <c r="ANY10" s="254"/>
      <c r="ANZ10" s="254"/>
      <c r="AOA10" s="254"/>
      <c r="AOB10" s="254"/>
      <c r="AOC10" s="254"/>
      <c r="AOD10" s="254"/>
      <c r="AOE10" s="254"/>
      <c r="AOF10" s="254"/>
      <c r="AOG10" s="254"/>
      <c r="AOH10" s="254"/>
      <c r="AOI10" s="254"/>
      <c r="AOJ10" s="254"/>
      <c r="AOK10" s="254"/>
      <c r="AOL10" s="254"/>
      <c r="AOM10" s="254"/>
      <c r="AON10" s="254"/>
      <c r="AOO10" s="254"/>
      <c r="AOP10" s="254"/>
      <c r="AOQ10" s="254"/>
      <c r="AOR10" s="254"/>
      <c r="AOS10" s="254"/>
      <c r="AOT10" s="254"/>
      <c r="AOU10" s="254"/>
      <c r="AOV10" s="254"/>
      <c r="AOW10" s="254"/>
      <c r="AOX10" s="254"/>
      <c r="AOY10" s="254"/>
      <c r="AOZ10" s="254"/>
      <c r="APA10" s="254"/>
      <c r="APB10" s="254"/>
      <c r="APC10" s="254"/>
      <c r="APD10" s="254"/>
      <c r="APE10" s="254"/>
      <c r="APF10" s="254"/>
      <c r="APG10" s="254"/>
      <c r="APH10" s="254"/>
      <c r="API10" s="254"/>
      <c r="APJ10" s="254"/>
      <c r="APK10" s="254"/>
      <c r="APL10" s="254"/>
      <c r="APM10" s="254"/>
      <c r="APN10" s="254"/>
      <c r="APO10" s="254"/>
      <c r="APP10" s="254"/>
      <c r="APQ10" s="254"/>
      <c r="APR10" s="254"/>
      <c r="APS10" s="254"/>
      <c r="APT10" s="254"/>
      <c r="APU10" s="254"/>
      <c r="APV10" s="254"/>
      <c r="APW10" s="254"/>
      <c r="APX10" s="254"/>
      <c r="APY10" s="254"/>
      <c r="APZ10" s="254"/>
      <c r="AQA10" s="254"/>
      <c r="AQB10" s="254"/>
      <c r="AQC10" s="254"/>
      <c r="AQD10" s="254"/>
      <c r="AQE10" s="254"/>
      <c r="AQF10" s="254"/>
      <c r="AQG10" s="254"/>
      <c r="AQH10" s="254"/>
      <c r="AQI10" s="254"/>
      <c r="AQJ10" s="254"/>
      <c r="AQK10" s="254"/>
      <c r="AQL10" s="254"/>
      <c r="AQM10" s="254"/>
      <c r="AQN10" s="254"/>
      <c r="AQO10" s="254"/>
      <c r="AQP10" s="254"/>
      <c r="AQQ10" s="254"/>
      <c r="AQR10" s="254"/>
      <c r="AQS10" s="254"/>
      <c r="AQT10" s="254"/>
      <c r="AQU10" s="254"/>
      <c r="AQV10" s="254"/>
      <c r="AQW10" s="254"/>
      <c r="AQX10" s="254"/>
      <c r="AQY10" s="254"/>
      <c r="AQZ10" s="254"/>
      <c r="ARA10" s="254"/>
      <c r="ARB10" s="254"/>
      <c r="ARC10" s="254"/>
      <c r="ARD10" s="254"/>
      <c r="ARE10" s="254"/>
      <c r="ARF10" s="254"/>
      <c r="ARG10" s="254"/>
      <c r="ARH10" s="254"/>
      <c r="ARI10" s="254"/>
      <c r="ARJ10" s="254"/>
      <c r="ARK10" s="254"/>
      <c r="ARL10" s="254"/>
      <c r="ARM10" s="254"/>
      <c r="ARN10" s="254"/>
      <c r="ARO10" s="254"/>
      <c r="ARP10" s="254"/>
      <c r="ARQ10" s="254"/>
      <c r="ARR10" s="254"/>
      <c r="ARS10" s="254"/>
      <c r="ART10" s="254"/>
      <c r="ARU10" s="254"/>
      <c r="ARV10" s="254"/>
      <c r="ARW10" s="254"/>
      <c r="ARX10" s="254"/>
      <c r="ARY10" s="254"/>
      <c r="ARZ10" s="254"/>
      <c r="ASA10" s="254"/>
      <c r="ASB10" s="254"/>
      <c r="ASC10" s="254"/>
      <c r="ASD10" s="254"/>
      <c r="ASE10" s="254"/>
      <c r="ASF10" s="254"/>
      <c r="ASG10" s="254"/>
      <c r="ASH10" s="254"/>
      <c r="ASI10" s="254"/>
      <c r="ASJ10" s="254"/>
      <c r="ASK10" s="254"/>
      <c r="ASL10" s="254"/>
      <c r="ASM10" s="254"/>
      <c r="ASN10" s="254"/>
      <c r="ASO10" s="254"/>
      <c r="ASP10" s="254"/>
      <c r="ASQ10" s="254"/>
      <c r="ASR10" s="254"/>
      <c r="ASS10" s="254"/>
      <c r="AST10" s="254"/>
      <c r="ASU10" s="254"/>
      <c r="ASV10" s="254"/>
      <c r="ASW10" s="254"/>
      <c r="ASX10" s="254"/>
      <c r="ASY10" s="254"/>
      <c r="ASZ10" s="254"/>
      <c r="ATA10" s="254"/>
      <c r="ATB10" s="254"/>
      <c r="ATC10" s="254"/>
      <c r="ATD10" s="254"/>
      <c r="ATE10" s="254"/>
      <c r="ATF10" s="254"/>
      <c r="ATG10" s="254"/>
      <c r="ATH10" s="254"/>
      <c r="ATI10" s="254"/>
      <c r="ATJ10" s="254"/>
      <c r="ATK10" s="254"/>
      <c r="ATL10" s="254"/>
      <c r="ATM10" s="254"/>
      <c r="ATN10" s="254"/>
      <c r="ATO10" s="254"/>
      <c r="ATP10" s="254"/>
      <c r="ATQ10" s="254"/>
      <c r="ATR10" s="254"/>
      <c r="ATS10" s="254"/>
      <c r="ATT10" s="254"/>
      <c r="ATU10" s="254"/>
      <c r="ATV10" s="254"/>
      <c r="ATW10" s="254"/>
      <c r="ATX10" s="254"/>
      <c r="ATY10" s="254"/>
      <c r="ATZ10" s="254"/>
      <c r="AUA10" s="254"/>
      <c r="AUB10" s="254"/>
      <c r="AUC10" s="254"/>
      <c r="AUD10" s="254"/>
      <c r="AUE10" s="254"/>
      <c r="AUF10" s="254"/>
      <c r="AUG10" s="254"/>
      <c r="AUH10" s="254"/>
      <c r="AUI10" s="254"/>
      <c r="AUJ10" s="254"/>
      <c r="AUK10" s="254"/>
      <c r="AUL10" s="254"/>
      <c r="AUM10" s="254"/>
      <c r="AUN10" s="254"/>
      <c r="AUO10" s="254"/>
      <c r="AUP10" s="254"/>
      <c r="AUQ10" s="254"/>
      <c r="AUR10" s="254"/>
      <c r="AUS10" s="254"/>
      <c r="AUT10" s="254"/>
      <c r="AUU10" s="254"/>
      <c r="AUV10" s="254"/>
      <c r="AUW10" s="254"/>
      <c r="AUX10" s="254"/>
      <c r="AUY10" s="254"/>
      <c r="AUZ10" s="254"/>
      <c r="AVA10" s="254"/>
      <c r="AVB10" s="254"/>
      <c r="AVC10" s="254"/>
      <c r="AVD10" s="254"/>
      <c r="AVE10" s="254"/>
      <c r="AVF10" s="254"/>
      <c r="AVG10" s="254"/>
      <c r="AVH10" s="254"/>
      <c r="AVI10" s="254"/>
      <c r="AVJ10" s="254"/>
      <c r="AVK10" s="254"/>
      <c r="AVL10" s="254"/>
      <c r="AVM10" s="254"/>
      <c r="AVN10" s="254"/>
      <c r="AVO10" s="254"/>
      <c r="AVP10" s="254"/>
      <c r="AVQ10" s="254"/>
      <c r="AVR10" s="254"/>
      <c r="AVS10" s="254"/>
      <c r="AVT10" s="254"/>
      <c r="AVU10" s="254"/>
      <c r="AVV10" s="254"/>
      <c r="AVW10" s="254"/>
      <c r="AVX10" s="254"/>
      <c r="AVY10" s="254"/>
      <c r="AVZ10" s="254"/>
      <c r="AWA10" s="254"/>
      <c r="AWB10" s="254"/>
      <c r="AWC10" s="254"/>
      <c r="AWD10" s="254"/>
      <c r="AWE10" s="254"/>
      <c r="AWF10" s="254"/>
      <c r="AWG10" s="254"/>
      <c r="AWH10" s="254"/>
      <c r="AWI10" s="254"/>
      <c r="AWJ10" s="254"/>
      <c r="AWK10" s="254"/>
      <c r="AWL10" s="254"/>
      <c r="AWM10" s="254"/>
      <c r="AWN10" s="254"/>
      <c r="AWO10" s="254"/>
      <c r="AWP10" s="254"/>
      <c r="AWQ10" s="254"/>
      <c r="AWR10" s="254"/>
      <c r="AWS10" s="254"/>
      <c r="AWT10" s="254"/>
      <c r="AWU10" s="254"/>
      <c r="AWV10" s="254"/>
      <c r="AWW10" s="254"/>
      <c r="AWX10" s="254"/>
      <c r="AWY10" s="254"/>
      <c r="AWZ10" s="254"/>
      <c r="AXA10" s="254"/>
      <c r="AXB10" s="254"/>
      <c r="AXC10" s="254"/>
      <c r="AXD10" s="254"/>
      <c r="AXE10" s="254"/>
      <c r="AXF10" s="254"/>
      <c r="AXG10" s="254"/>
      <c r="AXH10" s="254"/>
      <c r="AXI10" s="254"/>
      <c r="AXJ10" s="254"/>
      <c r="AXK10" s="254"/>
      <c r="AXL10" s="254"/>
      <c r="AXM10" s="254"/>
      <c r="AXN10" s="254"/>
      <c r="AXO10" s="254"/>
      <c r="AXP10" s="254"/>
      <c r="AXQ10" s="254"/>
      <c r="AXR10" s="254"/>
      <c r="AXS10" s="254"/>
      <c r="AXT10" s="254"/>
      <c r="AXU10" s="254"/>
      <c r="AXV10" s="254"/>
      <c r="AXW10" s="254"/>
      <c r="AXX10" s="254"/>
      <c r="AXY10" s="254"/>
      <c r="AXZ10" s="254"/>
      <c r="AYA10" s="254"/>
      <c r="AYB10" s="254"/>
      <c r="AYC10" s="254"/>
      <c r="AYD10" s="254"/>
      <c r="AYE10" s="254"/>
      <c r="AYF10" s="254"/>
      <c r="AYG10" s="254"/>
      <c r="AYH10" s="254"/>
      <c r="AYI10" s="254"/>
      <c r="AYJ10" s="254"/>
      <c r="AYK10" s="254"/>
      <c r="AYL10" s="254"/>
      <c r="AYM10" s="254"/>
      <c r="AYN10" s="254"/>
      <c r="AYO10" s="254"/>
      <c r="AYP10" s="254"/>
      <c r="AYQ10" s="254"/>
      <c r="AYR10" s="254"/>
      <c r="AYS10" s="254"/>
      <c r="AYT10" s="254"/>
      <c r="AYU10" s="254"/>
      <c r="AYV10" s="254"/>
      <c r="AYW10" s="254"/>
      <c r="AYX10" s="254"/>
      <c r="AYY10" s="254"/>
      <c r="AYZ10" s="254"/>
      <c r="AZA10" s="254"/>
      <c r="AZB10" s="254"/>
      <c r="AZC10" s="254"/>
      <c r="AZD10" s="254"/>
      <c r="AZE10" s="254"/>
      <c r="AZF10" s="254"/>
      <c r="AZG10" s="254"/>
      <c r="AZH10" s="254"/>
      <c r="AZI10" s="254"/>
      <c r="AZJ10" s="254"/>
      <c r="AZK10" s="254"/>
      <c r="AZL10" s="254"/>
      <c r="AZM10" s="254"/>
      <c r="AZN10" s="254"/>
      <c r="AZO10" s="254"/>
      <c r="AZP10" s="254"/>
      <c r="AZQ10" s="254"/>
      <c r="AZR10" s="254"/>
      <c r="AZS10" s="254"/>
      <c r="AZT10" s="254"/>
      <c r="AZU10" s="254"/>
      <c r="AZV10" s="254"/>
      <c r="AZW10" s="254"/>
      <c r="AZX10" s="254"/>
      <c r="AZY10" s="254"/>
      <c r="AZZ10" s="254"/>
      <c r="BAA10" s="254"/>
      <c r="BAB10" s="254"/>
      <c r="BAC10" s="254"/>
      <c r="BAD10" s="254"/>
      <c r="BAE10" s="254"/>
      <c r="BAF10" s="254"/>
      <c r="BAG10" s="254"/>
      <c r="BAH10" s="254"/>
      <c r="BAI10" s="254"/>
      <c r="BAJ10" s="254"/>
      <c r="BAK10" s="254"/>
      <c r="BAL10" s="254"/>
      <c r="BAM10" s="254"/>
      <c r="BAN10" s="254"/>
      <c r="BAO10" s="254"/>
      <c r="BAP10" s="254"/>
      <c r="BAQ10" s="254"/>
      <c r="BAR10" s="254"/>
      <c r="BAS10" s="254"/>
      <c r="BAT10" s="254"/>
      <c r="BAU10" s="254"/>
      <c r="BAV10" s="254"/>
      <c r="BAW10" s="254"/>
      <c r="BAX10" s="254"/>
      <c r="BAY10" s="254"/>
      <c r="BAZ10" s="254"/>
      <c r="BBA10" s="254"/>
      <c r="BBB10" s="254"/>
      <c r="BBC10" s="254"/>
      <c r="BBD10" s="254"/>
      <c r="BBE10" s="254"/>
      <c r="BBF10" s="254"/>
      <c r="BBG10" s="254"/>
      <c r="BBH10" s="254"/>
      <c r="BBI10" s="254"/>
      <c r="BBJ10" s="254"/>
      <c r="BBK10" s="254"/>
      <c r="BBL10" s="254"/>
      <c r="BBM10" s="254"/>
      <c r="BBN10" s="254"/>
      <c r="BBO10" s="254"/>
      <c r="BBP10" s="254"/>
      <c r="BBQ10" s="254"/>
      <c r="BBR10" s="254"/>
      <c r="BBS10" s="254"/>
      <c r="BBT10" s="254"/>
      <c r="BBU10" s="254"/>
      <c r="BBV10" s="254"/>
      <c r="BBW10" s="254"/>
      <c r="BBX10" s="254"/>
      <c r="BBY10" s="254"/>
      <c r="BBZ10" s="254"/>
      <c r="BCA10" s="254"/>
      <c r="BCB10" s="254"/>
      <c r="BCC10" s="254"/>
      <c r="BCD10" s="254"/>
      <c r="BCE10" s="254"/>
      <c r="BCF10" s="254"/>
      <c r="BCG10" s="254"/>
      <c r="BCH10" s="254"/>
      <c r="BCI10" s="254"/>
      <c r="BCJ10" s="254"/>
      <c r="BCK10" s="254"/>
      <c r="BCL10" s="254"/>
      <c r="BCM10" s="254"/>
      <c r="BCN10" s="254"/>
      <c r="BCO10" s="254"/>
      <c r="BCP10" s="254"/>
      <c r="BCQ10" s="254"/>
      <c r="BCR10" s="254"/>
      <c r="BCS10" s="254"/>
      <c r="BCT10" s="254"/>
      <c r="BCU10" s="254"/>
      <c r="BCV10" s="254"/>
      <c r="BCW10" s="254"/>
      <c r="BCX10" s="254"/>
      <c r="BCY10" s="254"/>
      <c r="BCZ10" s="254"/>
      <c r="BDA10" s="254"/>
      <c r="BDB10" s="254"/>
      <c r="BDC10" s="254"/>
      <c r="BDD10" s="254"/>
      <c r="BDE10" s="254"/>
      <c r="BDF10" s="254"/>
      <c r="BDG10" s="254"/>
      <c r="BDH10" s="254"/>
      <c r="BDI10" s="254"/>
      <c r="BDJ10" s="254"/>
      <c r="BDK10" s="254"/>
      <c r="BDL10" s="254"/>
      <c r="BDM10" s="254"/>
      <c r="BDN10" s="254"/>
      <c r="BDO10" s="254"/>
      <c r="BDP10" s="254"/>
      <c r="BDQ10" s="254"/>
      <c r="BDR10" s="254"/>
      <c r="BDS10" s="254"/>
      <c r="BDT10" s="254"/>
      <c r="BDU10" s="254"/>
      <c r="BDV10" s="254"/>
      <c r="BDW10" s="254"/>
      <c r="BDX10" s="254"/>
      <c r="BDY10" s="254"/>
      <c r="BDZ10" s="254"/>
      <c r="BEA10" s="254"/>
      <c r="BEB10" s="254"/>
      <c r="BEC10" s="254"/>
      <c r="BED10" s="254"/>
      <c r="BEE10" s="254"/>
      <c r="BEF10" s="254"/>
      <c r="BEG10" s="254"/>
      <c r="BEH10" s="254"/>
      <c r="BEI10" s="254"/>
      <c r="BEJ10" s="254"/>
      <c r="BEK10" s="254"/>
      <c r="BEL10" s="254"/>
      <c r="BEM10" s="254"/>
      <c r="BEN10" s="254"/>
      <c r="BEO10" s="254"/>
      <c r="BEP10" s="254"/>
      <c r="BEQ10" s="254"/>
      <c r="BER10" s="254"/>
      <c r="BES10" s="254"/>
      <c r="BET10" s="254"/>
      <c r="BEU10" s="254"/>
      <c r="BEV10" s="254"/>
      <c r="BEW10" s="254"/>
      <c r="BEX10" s="254"/>
      <c r="BEY10" s="254"/>
      <c r="BEZ10" s="254"/>
      <c r="BFA10" s="254"/>
      <c r="BFB10" s="254"/>
      <c r="BFC10" s="254"/>
      <c r="BFD10" s="254"/>
      <c r="BFE10" s="254"/>
      <c r="BFF10" s="254"/>
      <c r="BFG10" s="254"/>
      <c r="BFH10" s="254"/>
      <c r="BFI10" s="254"/>
      <c r="BFJ10" s="254"/>
      <c r="BFK10" s="254"/>
      <c r="BFL10" s="254"/>
      <c r="BFM10" s="254"/>
      <c r="BFN10" s="254"/>
      <c r="BFO10" s="254"/>
      <c r="BFP10" s="254"/>
      <c r="BFQ10" s="254"/>
      <c r="BFR10" s="254"/>
      <c r="BFS10" s="254"/>
      <c r="BFT10" s="254"/>
      <c r="BFU10" s="254"/>
      <c r="BFV10" s="254"/>
      <c r="BFW10" s="254"/>
      <c r="BFX10" s="254"/>
      <c r="BFY10" s="254"/>
      <c r="BFZ10" s="254"/>
      <c r="BGA10" s="254"/>
      <c r="BGB10" s="254"/>
      <c r="BGC10" s="254"/>
      <c r="BGD10" s="254"/>
      <c r="BGE10" s="254"/>
      <c r="BGF10" s="254"/>
      <c r="BGG10" s="254"/>
      <c r="BGH10" s="254"/>
      <c r="BGI10" s="254"/>
      <c r="BGJ10" s="254"/>
      <c r="BGK10" s="254"/>
      <c r="BGL10" s="254"/>
      <c r="BGM10" s="254"/>
      <c r="BGN10" s="254"/>
      <c r="BGO10" s="254"/>
      <c r="BGP10" s="254"/>
      <c r="BGQ10" s="254"/>
      <c r="BGR10" s="254"/>
      <c r="BGS10" s="254"/>
      <c r="BGT10" s="254"/>
      <c r="BGU10" s="254"/>
      <c r="BGV10" s="254"/>
      <c r="BGW10" s="254"/>
      <c r="BGX10" s="254"/>
      <c r="BGY10" s="254"/>
      <c r="BGZ10" s="254"/>
      <c r="BHA10" s="254"/>
      <c r="BHB10" s="254"/>
      <c r="BHC10" s="254"/>
      <c r="BHD10" s="254"/>
      <c r="BHE10" s="254"/>
      <c r="BHF10" s="254"/>
      <c r="BHG10" s="254"/>
      <c r="BHH10" s="254"/>
      <c r="BHI10" s="254"/>
      <c r="BHJ10" s="254"/>
      <c r="BHK10" s="254"/>
      <c r="BHL10" s="254"/>
      <c r="BHM10" s="254"/>
      <c r="BHN10" s="254"/>
      <c r="BHO10" s="254"/>
      <c r="BHP10" s="254"/>
      <c r="BHQ10" s="254"/>
      <c r="BHR10" s="254"/>
      <c r="BHS10" s="254"/>
      <c r="BHT10" s="254"/>
      <c r="BHU10" s="254"/>
      <c r="BHV10" s="254"/>
      <c r="BHW10" s="254"/>
      <c r="BHX10" s="254"/>
      <c r="BHY10" s="254"/>
      <c r="BHZ10" s="254"/>
      <c r="BIA10" s="254"/>
      <c r="BIB10" s="254"/>
      <c r="BIC10" s="254"/>
      <c r="BID10" s="254"/>
      <c r="BIE10" s="254"/>
      <c r="BIF10" s="254"/>
      <c r="BIG10" s="254"/>
      <c r="BIH10" s="254"/>
      <c r="BII10" s="254"/>
      <c r="BIJ10" s="254"/>
      <c r="BIK10" s="254"/>
      <c r="BIL10" s="254"/>
      <c r="BIM10" s="254"/>
      <c r="BIN10" s="254"/>
      <c r="BIO10" s="254"/>
      <c r="BIP10" s="254"/>
      <c r="BIQ10" s="254"/>
      <c r="BIR10" s="254"/>
      <c r="BIS10" s="254"/>
      <c r="BIT10" s="254"/>
      <c r="BIU10" s="254"/>
      <c r="BIV10" s="254"/>
      <c r="BIW10" s="254"/>
      <c r="BIX10" s="254"/>
      <c r="BIY10" s="254"/>
      <c r="BIZ10" s="254"/>
      <c r="BJA10" s="254"/>
      <c r="BJB10" s="254"/>
      <c r="BJC10" s="254"/>
      <c r="BJD10" s="254"/>
      <c r="BJE10" s="254"/>
      <c r="BJF10" s="254"/>
      <c r="BJG10" s="254"/>
      <c r="BJH10" s="254"/>
      <c r="BJI10" s="254"/>
      <c r="BJJ10" s="254"/>
      <c r="BJK10" s="254"/>
      <c r="BJL10" s="254"/>
      <c r="BJM10" s="254"/>
      <c r="BJN10" s="254"/>
      <c r="BJO10" s="254"/>
      <c r="BJP10" s="254"/>
      <c r="BJQ10" s="254"/>
      <c r="BJR10" s="254"/>
      <c r="BJS10" s="254"/>
      <c r="BJT10" s="254"/>
      <c r="BJU10" s="254"/>
      <c r="BJV10" s="254"/>
      <c r="BJW10" s="254"/>
      <c r="BJX10" s="254"/>
      <c r="BJY10" s="254"/>
      <c r="BJZ10" s="254"/>
      <c r="BKA10" s="254"/>
      <c r="BKB10" s="254"/>
      <c r="BKC10" s="254"/>
      <c r="BKD10" s="254"/>
      <c r="BKE10" s="254"/>
      <c r="BKF10" s="254"/>
      <c r="BKG10" s="254"/>
      <c r="BKH10" s="254"/>
      <c r="BKI10" s="254"/>
      <c r="BKJ10" s="254"/>
      <c r="BKK10" s="254"/>
      <c r="BKL10" s="254"/>
      <c r="BKM10" s="254"/>
      <c r="BKN10" s="254"/>
      <c r="BKO10" s="254"/>
      <c r="BKP10" s="254"/>
      <c r="BKQ10" s="254"/>
      <c r="BKR10" s="254"/>
      <c r="BKS10" s="254"/>
      <c r="BKT10" s="254"/>
      <c r="BKU10" s="254"/>
      <c r="BKV10" s="254"/>
      <c r="BKW10" s="254"/>
      <c r="BKX10" s="254"/>
      <c r="BKY10" s="254"/>
      <c r="BKZ10" s="254"/>
      <c r="BLA10" s="254"/>
      <c r="BLB10" s="254"/>
      <c r="BLC10" s="254"/>
      <c r="BLD10" s="254"/>
      <c r="BLE10" s="254"/>
      <c r="BLF10" s="254"/>
      <c r="BLG10" s="254"/>
      <c r="BLH10" s="254"/>
      <c r="BLI10" s="254"/>
      <c r="BLJ10" s="254"/>
      <c r="BLK10" s="254"/>
      <c r="BLL10" s="254"/>
      <c r="BLM10" s="254"/>
      <c r="BLN10" s="254"/>
      <c r="BLO10" s="254"/>
      <c r="BLP10" s="254"/>
      <c r="BLQ10" s="254"/>
      <c r="BLR10" s="254"/>
      <c r="BLS10" s="254"/>
      <c r="BLT10" s="254"/>
      <c r="BLU10" s="254"/>
      <c r="BLV10" s="254"/>
      <c r="BLW10" s="254"/>
      <c r="BLX10" s="254"/>
      <c r="BLY10" s="254"/>
      <c r="BLZ10" s="254"/>
      <c r="BMA10" s="254"/>
      <c r="BMB10" s="254"/>
      <c r="BMC10" s="254"/>
      <c r="BMD10" s="254"/>
      <c r="BME10" s="254"/>
      <c r="BMF10" s="254"/>
      <c r="BMG10" s="254"/>
      <c r="BMH10" s="254"/>
      <c r="BMI10" s="254"/>
      <c r="BMJ10" s="254"/>
      <c r="BMK10" s="254"/>
      <c r="BML10" s="254"/>
      <c r="BMM10" s="254"/>
      <c r="BMN10" s="254"/>
      <c r="BMO10" s="254"/>
      <c r="BMP10" s="254"/>
      <c r="BMQ10" s="254"/>
      <c r="BMR10" s="254"/>
      <c r="BMS10" s="254"/>
      <c r="BMT10" s="254"/>
      <c r="BMU10" s="254"/>
      <c r="BMV10" s="254"/>
      <c r="BMW10" s="254"/>
      <c r="BMX10" s="254"/>
      <c r="BMY10" s="254"/>
      <c r="BMZ10" s="254"/>
      <c r="BNA10" s="254"/>
      <c r="BNB10" s="254"/>
      <c r="BNC10" s="254"/>
      <c r="BND10" s="254"/>
      <c r="BNE10" s="254"/>
      <c r="BNF10" s="254"/>
      <c r="BNG10" s="254"/>
      <c r="BNH10" s="254"/>
      <c r="BNI10" s="254"/>
      <c r="BNJ10" s="254"/>
      <c r="BNK10" s="254"/>
      <c r="BNL10" s="254"/>
      <c r="BNM10" s="254"/>
      <c r="BNN10" s="254"/>
      <c r="BNO10" s="254"/>
      <c r="BNP10" s="254"/>
      <c r="BNQ10" s="254"/>
      <c r="BNR10" s="254"/>
      <c r="BNS10" s="254"/>
      <c r="BNT10" s="254"/>
      <c r="BNU10" s="254"/>
      <c r="BNV10" s="254"/>
      <c r="BNW10" s="254"/>
      <c r="BNX10" s="254"/>
      <c r="BNY10" s="254"/>
      <c r="BNZ10" s="254"/>
      <c r="BOA10" s="254"/>
      <c r="BOB10" s="254"/>
      <c r="BOC10" s="254"/>
      <c r="BOD10" s="254"/>
      <c r="BOE10" s="254"/>
      <c r="BOF10" s="254"/>
      <c r="BOG10" s="254"/>
      <c r="BOH10" s="254"/>
      <c r="BOI10" s="254"/>
      <c r="BOJ10" s="254"/>
      <c r="BOK10" s="254"/>
      <c r="BOL10" s="254"/>
      <c r="BOM10" s="254"/>
      <c r="BON10" s="254"/>
      <c r="BOO10" s="254"/>
      <c r="BOP10" s="254"/>
      <c r="BOQ10" s="254"/>
      <c r="BOR10" s="254"/>
      <c r="BOS10" s="254"/>
      <c r="BOT10" s="254"/>
      <c r="BOU10" s="254"/>
      <c r="BOV10" s="254"/>
      <c r="BOW10" s="254"/>
      <c r="BOX10" s="254"/>
      <c r="BOY10" s="254"/>
      <c r="BOZ10" s="254"/>
      <c r="BPA10" s="254"/>
      <c r="BPB10" s="254"/>
      <c r="BPC10" s="254"/>
      <c r="BPD10" s="254"/>
      <c r="BPE10" s="254"/>
      <c r="BPF10" s="254"/>
      <c r="BPG10" s="254"/>
      <c r="BPH10" s="254"/>
      <c r="BPI10" s="254"/>
      <c r="BPJ10" s="254"/>
      <c r="BPK10" s="254"/>
      <c r="BPL10" s="254"/>
      <c r="BPM10" s="254"/>
      <c r="BPN10" s="254"/>
      <c r="BPO10" s="254"/>
      <c r="BPP10" s="254"/>
      <c r="BPQ10" s="254"/>
      <c r="BPR10" s="254"/>
      <c r="BPS10" s="254"/>
      <c r="BPT10" s="254"/>
      <c r="BPU10" s="254"/>
      <c r="BPV10" s="254"/>
      <c r="BPW10" s="254"/>
      <c r="BPX10" s="254"/>
      <c r="BPY10" s="254"/>
      <c r="BPZ10" s="254"/>
      <c r="BQA10" s="254"/>
      <c r="BQB10" s="254"/>
      <c r="BQC10" s="254"/>
      <c r="BQD10" s="254"/>
      <c r="BQE10" s="254"/>
      <c r="BQF10" s="254"/>
      <c r="BQG10" s="254"/>
      <c r="BQH10" s="254"/>
      <c r="BQI10" s="254"/>
      <c r="BQJ10" s="254"/>
      <c r="BQK10" s="254"/>
      <c r="BQL10" s="254"/>
      <c r="BQM10" s="254"/>
      <c r="BQN10" s="254"/>
      <c r="BQO10" s="254"/>
      <c r="BQP10" s="254"/>
      <c r="BQQ10" s="254"/>
      <c r="BQR10" s="254"/>
      <c r="BQS10" s="254"/>
      <c r="BQT10" s="254"/>
      <c r="BQU10" s="254"/>
      <c r="BQV10" s="254"/>
      <c r="BQW10" s="254"/>
      <c r="BQX10" s="254"/>
      <c r="BQY10" s="254"/>
      <c r="BQZ10" s="254"/>
      <c r="BRA10" s="254"/>
      <c r="BRB10" s="254"/>
      <c r="BRC10" s="254"/>
      <c r="BRD10" s="254"/>
      <c r="BRE10" s="254"/>
      <c r="BRF10" s="254"/>
      <c r="BRG10" s="254"/>
      <c r="BRH10" s="254"/>
      <c r="BRI10" s="254"/>
      <c r="BRJ10" s="254"/>
      <c r="BRK10" s="254"/>
      <c r="BRL10" s="254"/>
      <c r="BRM10" s="254"/>
      <c r="BRN10" s="254"/>
      <c r="BRO10" s="254"/>
      <c r="BRP10" s="254"/>
      <c r="BRQ10" s="254"/>
      <c r="BRR10" s="254"/>
      <c r="BRS10" s="254"/>
      <c r="BRT10" s="254"/>
      <c r="BRU10" s="254"/>
      <c r="BRV10" s="254"/>
      <c r="BRW10" s="254"/>
      <c r="BRX10" s="254"/>
      <c r="BRY10" s="254"/>
      <c r="BRZ10" s="254"/>
      <c r="BSA10" s="254"/>
      <c r="BSB10" s="254"/>
      <c r="BSC10" s="254"/>
      <c r="BSD10" s="254"/>
      <c r="BSE10" s="254"/>
      <c r="BSF10" s="254"/>
      <c r="BSG10" s="254"/>
      <c r="BSH10" s="254"/>
      <c r="BSI10" s="254"/>
      <c r="BSJ10" s="254"/>
      <c r="BSK10" s="254"/>
      <c r="BSL10" s="254"/>
      <c r="BSM10" s="254"/>
      <c r="BSN10" s="254"/>
      <c r="BSO10" s="254"/>
      <c r="BSP10" s="254"/>
      <c r="BSQ10" s="254"/>
      <c r="BSR10" s="254"/>
      <c r="BSS10" s="254"/>
      <c r="BST10" s="254"/>
      <c r="BSU10" s="254"/>
      <c r="BSV10" s="254"/>
      <c r="BSW10" s="254"/>
      <c r="BSX10" s="254"/>
      <c r="BSY10" s="254"/>
      <c r="BSZ10" s="254"/>
      <c r="BTA10" s="254"/>
      <c r="BTB10" s="254"/>
      <c r="BTC10" s="254"/>
      <c r="BTD10" s="254"/>
      <c r="BTE10" s="254"/>
      <c r="BTF10" s="254"/>
      <c r="BTG10" s="254"/>
      <c r="BTH10" s="254"/>
      <c r="BTI10" s="254"/>
      <c r="BTJ10" s="254"/>
      <c r="BTK10" s="254"/>
      <c r="BTL10" s="254"/>
      <c r="BTM10" s="254"/>
      <c r="BTN10" s="254"/>
      <c r="BTO10" s="254"/>
      <c r="BTP10" s="254"/>
      <c r="BTQ10" s="254"/>
      <c r="BTR10" s="254"/>
      <c r="BTS10" s="254"/>
      <c r="BTT10" s="254"/>
      <c r="BTU10" s="254"/>
      <c r="BTV10" s="254"/>
      <c r="BTW10" s="254"/>
      <c r="BTX10" s="254"/>
      <c r="BTY10" s="254"/>
      <c r="BTZ10" s="254"/>
      <c r="BUA10" s="254"/>
      <c r="BUB10" s="254"/>
      <c r="BUC10" s="254"/>
      <c r="BUD10" s="254"/>
      <c r="BUE10" s="254"/>
      <c r="BUF10" s="254"/>
      <c r="BUG10" s="254"/>
      <c r="BUH10" s="254"/>
      <c r="BUI10" s="254"/>
      <c r="BUJ10" s="254"/>
      <c r="BUK10" s="254"/>
      <c r="BUL10" s="254"/>
      <c r="BUM10" s="254"/>
      <c r="BUN10" s="254"/>
      <c r="BUO10" s="254"/>
      <c r="BUP10" s="254"/>
      <c r="BUQ10" s="254"/>
      <c r="BUR10" s="254"/>
      <c r="BUS10" s="254"/>
      <c r="BUT10" s="254"/>
      <c r="BUU10" s="254"/>
      <c r="BUV10" s="254"/>
      <c r="BUW10" s="254"/>
      <c r="BUX10" s="254"/>
      <c r="BUY10" s="254"/>
      <c r="BUZ10" s="254"/>
      <c r="BVA10" s="254"/>
      <c r="BVB10" s="254"/>
      <c r="BVC10" s="254"/>
      <c r="BVD10" s="254"/>
      <c r="BVE10" s="254"/>
      <c r="BVF10" s="254"/>
      <c r="BVG10" s="254"/>
      <c r="BVH10" s="254"/>
      <c r="BVI10" s="254"/>
      <c r="BVJ10" s="254"/>
      <c r="BVK10" s="254"/>
      <c r="BVL10" s="254"/>
      <c r="BVM10" s="254"/>
      <c r="BVN10" s="254"/>
      <c r="BVO10" s="254"/>
      <c r="BVP10" s="254"/>
      <c r="BVQ10" s="254"/>
      <c r="BVR10" s="254"/>
      <c r="BVS10" s="254"/>
      <c r="BVT10" s="254"/>
      <c r="BVU10" s="254"/>
      <c r="BVV10" s="254"/>
      <c r="BVW10" s="254"/>
      <c r="BVX10" s="254"/>
      <c r="BVY10" s="254"/>
      <c r="BVZ10" s="254"/>
      <c r="BWA10" s="254"/>
      <c r="BWB10" s="254"/>
      <c r="BWC10" s="254"/>
      <c r="BWD10" s="254"/>
      <c r="BWE10" s="254"/>
      <c r="BWF10" s="254"/>
      <c r="BWG10" s="254"/>
      <c r="BWH10" s="254"/>
      <c r="BWI10" s="254"/>
      <c r="BWJ10" s="254"/>
      <c r="BWK10" s="254"/>
      <c r="BWL10" s="254"/>
      <c r="BWM10" s="254"/>
      <c r="BWN10" s="254"/>
      <c r="BWO10" s="254"/>
      <c r="BWP10" s="254"/>
      <c r="BWQ10" s="254"/>
      <c r="BWR10" s="254"/>
      <c r="BWS10" s="254"/>
      <c r="BWT10" s="254"/>
      <c r="BWU10" s="254"/>
      <c r="BWV10" s="254"/>
      <c r="BWW10" s="254"/>
      <c r="BWX10" s="254"/>
      <c r="BWY10" s="254"/>
      <c r="BWZ10" s="254"/>
      <c r="BXA10" s="254"/>
      <c r="BXB10" s="254"/>
      <c r="BXC10" s="254"/>
      <c r="BXD10" s="254"/>
      <c r="BXE10" s="254"/>
      <c r="BXF10" s="254"/>
      <c r="BXG10" s="254"/>
      <c r="BXH10" s="254"/>
      <c r="BXI10" s="254"/>
      <c r="BXJ10" s="254"/>
      <c r="BXK10" s="254"/>
      <c r="BXL10" s="254"/>
      <c r="BXM10" s="254"/>
      <c r="BXN10" s="254"/>
      <c r="BXO10" s="254"/>
      <c r="BXP10" s="254"/>
      <c r="BXQ10" s="254"/>
      <c r="BXR10" s="254"/>
      <c r="BXS10" s="254"/>
      <c r="BXT10" s="254"/>
      <c r="BXU10" s="254"/>
      <c r="BXV10" s="254"/>
      <c r="BXW10" s="254"/>
      <c r="BXX10" s="254"/>
      <c r="BXY10" s="254"/>
      <c r="BXZ10" s="254"/>
      <c r="BYA10" s="254"/>
      <c r="BYB10" s="254"/>
      <c r="BYC10" s="254"/>
      <c r="BYD10" s="254"/>
      <c r="BYE10" s="254"/>
      <c r="BYF10" s="254"/>
      <c r="BYG10" s="254"/>
      <c r="BYH10" s="254"/>
      <c r="BYI10" s="254"/>
      <c r="BYJ10" s="254"/>
      <c r="BYK10" s="254"/>
      <c r="BYL10" s="254"/>
      <c r="BYM10" s="254"/>
      <c r="BYN10" s="254"/>
      <c r="BYO10" s="254"/>
      <c r="BYP10" s="254"/>
      <c r="BYQ10" s="254"/>
      <c r="BYR10" s="254"/>
      <c r="BYS10" s="254"/>
      <c r="BYT10" s="254"/>
      <c r="BYU10" s="254"/>
      <c r="BYV10" s="254"/>
      <c r="BYW10" s="254"/>
      <c r="BYX10" s="254"/>
      <c r="BYY10" s="254"/>
      <c r="BYZ10" s="254"/>
      <c r="BZA10" s="254"/>
      <c r="BZB10" s="254"/>
      <c r="BZC10" s="254"/>
      <c r="BZD10" s="254"/>
      <c r="BZE10" s="254"/>
      <c r="BZF10" s="254"/>
      <c r="BZG10" s="254"/>
      <c r="BZH10" s="254"/>
      <c r="BZI10" s="254"/>
      <c r="BZJ10" s="254"/>
      <c r="BZK10" s="254"/>
      <c r="BZL10" s="254"/>
      <c r="BZM10" s="254"/>
      <c r="BZN10" s="254"/>
      <c r="BZO10" s="254"/>
      <c r="BZP10" s="254"/>
      <c r="BZQ10" s="254"/>
      <c r="BZR10" s="254"/>
      <c r="BZS10" s="254"/>
      <c r="BZT10" s="254"/>
      <c r="BZU10" s="254"/>
      <c r="BZV10" s="254"/>
      <c r="BZW10" s="254"/>
      <c r="BZX10" s="254"/>
      <c r="BZY10" s="254"/>
      <c r="BZZ10" s="254"/>
      <c r="CAA10" s="254"/>
      <c r="CAB10" s="254"/>
      <c r="CAC10" s="254"/>
      <c r="CAD10" s="254"/>
      <c r="CAE10" s="254"/>
      <c r="CAF10" s="254"/>
      <c r="CAG10" s="254"/>
      <c r="CAH10" s="254"/>
      <c r="CAI10" s="254"/>
      <c r="CAJ10" s="254"/>
      <c r="CAK10" s="254"/>
      <c r="CAL10" s="254"/>
      <c r="CAM10" s="254"/>
      <c r="CAN10" s="254"/>
      <c r="CAO10" s="254"/>
      <c r="CAP10" s="254"/>
      <c r="CAQ10" s="254"/>
      <c r="CAR10" s="254"/>
      <c r="CAS10" s="254"/>
      <c r="CAT10" s="254"/>
      <c r="CAU10" s="254"/>
      <c r="CAV10" s="254"/>
      <c r="CAW10" s="254"/>
      <c r="CAX10" s="254"/>
      <c r="CAY10" s="254"/>
      <c r="CAZ10" s="254"/>
      <c r="CBA10" s="254"/>
      <c r="CBB10" s="254"/>
      <c r="CBC10" s="254"/>
      <c r="CBD10" s="254"/>
      <c r="CBE10" s="254"/>
      <c r="CBF10" s="254"/>
      <c r="CBG10" s="254"/>
      <c r="CBH10" s="254"/>
      <c r="CBI10" s="254"/>
      <c r="CBJ10" s="254"/>
      <c r="CBK10" s="254"/>
      <c r="CBL10" s="254"/>
      <c r="CBM10" s="254"/>
      <c r="CBN10" s="254"/>
      <c r="CBO10" s="254"/>
      <c r="CBP10" s="254"/>
      <c r="CBQ10" s="254"/>
      <c r="CBR10" s="254"/>
      <c r="CBS10" s="254"/>
      <c r="CBT10" s="254"/>
      <c r="CBU10" s="254"/>
      <c r="CBV10" s="254"/>
      <c r="CBW10" s="254"/>
      <c r="CBX10" s="254"/>
      <c r="CBY10" s="254"/>
      <c r="CBZ10" s="254"/>
      <c r="CCA10" s="254"/>
      <c r="CCB10" s="254"/>
      <c r="CCC10" s="254"/>
      <c r="CCD10" s="254"/>
      <c r="CCE10" s="254"/>
      <c r="CCF10" s="254"/>
      <c r="CCG10" s="254"/>
      <c r="CCH10" s="254"/>
      <c r="CCI10" s="254"/>
      <c r="CCJ10" s="254"/>
      <c r="CCK10" s="254"/>
      <c r="CCL10" s="254"/>
      <c r="CCM10" s="254"/>
      <c r="CCN10" s="254"/>
      <c r="CCO10" s="254"/>
      <c r="CCP10" s="254"/>
      <c r="CCQ10" s="254"/>
      <c r="CCR10" s="254"/>
      <c r="CCS10" s="254"/>
      <c r="CCT10" s="254"/>
      <c r="CCU10" s="254"/>
      <c r="CCV10" s="254"/>
      <c r="CCW10" s="253"/>
      <c r="VEX10" s="256"/>
      <c r="VST10" s="194"/>
      <c r="VTB10" s="194"/>
    </row>
    <row r="11" spans="1:2129 15008:15070 15386:15394" s="193" customFormat="1" ht="16.149999999999999" customHeight="1" x14ac:dyDescent="0.25">
      <c r="A11" s="207" t="s">
        <v>55</v>
      </c>
      <c r="B11" s="207">
        <v>3</v>
      </c>
      <c r="C11" s="207"/>
      <c r="D11" s="207"/>
      <c r="E11" s="207"/>
      <c r="F11" s="207"/>
      <c r="G11" s="208" t="s">
        <v>189</v>
      </c>
      <c r="H11" s="209" t="s">
        <v>229</v>
      </c>
      <c r="I11" s="209"/>
      <c r="J11" s="210"/>
      <c r="K11" s="211"/>
      <c r="L11" s="211"/>
      <c r="M11" s="212"/>
      <c r="N11" s="211">
        <v>43003</v>
      </c>
      <c r="O11" s="211">
        <v>43003</v>
      </c>
      <c r="P11" s="212">
        <v>1</v>
      </c>
      <c r="Q11" s="213">
        <v>1</v>
      </c>
      <c r="R11" s="211"/>
      <c r="S11" s="211"/>
      <c r="T11" s="212"/>
      <c r="U11" s="214"/>
      <c r="V11" s="214"/>
      <c r="W11" s="214"/>
      <c r="X11" s="215"/>
      <c r="Y11" s="216"/>
      <c r="Z11" s="216"/>
      <c r="AA11" s="217"/>
      <c r="AB11" s="216"/>
      <c r="AC11" s="250"/>
      <c r="AD11" s="250"/>
      <c r="AE11" s="250"/>
      <c r="AF11" s="250"/>
      <c r="AG11" s="250"/>
      <c r="AH11" s="250"/>
      <c r="AI11" s="250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218"/>
      <c r="BJ11" s="218"/>
      <c r="BK11" s="218"/>
      <c r="BL11" s="218"/>
      <c r="BM11" s="218"/>
      <c r="BN11" s="218"/>
      <c r="BO11" s="218"/>
      <c r="BP11" s="218"/>
      <c r="BQ11" s="218"/>
      <c r="BR11" s="218"/>
      <c r="BS11" s="218"/>
      <c r="BT11" s="218"/>
      <c r="BU11" s="218"/>
      <c r="BV11" s="218"/>
      <c r="BW11" s="218"/>
      <c r="BX11" s="218"/>
      <c r="BY11" s="218"/>
      <c r="BZ11" s="218"/>
      <c r="CA11" s="218"/>
      <c r="CB11" s="218"/>
      <c r="CC11" s="218"/>
      <c r="CD11" s="218"/>
      <c r="CE11" s="218"/>
      <c r="CF11" s="218"/>
      <c r="CG11" s="219"/>
      <c r="CH11" s="219"/>
      <c r="CI11" s="219"/>
      <c r="CJ11" s="219"/>
      <c r="CK11" s="219"/>
      <c r="CL11" s="219"/>
      <c r="CM11" s="219"/>
      <c r="CN11" s="219"/>
      <c r="CO11" s="219"/>
      <c r="CP11" s="219"/>
      <c r="CQ11" s="219"/>
      <c r="CR11" s="219"/>
      <c r="CS11" s="219"/>
      <c r="CT11" s="219"/>
      <c r="CU11" s="219"/>
      <c r="CV11" s="219"/>
      <c r="CW11" s="219"/>
      <c r="CX11" s="219"/>
      <c r="CY11" s="219"/>
      <c r="CZ11" s="219"/>
      <c r="DA11" s="219"/>
      <c r="DB11" s="219"/>
      <c r="DC11" s="219"/>
      <c r="DD11" s="219"/>
      <c r="DE11" s="219"/>
      <c r="DF11" s="219"/>
      <c r="DG11" s="219"/>
      <c r="DH11" s="219"/>
      <c r="DI11" s="219"/>
      <c r="DJ11" s="219"/>
      <c r="DK11" s="219"/>
      <c r="DL11" s="219"/>
      <c r="DM11" s="219"/>
      <c r="DN11" s="219"/>
      <c r="DO11" s="219"/>
      <c r="DP11" s="219"/>
      <c r="DQ11" s="219"/>
      <c r="DR11" s="219"/>
      <c r="DS11" s="219"/>
      <c r="DT11" s="219"/>
      <c r="DU11" s="219"/>
      <c r="DV11" s="219"/>
      <c r="DW11" s="219"/>
      <c r="DX11" s="219"/>
      <c r="DY11" s="219"/>
      <c r="DZ11" s="219"/>
      <c r="EA11" s="219"/>
      <c r="EB11" s="219"/>
      <c r="EC11" s="219"/>
      <c r="ED11" s="219"/>
      <c r="EE11" s="219"/>
      <c r="EF11" s="219"/>
      <c r="EG11" s="219"/>
      <c r="EH11" s="219"/>
      <c r="EI11" s="219"/>
      <c r="EJ11" s="219"/>
      <c r="EK11" s="219"/>
      <c r="EL11" s="219"/>
      <c r="EM11" s="219"/>
      <c r="EN11" s="219"/>
      <c r="EO11" s="219"/>
      <c r="EP11" s="219"/>
      <c r="EQ11" s="219"/>
      <c r="ER11" s="219"/>
      <c r="ES11" s="219"/>
      <c r="ET11" s="219"/>
      <c r="EU11" s="219"/>
      <c r="EV11" s="219"/>
      <c r="EW11" s="219"/>
      <c r="EX11" s="219"/>
      <c r="EY11" s="219"/>
      <c r="EZ11" s="219"/>
      <c r="FA11" s="219"/>
      <c r="FB11" s="219"/>
      <c r="FC11" s="219"/>
      <c r="FD11" s="219"/>
      <c r="FE11" s="219"/>
      <c r="FF11" s="219"/>
      <c r="FG11" s="219"/>
      <c r="FH11" s="219"/>
      <c r="FI11" s="219"/>
      <c r="FJ11" s="219"/>
      <c r="FK11" s="219"/>
      <c r="FL11" s="219"/>
      <c r="FM11" s="219"/>
      <c r="FN11" s="219"/>
      <c r="FO11" s="219"/>
      <c r="FP11" s="219"/>
      <c r="FQ11" s="219"/>
      <c r="FR11" s="219"/>
      <c r="FS11" s="219"/>
      <c r="FT11" s="219"/>
      <c r="FU11" s="219"/>
      <c r="FV11" s="219"/>
      <c r="FW11" s="219"/>
      <c r="FX11" s="219"/>
      <c r="FY11" s="219"/>
      <c r="FZ11" s="219"/>
      <c r="GA11" s="219"/>
      <c r="GB11" s="219"/>
      <c r="GC11" s="219"/>
      <c r="GD11" s="219"/>
      <c r="GE11" s="219"/>
      <c r="GF11" s="219"/>
      <c r="GG11" s="219"/>
      <c r="GH11" s="219"/>
      <c r="GI11" s="219"/>
      <c r="GJ11" s="219"/>
      <c r="GK11" s="219"/>
      <c r="GL11" s="219"/>
      <c r="GM11" s="219"/>
      <c r="GN11" s="219"/>
      <c r="GO11" s="219"/>
      <c r="GP11" s="219"/>
      <c r="GQ11" s="219"/>
      <c r="GR11" s="219"/>
      <c r="GS11" s="219"/>
      <c r="GT11" s="219"/>
      <c r="GU11" s="219"/>
      <c r="GV11" s="219"/>
      <c r="GW11" s="219"/>
      <c r="GX11" s="219"/>
      <c r="GY11" s="219"/>
      <c r="GZ11" s="219"/>
      <c r="HA11" s="219"/>
      <c r="HB11" s="219"/>
      <c r="HC11" s="219"/>
      <c r="HD11" s="219"/>
      <c r="HE11" s="219"/>
      <c r="HF11" s="219"/>
      <c r="HG11" s="219"/>
      <c r="HH11" s="219"/>
      <c r="HI11" s="219"/>
      <c r="HJ11" s="219"/>
      <c r="HK11" s="219"/>
      <c r="HL11" s="219"/>
      <c r="HM11" s="219"/>
      <c r="HN11" s="219"/>
      <c r="HO11" s="219"/>
      <c r="HP11" s="219"/>
      <c r="HQ11" s="219"/>
      <c r="HR11" s="219"/>
      <c r="HS11" s="219"/>
      <c r="HT11" s="219"/>
      <c r="HU11" s="219"/>
      <c r="HV11" s="219"/>
      <c r="HW11" s="219"/>
      <c r="HX11" s="219"/>
      <c r="HY11" s="219"/>
      <c r="HZ11" s="219"/>
      <c r="IA11" s="219"/>
      <c r="IB11" s="219"/>
      <c r="IC11" s="219"/>
      <c r="ID11" s="219"/>
      <c r="IE11" s="219"/>
      <c r="IF11" s="219"/>
      <c r="IG11" s="219"/>
      <c r="IH11" s="219"/>
      <c r="II11" s="219"/>
      <c r="IJ11" s="219"/>
      <c r="IK11" s="219"/>
      <c r="IL11" s="219"/>
      <c r="IM11" s="219"/>
      <c r="IN11" s="219"/>
      <c r="IO11" s="219"/>
      <c r="IP11" s="219"/>
      <c r="IQ11" s="219"/>
      <c r="IR11" s="219"/>
      <c r="IS11" s="219"/>
      <c r="IT11" s="219"/>
      <c r="IU11" s="219"/>
      <c r="IV11" s="219"/>
      <c r="IW11" s="219"/>
      <c r="IX11" s="219"/>
      <c r="IY11" s="219"/>
      <c r="IZ11" s="219"/>
      <c r="JA11" s="219"/>
      <c r="JB11" s="219"/>
      <c r="JC11" s="219"/>
      <c r="JD11" s="219"/>
      <c r="JE11" s="219"/>
      <c r="JF11" s="219"/>
      <c r="JG11" s="219"/>
      <c r="JH11" s="219"/>
      <c r="JI11" s="219"/>
      <c r="JJ11" s="219"/>
      <c r="JK11" s="219"/>
      <c r="JL11" s="219"/>
      <c r="JM11" s="219"/>
      <c r="JN11" s="219"/>
      <c r="JO11" s="219"/>
      <c r="JP11" s="219"/>
      <c r="JQ11" s="219"/>
      <c r="JR11" s="219"/>
      <c r="JS11" s="219"/>
      <c r="JT11" s="219"/>
      <c r="JU11" s="219"/>
      <c r="JV11" s="219"/>
      <c r="JW11" s="219"/>
      <c r="JX11" s="219"/>
      <c r="JY11" s="219"/>
      <c r="JZ11" s="219"/>
      <c r="KA11" s="219"/>
      <c r="KB11" s="219"/>
      <c r="KC11" s="219"/>
      <c r="KD11" s="219"/>
      <c r="KE11" s="219"/>
      <c r="KF11" s="219"/>
      <c r="KG11" s="219"/>
      <c r="KH11" s="219"/>
      <c r="KI11" s="219"/>
      <c r="KJ11" s="219"/>
      <c r="KK11" s="219"/>
      <c r="KL11" s="219"/>
      <c r="KM11" s="219"/>
      <c r="KN11" s="219"/>
      <c r="KO11" s="219"/>
      <c r="KP11" s="219"/>
      <c r="KQ11" s="219"/>
      <c r="KR11" s="219"/>
      <c r="KS11" s="219"/>
      <c r="KT11" s="219"/>
      <c r="KU11" s="219"/>
      <c r="KV11" s="219"/>
      <c r="KW11" s="219"/>
      <c r="KX11" s="219"/>
      <c r="KY11" s="219"/>
      <c r="KZ11" s="219"/>
      <c r="LA11" s="219"/>
      <c r="LB11" s="219"/>
      <c r="LC11" s="219"/>
      <c r="LD11" s="219"/>
      <c r="LE11" s="219"/>
      <c r="LF11" s="219"/>
      <c r="LG11" s="219"/>
      <c r="LH11" s="219"/>
      <c r="LI11" s="219"/>
      <c r="LJ11" s="219"/>
      <c r="LK11" s="219"/>
      <c r="LL11" s="219"/>
      <c r="LM11" s="219"/>
      <c r="LN11" s="219"/>
      <c r="LO11" s="219"/>
      <c r="LP11" s="219"/>
      <c r="LQ11" s="219"/>
      <c r="LR11" s="219"/>
      <c r="LS11" s="219"/>
      <c r="LT11" s="219"/>
      <c r="LU11" s="219"/>
      <c r="LV11" s="219"/>
      <c r="LW11" s="219"/>
      <c r="LX11" s="219"/>
      <c r="LY11" s="219"/>
      <c r="LZ11" s="219"/>
      <c r="MA11" s="219"/>
      <c r="MB11" s="219"/>
      <c r="MC11" s="219"/>
      <c r="MD11" s="219"/>
      <c r="ME11" s="219"/>
      <c r="MF11" s="219"/>
      <c r="MG11" s="219"/>
      <c r="MH11" s="219"/>
      <c r="MI11" s="219"/>
      <c r="MJ11" s="219"/>
      <c r="MK11" s="219"/>
      <c r="ML11" s="219"/>
      <c r="MM11" s="219"/>
      <c r="MN11" s="219"/>
      <c r="MO11" s="219"/>
      <c r="MP11" s="219"/>
      <c r="MQ11" s="219"/>
      <c r="MR11" s="219"/>
      <c r="MS11" s="219"/>
      <c r="MT11" s="219"/>
      <c r="MU11" s="219"/>
      <c r="MV11" s="220"/>
      <c r="MW11" s="219"/>
      <c r="MX11" s="219"/>
      <c r="MY11" s="219"/>
      <c r="MZ11" s="219"/>
      <c r="NA11" s="219"/>
      <c r="NB11" s="219"/>
      <c r="NC11" s="219"/>
      <c r="ND11" s="219"/>
      <c r="NE11" s="219"/>
      <c r="NF11" s="219"/>
      <c r="NG11" s="219"/>
      <c r="NH11" s="219"/>
      <c r="NI11" s="219"/>
      <c r="NJ11" s="219"/>
      <c r="NK11" s="219"/>
      <c r="NL11" s="219"/>
      <c r="NM11" s="219"/>
      <c r="NN11" s="219"/>
      <c r="NO11" s="219"/>
      <c r="NP11" s="219"/>
      <c r="NQ11" s="219"/>
      <c r="NR11" s="219"/>
      <c r="NS11" s="219"/>
      <c r="NT11" s="219"/>
      <c r="NU11" s="219"/>
      <c r="NV11" s="219"/>
      <c r="NW11" s="219"/>
      <c r="NX11" s="219"/>
      <c r="NY11" s="219"/>
      <c r="NZ11" s="219"/>
      <c r="OA11" s="219"/>
      <c r="OB11" s="219"/>
      <c r="OC11" s="219"/>
      <c r="OD11" s="219"/>
      <c r="OE11" s="219"/>
      <c r="OF11" s="219"/>
      <c r="OG11" s="219"/>
      <c r="OH11" s="219"/>
      <c r="OI11" s="219"/>
      <c r="OJ11" s="219"/>
      <c r="OK11" s="219"/>
      <c r="OL11" s="219"/>
      <c r="OM11" s="219"/>
      <c r="ON11" s="219"/>
      <c r="OO11" s="219"/>
      <c r="OP11" s="219"/>
      <c r="OQ11" s="219"/>
      <c r="OR11" s="219"/>
      <c r="OS11" s="219"/>
      <c r="OT11" s="219"/>
      <c r="OU11" s="219"/>
      <c r="OV11" s="219"/>
      <c r="OW11" s="219"/>
      <c r="OX11" s="219"/>
      <c r="OY11" s="219"/>
      <c r="OZ11" s="219"/>
      <c r="PA11" s="219"/>
      <c r="PB11" s="219"/>
      <c r="PC11" s="219"/>
      <c r="PD11" s="219"/>
      <c r="PE11" s="219"/>
      <c r="PF11" s="219"/>
      <c r="PG11" s="219"/>
      <c r="PH11" s="219"/>
      <c r="PI11" s="219"/>
      <c r="PJ11" s="219"/>
      <c r="PK11" s="219"/>
      <c r="PL11" s="219"/>
      <c r="PM11" s="219"/>
      <c r="PN11" s="219"/>
      <c r="PO11" s="219"/>
      <c r="PP11" s="219"/>
      <c r="PQ11" s="219"/>
      <c r="PR11" s="219"/>
      <c r="PS11" s="219"/>
      <c r="PT11" s="219"/>
      <c r="PU11" s="219"/>
      <c r="PV11" s="219"/>
      <c r="PW11" s="219"/>
      <c r="PX11" s="219"/>
      <c r="PY11" s="219"/>
      <c r="PZ11" s="219"/>
      <c r="QA11" s="219"/>
      <c r="QB11" s="219"/>
      <c r="QC11" s="219"/>
      <c r="QD11" s="219"/>
      <c r="QE11" s="219"/>
      <c r="QF11" s="219"/>
      <c r="QG11" s="219"/>
      <c r="QH11" s="219"/>
      <c r="QI11" s="219"/>
      <c r="QJ11" s="219"/>
      <c r="QK11" s="219"/>
      <c r="QL11" s="219"/>
      <c r="QM11" s="219"/>
      <c r="QN11" s="219"/>
      <c r="QO11" s="219"/>
      <c r="QP11" s="219"/>
      <c r="QQ11" s="219"/>
      <c r="QR11" s="219"/>
      <c r="QS11" s="219"/>
      <c r="QT11" s="219"/>
      <c r="QU11" s="219"/>
      <c r="QV11" s="219"/>
      <c r="QW11" s="219"/>
      <c r="QX11" s="219"/>
      <c r="QY11" s="219"/>
      <c r="QZ11" s="219"/>
      <c r="RA11" s="219"/>
      <c r="RB11" s="219"/>
      <c r="RC11" s="219"/>
      <c r="RD11" s="219"/>
      <c r="RE11" s="219"/>
      <c r="RF11" s="219"/>
      <c r="RG11" s="219"/>
      <c r="RH11" s="219"/>
      <c r="RI11" s="219"/>
      <c r="RJ11" s="219"/>
      <c r="RK11" s="219"/>
      <c r="RL11" s="219"/>
      <c r="RM11" s="219"/>
      <c r="RN11" s="219"/>
      <c r="RO11" s="219"/>
      <c r="RP11" s="219"/>
      <c r="RQ11" s="219"/>
      <c r="RR11" s="219"/>
      <c r="RS11" s="219"/>
      <c r="RT11" s="219"/>
      <c r="RU11" s="219"/>
      <c r="RV11" s="219"/>
      <c r="RW11" s="219"/>
      <c r="RX11" s="219"/>
      <c r="RY11" s="219"/>
      <c r="RZ11" s="219"/>
      <c r="SA11" s="219"/>
      <c r="SB11" s="219"/>
      <c r="SC11" s="219"/>
      <c r="SD11" s="219"/>
      <c r="SE11" s="219"/>
      <c r="SF11" s="219"/>
      <c r="SG11" s="219"/>
      <c r="SH11" s="219"/>
      <c r="SI11" s="219"/>
      <c r="SJ11" s="219"/>
      <c r="SK11" s="219"/>
      <c r="SL11" s="219"/>
      <c r="SM11" s="219"/>
      <c r="SN11" s="219"/>
      <c r="SO11" s="219"/>
      <c r="SP11" s="219"/>
      <c r="SQ11" s="219"/>
      <c r="SR11" s="219"/>
      <c r="SS11" s="219"/>
      <c r="ST11" s="219"/>
      <c r="SU11" s="219"/>
      <c r="SV11" s="219"/>
      <c r="SW11" s="219"/>
      <c r="SX11" s="219"/>
      <c r="SY11" s="219"/>
      <c r="SZ11" s="219"/>
      <c r="TA11" s="219"/>
      <c r="TB11" s="219"/>
      <c r="TC11" s="219"/>
      <c r="TD11" s="219"/>
      <c r="TE11" s="219"/>
      <c r="TF11" s="219"/>
      <c r="TG11" s="219"/>
      <c r="TH11" s="219"/>
      <c r="TI11" s="219"/>
      <c r="TJ11" s="219"/>
      <c r="TK11" s="219"/>
      <c r="TL11" s="219"/>
      <c r="TM11" s="219"/>
      <c r="TN11" s="219"/>
      <c r="TO11" s="219"/>
      <c r="TP11" s="219"/>
      <c r="TQ11" s="219"/>
      <c r="TR11" s="219"/>
      <c r="TS11" s="219"/>
      <c r="TT11" s="219"/>
      <c r="TU11" s="219"/>
      <c r="TV11" s="219"/>
      <c r="TW11" s="219"/>
      <c r="TX11" s="219"/>
      <c r="TY11" s="219"/>
      <c r="TZ11" s="219"/>
      <c r="UA11" s="219"/>
      <c r="UB11" s="219"/>
      <c r="UC11" s="219"/>
      <c r="UD11" s="219"/>
      <c r="UE11" s="219"/>
      <c r="UF11" s="219"/>
      <c r="UG11" s="219"/>
      <c r="UH11" s="219"/>
      <c r="UI11" s="219"/>
      <c r="UJ11" s="219"/>
      <c r="UK11" s="219"/>
      <c r="UL11" s="219"/>
      <c r="UM11" s="219"/>
      <c r="UN11" s="219"/>
      <c r="UO11" s="219"/>
      <c r="UP11" s="219"/>
      <c r="UQ11" s="219"/>
      <c r="UR11" s="219"/>
      <c r="US11" s="219"/>
      <c r="UT11" s="219"/>
      <c r="UU11" s="219"/>
      <c r="UV11" s="219"/>
      <c r="UW11" s="219"/>
      <c r="UX11" s="219"/>
      <c r="UY11" s="219"/>
      <c r="UZ11" s="219"/>
      <c r="VA11" s="219"/>
      <c r="VB11" s="219"/>
      <c r="VC11" s="219"/>
      <c r="VD11" s="219"/>
      <c r="VE11" s="219"/>
      <c r="VF11" s="219"/>
      <c r="VG11" s="219"/>
      <c r="VH11" s="219"/>
      <c r="VI11" s="219"/>
      <c r="VJ11" s="219"/>
      <c r="VK11" s="219"/>
      <c r="VL11" s="219"/>
      <c r="VM11" s="219"/>
      <c r="VN11" s="219"/>
      <c r="VO11" s="219"/>
      <c r="VP11" s="219"/>
      <c r="VQ11" s="219"/>
      <c r="VR11" s="219"/>
      <c r="VS11" s="219"/>
      <c r="VT11" s="219"/>
      <c r="VU11" s="219"/>
      <c r="VV11" s="219"/>
      <c r="VW11" s="219"/>
      <c r="VX11" s="219"/>
      <c r="VY11" s="219"/>
      <c r="VZ11" s="219"/>
      <c r="WA11" s="219"/>
      <c r="WB11" s="219"/>
      <c r="WC11" s="219"/>
      <c r="WD11" s="219"/>
      <c r="WE11" s="219"/>
      <c r="WF11" s="219"/>
      <c r="WG11" s="219"/>
      <c r="WH11" s="219"/>
      <c r="WI11" s="219"/>
      <c r="WJ11" s="219"/>
      <c r="WK11" s="219"/>
      <c r="WL11" s="219"/>
      <c r="WM11" s="219"/>
      <c r="WN11" s="219"/>
      <c r="WO11" s="219"/>
      <c r="WP11" s="219"/>
      <c r="WQ11" s="219"/>
      <c r="WR11" s="219"/>
      <c r="WS11" s="219"/>
      <c r="WT11" s="219"/>
      <c r="WU11" s="219"/>
      <c r="WV11" s="219"/>
      <c r="WW11" s="219"/>
      <c r="WX11" s="219"/>
      <c r="WY11" s="219"/>
      <c r="WZ11" s="219"/>
      <c r="XA11" s="219"/>
      <c r="XB11" s="219"/>
      <c r="XC11" s="219"/>
      <c r="XD11" s="219"/>
      <c r="XE11" s="219"/>
      <c r="XF11" s="219"/>
      <c r="XG11" s="219"/>
      <c r="XH11" s="219"/>
      <c r="XI11" s="219"/>
      <c r="XJ11" s="219"/>
      <c r="XK11" s="219"/>
      <c r="XL11" s="219"/>
      <c r="XM11" s="219"/>
      <c r="XN11" s="219"/>
      <c r="XO11" s="219"/>
      <c r="XP11" s="219"/>
      <c r="XQ11" s="219"/>
      <c r="XR11" s="219"/>
      <c r="XS11" s="219"/>
      <c r="XT11" s="219"/>
      <c r="XU11" s="219"/>
      <c r="XV11" s="219"/>
      <c r="XW11" s="219"/>
      <c r="XX11" s="219"/>
      <c r="XY11" s="219"/>
      <c r="XZ11" s="219"/>
      <c r="YA11" s="219"/>
      <c r="YB11" s="219"/>
      <c r="YC11" s="219"/>
      <c r="YD11" s="219"/>
      <c r="YE11" s="219"/>
      <c r="YF11" s="219"/>
      <c r="YG11" s="219"/>
      <c r="YH11" s="219"/>
      <c r="YI11" s="219"/>
      <c r="YJ11" s="219"/>
      <c r="YK11" s="219"/>
      <c r="YL11" s="219"/>
      <c r="YM11" s="219"/>
      <c r="YN11" s="219"/>
      <c r="YO11" s="219"/>
      <c r="YP11" s="219"/>
      <c r="YQ11" s="219"/>
      <c r="YR11" s="219"/>
      <c r="YS11" s="219"/>
      <c r="YT11" s="219"/>
      <c r="YU11" s="219"/>
      <c r="YV11" s="219"/>
      <c r="YW11" s="219"/>
      <c r="YX11" s="219"/>
      <c r="YY11" s="219"/>
      <c r="YZ11" s="219"/>
      <c r="ZA11" s="219"/>
      <c r="ZB11" s="219"/>
      <c r="ZC11" s="219"/>
      <c r="ZD11" s="219"/>
      <c r="ZE11" s="219"/>
      <c r="ZF11" s="219"/>
      <c r="ZG11" s="219"/>
      <c r="ZH11" s="219"/>
      <c r="ZI11" s="219"/>
      <c r="ZJ11" s="219"/>
      <c r="ZK11" s="219"/>
      <c r="ZL11" s="219"/>
      <c r="ZM11" s="219"/>
      <c r="ZN11" s="219"/>
      <c r="ZO11" s="219"/>
      <c r="ZP11" s="219"/>
      <c r="ZQ11" s="219"/>
      <c r="ZR11" s="219"/>
      <c r="ZS11" s="219"/>
      <c r="ZT11" s="219"/>
      <c r="ZU11" s="219"/>
      <c r="ZV11" s="219"/>
      <c r="ZW11" s="219"/>
      <c r="ZX11" s="219"/>
      <c r="ZY11" s="219"/>
      <c r="ZZ11" s="219"/>
      <c r="AAA11" s="219"/>
      <c r="AAB11" s="219"/>
      <c r="AAC11" s="219"/>
      <c r="AAD11" s="219"/>
      <c r="AAE11" s="219"/>
      <c r="AAF11" s="219"/>
      <c r="AAG11" s="219"/>
      <c r="AAH11" s="219"/>
      <c r="AAI11" s="219"/>
      <c r="AAJ11" s="219"/>
      <c r="AAK11" s="219"/>
      <c r="AAL11" s="219"/>
      <c r="AAM11" s="219"/>
      <c r="AAN11" s="219"/>
      <c r="AAO11" s="219"/>
      <c r="AAP11" s="219"/>
      <c r="AAQ11" s="219"/>
      <c r="AAR11" s="219"/>
      <c r="AAS11" s="219"/>
      <c r="AAT11" s="219"/>
      <c r="AAU11" s="219"/>
      <c r="AAV11" s="219"/>
      <c r="AAW11" s="219"/>
      <c r="AAX11" s="219"/>
      <c r="AAY11" s="219"/>
      <c r="AAZ11" s="219"/>
      <c r="ABA11" s="219"/>
      <c r="ABB11" s="219"/>
      <c r="ABC11" s="219"/>
      <c r="ABD11" s="219"/>
      <c r="ABE11" s="219"/>
      <c r="ABF11" s="219"/>
      <c r="ABG11" s="219"/>
      <c r="ABH11" s="219"/>
      <c r="ABI11" s="219"/>
      <c r="ABJ11" s="219"/>
      <c r="ABK11" s="219"/>
      <c r="ABL11" s="219"/>
      <c r="ABM11" s="219"/>
      <c r="ABN11" s="219"/>
      <c r="ABO11" s="219"/>
      <c r="ABP11" s="219"/>
      <c r="ABQ11" s="219"/>
      <c r="ABR11" s="219"/>
      <c r="ABS11" s="219"/>
      <c r="ABT11" s="219"/>
      <c r="ABU11" s="219"/>
      <c r="ABV11" s="219"/>
      <c r="ABW11" s="219"/>
      <c r="ABX11" s="219"/>
      <c r="ABY11" s="219"/>
      <c r="ABZ11" s="219"/>
      <c r="ACA11" s="219"/>
      <c r="ACB11" s="219"/>
      <c r="ACC11" s="219"/>
      <c r="ACD11" s="219"/>
      <c r="ACE11" s="219"/>
      <c r="ACF11" s="219"/>
      <c r="ACG11" s="219"/>
      <c r="ACH11" s="219"/>
      <c r="ACI11" s="219"/>
      <c r="ACJ11" s="219"/>
      <c r="ACK11" s="219"/>
      <c r="ACL11" s="219"/>
      <c r="ACM11" s="219"/>
      <c r="ACN11" s="219"/>
      <c r="ACO11" s="219"/>
      <c r="ACP11" s="219"/>
      <c r="ACQ11" s="219"/>
      <c r="ACR11" s="219"/>
      <c r="ACS11" s="219"/>
      <c r="ACT11" s="219"/>
      <c r="ACU11" s="219"/>
      <c r="ACV11" s="219"/>
      <c r="ACW11" s="219"/>
      <c r="ACX11" s="219"/>
      <c r="ACY11" s="219"/>
      <c r="ACZ11" s="219"/>
      <c r="ADA11" s="219"/>
      <c r="ADB11" s="219"/>
      <c r="ADC11" s="219"/>
      <c r="ADD11" s="219"/>
      <c r="ADE11" s="219"/>
      <c r="ADF11" s="219"/>
      <c r="ADG11" s="219"/>
      <c r="ADH11" s="219"/>
      <c r="ADI11" s="219"/>
      <c r="ADJ11" s="219"/>
      <c r="ADK11" s="219"/>
      <c r="ADL11" s="219"/>
      <c r="ADM11" s="219"/>
      <c r="ADN11" s="219"/>
      <c r="ADO11" s="219"/>
      <c r="ADP11" s="219"/>
      <c r="ADQ11" s="219"/>
      <c r="ADR11" s="219"/>
      <c r="ADS11" s="219"/>
      <c r="ADT11" s="219"/>
      <c r="ADU11" s="219"/>
      <c r="ADV11" s="219"/>
      <c r="ADW11" s="219"/>
      <c r="ADX11" s="219"/>
      <c r="ADY11" s="219"/>
      <c r="ADZ11" s="219"/>
      <c r="AEA11" s="219"/>
      <c r="AEB11" s="219"/>
      <c r="AEC11" s="219"/>
      <c r="AED11" s="219"/>
      <c r="AEE11" s="219"/>
      <c r="AEF11" s="219"/>
      <c r="AEG11" s="219"/>
      <c r="AEH11" s="219"/>
      <c r="AEI11" s="219"/>
      <c r="AEJ11" s="219"/>
      <c r="AEK11" s="219"/>
      <c r="AEL11" s="219"/>
      <c r="AEM11" s="219"/>
      <c r="AEN11" s="219"/>
      <c r="AEO11" s="219"/>
      <c r="AEP11" s="219"/>
      <c r="AEQ11" s="219"/>
      <c r="AER11" s="219"/>
      <c r="AES11" s="219"/>
      <c r="AET11" s="219"/>
      <c r="AEU11" s="219"/>
      <c r="AEV11" s="219"/>
      <c r="AEW11" s="219"/>
      <c r="AEX11" s="219"/>
      <c r="AEY11" s="219"/>
      <c r="AEZ11" s="219"/>
      <c r="AFA11" s="219"/>
      <c r="AFB11" s="219"/>
      <c r="AFC11" s="219"/>
      <c r="AFD11" s="219"/>
      <c r="AFE11" s="219"/>
      <c r="AFF11" s="219"/>
      <c r="AFG11" s="219"/>
      <c r="AFH11" s="219"/>
      <c r="AFI11" s="219"/>
      <c r="AFJ11" s="219"/>
      <c r="AFK11" s="219"/>
      <c r="AFL11" s="219"/>
      <c r="AFM11" s="219"/>
      <c r="AFN11" s="219"/>
      <c r="AFO11" s="219"/>
      <c r="AFP11" s="219"/>
      <c r="AFQ11" s="219"/>
      <c r="AFR11" s="219"/>
      <c r="AFS11" s="219"/>
      <c r="AFT11" s="219"/>
      <c r="AFU11" s="219"/>
      <c r="AFV11" s="219"/>
      <c r="AFW11" s="219"/>
      <c r="AFX11" s="219"/>
      <c r="AFY11" s="219"/>
      <c r="AFZ11" s="219"/>
      <c r="AGA11" s="219"/>
      <c r="AGB11" s="219"/>
      <c r="AGC11" s="219"/>
      <c r="AGD11" s="219"/>
      <c r="AGE11" s="219"/>
      <c r="AGF11" s="219"/>
      <c r="AGG11" s="219"/>
      <c r="AGH11" s="219"/>
      <c r="AGI11" s="219"/>
      <c r="AGJ11" s="219"/>
      <c r="AGK11" s="219"/>
      <c r="AGL11" s="219"/>
      <c r="AGM11" s="219"/>
      <c r="AGN11" s="219"/>
      <c r="AGO11" s="219"/>
      <c r="AGP11" s="219"/>
      <c r="AGQ11" s="219"/>
      <c r="AGR11" s="219"/>
      <c r="AGS11" s="219"/>
      <c r="AGT11" s="219"/>
      <c r="AGU11" s="219"/>
      <c r="AGV11" s="219"/>
      <c r="AGW11" s="219"/>
      <c r="AGX11" s="219"/>
      <c r="AGY11" s="219"/>
      <c r="AGZ11" s="219"/>
      <c r="AHA11" s="219"/>
      <c r="AHB11" s="219"/>
      <c r="AHC11" s="219"/>
      <c r="AHD11" s="219"/>
      <c r="AHE11" s="219"/>
      <c r="AHF11" s="219"/>
      <c r="AHG11" s="219"/>
      <c r="AHH11" s="219"/>
      <c r="AHI11" s="219"/>
      <c r="AHJ11" s="219"/>
      <c r="AHK11" s="219"/>
      <c r="AHL11" s="219"/>
      <c r="AHM11" s="219"/>
      <c r="AHN11" s="219"/>
      <c r="AHO11" s="219"/>
      <c r="AHP11" s="219"/>
      <c r="AHQ11" s="219"/>
      <c r="AHR11" s="219"/>
      <c r="AHS11" s="219"/>
      <c r="AHT11" s="219"/>
      <c r="AHU11" s="219"/>
      <c r="AHV11" s="219"/>
      <c r="AHW11" s="219"/>
      <c r="AHX11" s="219"/>
      <c r="AHY11" s="219"/>
      <c r="AHZ11" s="219"/>
      <c r="AIA11" s="219"/>
      <c r="AIB11" s="219"/>
      <c r="AIC11" s="219"/>
      <c r="AID11" s="219"/>
      <c r="AIE11" s="219"/>
      <c r="AIF11" s="219"/>
      <c r="AIG11" s="219"/>
      <c r="AIH11" s="219"/>
      <c r="AII11" s="219"/>
      <c r="AIJ11" s="219"/>
      <c r="AIK11" s="219"/>
      <c r="AIL11" s="219"/>
      <c r="AIM11" s="219"/>
      <c r="AIN11" s="219"/>
      <c r="AIO11" s="219"/>
      <c r="AIP11" s="219"/>
      <c r="AIQ11" s="219"/>
      <c r="AIR11" s="219"/>
      <c r="AIS11" s="219"/>
      <c r="AIT11" s="219"/>
      <c r="AIU11" s="219"/>
      <c r="AIV11" s="219"/>
      <c r="AIW11" s="219"/>
      <c r="AIX11" s="219"/>
      <c r="AIY11" s="219"/>
      <c r="AIZ11" s="219"/>
      <c r="AJA11" s="219"/>
      <c r="AJB11" s="219"/>
      <c r="AJC11" s="219"/>
      <c r="AJD11" s="219"/>
      <c r="AJE11" s="219"/>
      <c r="AJF11" s="219"/>
      <c r="AJG11" s="219"/>
      <c r="AJH11" s="219"/>
      <c r="AJI11" s="219"/>
      <c r="AJJ11" s="219"/>
      <c r="AJK11" s="219"/>
      <c r="AJL11" s="219"/>
      <c r="AJM11" s="219"/>
      <c r="AJN11" s="219"/>
      <c r="AJO11" s="219"/>
      <c r="AJP11" s="219"/>
      <c r="AJQ11" s="219"/>
      <c r="AJR11" s="219"/>
      <c r="AJS11" s="219"/>
      <c r="AJT11" s="219"/>
      <c r="AJU11" s="219"/>
      <c r="AJV11" s="219"/>
      <c r="AJW11" s="219"/>
      <c r="AJX11" s="219"/>
      <c r="AJY11" s="219"/>
      <c r="AJZ11" s="219"/>
      <c r="AKA11" s="219"/>
      <c r="AKB11" s="219"/>
      <c r="AKC11" s="219"/>
      <c r="AKD11" s="219"/>
      <c r="AKE11" s="219"/>
      <c r="AKF11" s="219"/>
      <c r="AKG11" s="219"/>
      <c r="AKH11" s="219"/>
      <c r="AKI11" s="219"/>
      <c r="AKJ11" s="219"/>
      <c r="AKK11" s="219"/>
      <c r="AKL11" s="219"/>
      <c r="AKM11" s="219"/>
      <c r="AKN11" s="219"/>
      <c r="AKO11" s="219"/>
      <c r="AKP11" s="219"/>
      <c r="AKQ11" s="219"/>
      <c r="AKR11" s="219"/>
      <c r="AKS11" s="219"/>
      <c r="AKT11" s="219"/>
      <c r="AKU11" s="219"/>
      <c r="AKV11" s="219"/>
      <c r="AKW11" s="219"/>
      <c r="AKX11" s="219"/>
      <c r="AKY11" s="219"/>
      <c r="AKZ11" s="219"/>
      <c r="ALA11" s="219"/>
      <c r="ALB11" s="219"/>
      <c r="ALC11" s="219"/>
      <c r="ALD11" s="219"/>
      <c r="ALE11" s="219"/>
      <c r="ALF11" s="219"/>
      <c r="ALG11" s="219"/>
      <c r="ALH11" s="219"/>
      <c r="ALI11" s="219"/>
      <c r="ALJ11" s="219"/>
      <c r="ALK11" s="219"/>
      <c r="ALL11" s="219"/>
      <c r="ALM11" s="219"/>
      <c r="ALN11" s="219"/>
      <c r="ALO11" s="219"/>
      <c r="ALP11" s="219"/>
      <c r="ALQ11" s="219"/>
      <c r="ALR11" s="219"/>
      <c r="ALS11" s="219"/>
      <c r="ALT11" s="219"/>
      <c r="ALU11" s="219"/>
      <c r="ALV11" s="219"/>
      <c r="ALW11" s="219"/>
      <c r="ALX11" s="219"/>
      <c r="ALY11" s="219"/>
      <c r="ALZ11" s="219"/>
      <c r="AMA11" s="219"/>
      <c r="AMB11" s="219"/>
      <c r="AMC11" s="219"/>
      <c r="AMD11" s="219"/>
      <c r="AME11" s="219"/>
      <c r="AMF11" s="219"/>
      <c r="AMG11" s="219"/>
      <c r="AMH11" s="219"/>
      <c r="AMI11" s="219"/>
      <c r="AMJ11" s="219"/>
      <c r="AMK11" s="219"/>
      <c r="AML11" s="219"/>
      <c r="AMM11" s="219"/>
      <c r="AMN11" s="219"/>
      <c r="AMO11" s="219"/>
      <c r="AMP11" s="219"/>
      <c r="AMQ11" s="219"/>
      <c r="AMR11" s="219"/>
      <c r="AMS11" s="219"/>
      <c r="AMT11" s="219"/>
      <c r="AMU11" s="219"/>
      <c r="AMV11" s="219"/>
      <c r="AMW11" s="219"/>
      <c r="AMX11" s="219"/>
      <c r="AMY11" s="219"/>
      <c r="AMZ11" s="219"/>
      <c r="ANA11" s="219"/>
      <c r="ANB11" s="219"/>
      <c r="ANC11" s="219"/>
      <c r="AND11" s="219"/>
      <c r="ANE11" s="219"/>
      <c r="ANF11" s="219"/>
      <c r="ANG11" s="219"/>
      <c r="ANH11" s="219"/>
      <c r="ANI11" s="219"/>
      <c r="ANJ11" s="219"/>
      <c r="ANK11" s="219"/>
      <c r="ANL11" s="219"/>
      <c r="ANM11" s="219"/>
      <c r="ANN11" s="219"/>
      <c r="ANO11" s="219"/>
      <c r="ANP11" s="219"/>
      <c r="ANQ11" s="219"/>
      <c r="ANR11" s="219"/>
      <c r="ANS11" s="219"/>
      <c r="ANT11" s="219"/>
      <c r="ANU11" s="219"/>
      <c r="ANV11" s="219"/>
      <c r="ANW11" s="219"/>
      <c r="ANX11" s="219"/>
      <c r="ANY11" s="219"/>
      <c r="ANZ11" s="219"/>
      <c r="AOA11" s="219"/>
      <c r="AOB11" s="219"/>
      <c r="AOC11" s="219"/>
      <c r="AOD11" s="219"/>
      <c r="AOE11" s="219"/>
      <c r="AOF11" s="219"/>
      <c r="AOG11" s="219"/>
      <c r="AOH11" s="219"/>
      <c r="AOI11" s="219"/>
      <c r="AOJ11" s="219"/>
      <c r="AOK11" s="219"/>
      <c r="AOL11" s="219"/>
      <c r="AOM11" s="219"/>
      <c r="AON11" s="219"/>
      <c r="AOO11" s="219"/>
      <c r="AOP11" s="219"/>
      <c r="AOQ11" s="219"/>
      <c r="AOR11" s="219"/>
      <c r="AOS11" s="219"/>
      <c r="AOT11" s="219"/>
      <c r="AOU11" s="219"/>
      <c r="AOV11" s="219"/>
      <c r="AOW11" s="219"/>
      <c r="AOX11" s="219"/>
      <c r="AOY11" s="219"/>
      <c r="AOZ11" s="219"/>
      <c r="APA11" s="219"/>
      <c r="APB11" s="219"/>
      <c r="APC11" s="219"/>
      <c r="APD11" s="219"/>
      <c r="APE11" s="219"/>
      <c r="APF11" s="219"/>
      <c r="APG11" s="219"/>
      <c r="APH11" s="219"/>
      <c r="API11" s="219"/>
      <c r="APJ11" s="219"/>
      <c r="APK11" s="219"/>
      <c r="APL11" s="219"/>
      <c r="APM11" s="219"/>
      <c r="APN11" s="219"/>
      <c r="APO11" s="219"/>
      <c r="APP11" s="219"/>
      <c r="APQ11" s="219"/>
      <c r="APR11" s="219"/>
      <c r="APS11" s="219"/>
      <c r="APT11" s="219"/>
      <c r="APU11" s="219"/>
      <c r="APV11" s="219"/>
      <c r="APW11" s="219"/>
      <c r="APX11" s="219"/>
      <c r="APY11" s="219"/>
      <c r="APZ11" s="219"/>
      <c r="AQA11" s="219"/>
      <c r="AQB11" s="219"/>
      <c r="AQC11" s="219"/>
      <c r="AQD11" s="219"/>
      <c r="AQE11" s="219"/>
      <c r="AQF11" s="219"/>
      <c r="AQG11" s="219"/>
      <c r="AQH11" s="219"/>
      <c r="AQI11" s="219"/>
      <c r="AQJ11" s="219"/>
      <c r="AQK11" s="219"/>
      <c r="AQL11" s="219"/>
      <c r="AQM11" s="219"/>
      <c r="AQN11" s="219"/>
      <c r="AQO11" s="219"/>
      <c r="AQP11" s="219"/>
      <c r="AQQ11" s="219"/>
      <c r="AQR11" s="219"/>
      <c r="AQS11" s="219"/>
      <c r="AQT11" s="219"/>
      <c r="AQU11" s="219"/>
      <c r="AQV11" s="219"/>
      <c r="AQW11" s="219"/>
      <c r="AQX11" s="219"/>
      <c r="AQY11" s="219"/>
      <c r="AQZ11" s="219"/>
      <c r="ARA11" s="219"/>
      <c r="ARB11" s="219"/>
      <c r="ARC11" s="219"/>
      <c r="ARD11" s="219"/>
      <c r="ARE11" s="219"/>
      <c r="ARF11" s="219"/>
      <c r="ARG11" s="219"/>
      <c r="ARH11" s="219"/>
      <c r="ARI11" s="219"/>
      <c r="ARJ11" s="219"/>
      <c r="ARK11" s="219"/>
      <c r="ARL11" s="219"/>
      <c r="ARM11" s="219"/>
      <c r="ARN11" s="219"/>
      <c r="ARO11" s="219"/>
      <c r="ARP11" s="219"/>
      <c r="ARQ11" s="219"/>
      <c r="ARR11" s="219"/>
      <c r="ARS11" s="219"/>
      <c r="ART11" s="219"/>
      <c r="ARU11" s="219"/>
      <c r="ARV11" s="219"/>
      <c r="ARW11" s="219"/>
      <c r="ARX11" s="219"/>
      <c r="ARY11" s="219"/>
      <c r="ARZ11" s="219"/>
      <c r="ASA11" s="219"/>
      <c r="ASB11" s="219"/>
      <c r="ASC11" s="219"/>
      <c r="ASD11" s="219"/>
      <c r="ASE11" s="219"/>
      <c r="ASF11" s="219"/>
      <c r="ASG11" s="219"/>
      <c r="ASH11" s="219"/>
      <c r="ASI11" s="219"/>
      <c r="ASJ11" s="219"/>
      <c r="ASK11" s="219"/>
      <c r="ASL11" s="219"/>
      <c r="ASM11" s="219"/>
      <c r="ASN11" s="219"/>
      <c r="ASO11" s="219"/>
      <c r="ASP11" s="219"/>
      <c r="ASQ11" s="219"/>
      <c r="ASR11" s="219"/>
      <c r="ASS11" s="219"/>
      <c r="AST11" s="219"/>
      <c r="ASU11" s="219"/>
      <c r="ASV11" s="219"/>
      <c r="ASW11" s="219"/>
      <c r="ASX11" s="219"/>
      <c r="ASY11" s="219"/>
      <c r="ASZ11" s="219"/>
      <c r="ATA11" s="219"/>
      <c r="ATB11" s="219"/>
      <c r="ATC11" s="219"/>
      <c r="ATD11" s="219"/>
      <c r="ATE11" s="219"/>
      <c r="ATF11" s="219"/>
      <c r="ATG11" s="219"/>
      <c r="ATH11" s="219"/>
      <c r="ATI11" s="219"/>
      <c r="ATJ11" s="219"/>
      <c r="ATK11" s="219"/>
      <c r="ATL11" s="219"/>
      <c r="ATM11" s="219"/>
      <c r="ATN11" s="219"/>
      <c r="ATO11" s="219"/>
      <c r="ATP11" s="219"/>
      <c r="ATQ11" s="219"/>
      <c r="ATR11" s="219"/>
      <c r="ATS11" s="219"/>
      <c r="ATT11" s="219"/>
      <c r="ATU11" s="219"/>
      <c r="ATV11" s="219"/>
      <c r="ATW11" s="219"/>
      <c r="ATX11" s="219"/>
      <c r="ATY11" s="219"/>
      <c r="ATZ11" s="219"/>
      <c r="AUA11" s="219"/>
      <c r="AUB11" s="219"/>
      <c r="AUC11" s="219"/>
      <c r="AUD11" s="219"/>
      <c r="AUE11" s="219"/>
      <c r="AUF11" s="219"/>
      <c r="AUG11" s="219"/>
      <c r="AUH11" s="219"/>
      <c r="AUI11" s="219"/>
      <c r="AUJ11" s="219"/>
      <c r="AUK11" s="219"/>
      <c r="AUL11" s="219"/>
      <c r="AUM11" s="219"/>
      <c r="AUN11" s="219"/>
      <c r="AUO11" s="219"/>
      <c r="AUP11" s="219"/>
      <c r="AUQ11" s="219"/>
      <c r="AUR11" s="219"/>
      <c r="AUS11" s="219"/>
      <c r="AUT11" s="219"/>
      <c r="AUU11" s="219"/>
      <c r="AUV11" s="219"/>
      <c r="AUW11" s="219"/>
      <c r="AUX11" s="219"/>
      <c r="AUY11" s="219"/>
      <c r="AUZ11" s="219"/>
      <c r="AVA11" s="219"/>
      <c r="AVB11" s="219"/>
      <c r="AVC11" s="219"/>
      <c r="AVD11" s="219"/>
      <c r="AVE11" s="219"/>
      <c r="AVF11" s="219"/>
      <c r="AVG11" s="219"/>
      <c r="AVH11" s="219"/>
      <c r="AVI11" s="219"/>
      <c r="AVJ11" s="219"/>
      <c r="AVK11" s="219"/>
      <c r="AVL11" s="219"/>
      <c r="AVM11" s="219"/>
      <c r="AVN11" s="219"/>
      <c r="AVO11" s="219"/>
      <c r="AVP11" s="219"/>
      <c r="AVQ11" s="219"/>
      <c r="AVR11" s="219"/>
      <c r="AVS11" s="219"/>
      <c r="AVT11" s="219"/>
      <c r="AVU11" s="219"/>
      <c r="AVV11" s="219"/>
      <c r="AVW11" s="219"/>
      <c r="AVX11" s="219"/>
      <c r="AVY11" s="219"/>
      <c r="AVZ11" s="219"/>
      <c r="AWA11" s="219"/>
      <c r="AWB11" s="219"/>
      <c r="AWC11" s="219"/>
      <c r="AWD11" s="219"/>
      <c r="AWE11" s="219"/>
      <c r="AWF11" s="219"/>
      <c r="AWG11" s="219"/>
      <c r="AWH11" s="219"/>
      <c r="AWI11" s="219"/>
      <c r="AWJ11" s="219"/>
      <c r="AWK11" s="219"/>
      <c r="AWL11" s="219"/>
      <c r="AWM11" s="219"/>
      <c r="AWN11" s="219"/>
      <c r="AWO11" s="219"/>
      <c r="AWP11" s="219"/>
      <c r="AWQ11" s="219"/>
      <c r="AWR11" s="219"/>
      <c r="AWS11" s="219"/>
      <c r="AWT11" s="219"/>
      <c r="AWU11" s="219"/>
      <c r="AWV11" s="219"/>
      <c r="AWW11" s="219"/>
      <c r="AWX11" s="219"/>
      <c r="AWY11" s="219"/>
      <c r="AWZ11" s="219"/>
      <c r="AXA11" s="219"/>
      <c r="AXB11" s="219"/>
      <c r="AXC11" s="219"/>
      <c r="AXD11" s="219"/>
      <c r="AXE11" s="219"/>
      <c r="AXF11" s="219"/>
      <c r="AXG11" s="219"/>
      <c r="AXH11" s="219"/>
      <c r="AXI11" s="219"/>
      <c r="AXJ11" s="219"/>
      <c r="AXK11" s="219"/>
      <c r="AXL11" s="219"/>
      <c r="AXM11" s="219"/>
      <c r="AXN11" s="219"/>
      <c r="AXO11" s="219"/>
      <c r="AXP11" s="219"/>
      <c r="AXQ11" s="219"/>
      <c r="AXR11" s="219"/>
      <c r="AXS11" s="219"/>
      <c r="AXT11" s="219"/>
      <c r="AXU11" s="219"/>
      <c r="AXV11" s="219"/>
      <c r="AXW11" s="219"/>
      <c r="AXX11" s="219"/>
      <c r="AXY11" s="219"/>
      <c r="AXZ11" s="219"/>
      <c r="AYA11" s="219"/>
      <c r="AYB11" s="219"/>
      <c r="AYC11" s="219"/>
      <c r="AYD11" s="219"/>
      <c r="AYE11" s="219"/>
      <c r="AYF11" s="219"/>
      <c r="AYG11" s="219"/>
      <c r="AYH11" s="219"/>
      <c r="AYI11" s="219"/>
      <c r="AYJ11" s="219"/>
      <c r="AYK11" s="219"/>
      <c r="AYL11" s="219"/>
      <c r="AYM11" s="219"/>
      <c r="AYN11" s="219"/>
      <c r="AYO11" s="219"/>
      <c r="AYP11" s="219"/>
      <c r="AYQ11" s="219"/>
      <c r="AYR11" s="219"/>
      <c r="AYS11" s="219"/>
      <c r="AYT11" s="219"/>
      <c r="AYU11" s="219"/>
      <c r="AYV11" s="219"/>
      <c r="AYW11" s="219"/>
      <c r="AYX11" s="219"/>
      <c r="AYY11" s="219"/>
      <c r="AYZ11" s="219"/>
      <c r="AZA11" s="219"/>
      <c r="AZB11" s="219"/>
      <c r="AZC11" s="219"/>
      <c r="AZD11" s="219"/>
      <c r="AZE11" s="219"/>
      <c r="AZF11" s="219"/>
      <c r="AZG11" s="219"/>
      <c r="AZH11" s="219"/>
      <c r="AZI11" s="219"/>
      <c r="AZJ11" s="219"/>
      <c r="AZK11" s="219"/>
      <c r="AZL11" s="219"/>
      <c r="AZM11" s="219"/>
      <c r="AZN11" s="219"/>
      <c r="AZO11" s="219"/>
      <c r="AZP11" s="219"/>
      <c r="AZQ11" s="219"/>
      <c r="AZR11" s="219"/>
      <c r="AZS11" s="219"/>
      <c r="AZT11" s="219"/>
      <c r="AZU11" s="219"/>
      <c r="AZV11" s="219"/>
      <c r="AZW11" s="219"/>
      <c r="AZX11" s="219"/>
      <c r="AZY11" s="219"/>
      <c r="AZZ11" s="219"/>
      <c r="BAA11" s="219"/>
      <c r="BAB11" s="219"/>
      <c r="BAC11" s="219"/>
      <c r="BAD11" s="219"/>
      <c r="BAE11" s="219"/>
      <c r="BAF11" s="219"/>
      <c r="BAG11" s="219"/>
      <c r="BAH11" s="219"/>
      <c r="BAI11" s="219"/>
      <c r="BAJ11" s="219"/>
      <c r="BAK11" s="219"/>
      <c r="BAL11" s="219"/>
      <c r="BAM11" s="219"/>
      <c r="BAN11" s="219"/>
      <c r="BAO11" s="219"/>
      <c r="BAP11" s="219"/>
      <c r="BAQ11" s="219"/>
      <c r="BAR11" s="219"/>
      <c r="BAS11" s="219"/>
      <c r="BAT11" s="219"/>
      <c r="BAU11" s="219"/>
      <c r="BAV11" s="219"/>
      <c r="BAW11" s="219"/>
      <c r="BAX11" s="219"/>
      <c r="BAY11" s="219"/>
      <c r="BAZ11" s="219"/>
      <c r="BBA11" s="219"/>
      <c r="BBB11" s="219"/>
      <c r="BBC11" s="219"/>
      <c r="BBD11" s="219"/>
      <c r="BBE11" s="219"/>
      <c r="BBF11" s="219"/>
      <c r="BBG11" s="219"/>
      <c r="BBH11" s="219"/>
      <c r="BBI11" s="219"/>
      <c r="BBJ11" s="219"/>
      <c r="BBK11" s="219"/>
      <c r="BBL11" s="219"/>
      <c r="BBM11" s="219"/>
      <c r="BBN11" s="219"/>
      <c r="BBO11" s="219"/>
      <c r="BBP11" s="219"/>
      <c r="BBQ11" s="219"/>
      <c r="BBR11" s="219"/>
      <c r="BBS11" s="219"/>
      <c r="BBT11" s="219"/>
      <c r="BBU11" s="219"/>
      <c r="BBV11" s="219"/>
      <c r="BBW11" s="219"/>
      <c r="BBX11" s="219"/>
      <c r="BBY11" s="219"/>
      <c r="BBZ11" s="219"/>
      <c r="BCA11" s="219"/>
      <c r="BCB11" s="219"/>
      <c r="BCC11" s="219"/>
      <c r="BCD11" s="219"/>
      <c r="BCE11" s="219"/>
      <c r="BCF11" s="219"/>
      <c r="BCG11" s="219"/>
      <c r="BCH11" s="219"/>
      <c r="BCI11" s="219"/>
      <c r="BCJ11" s="219"/>
      <c r="BCK11" s="219"/>
      <c r="BCL11" s="219"/>
      <c r="BCM11" s="219"/>
      <c r="BCN11" s="219"/>
      <c r="BCO11" s="219"/>
      <c r="BCP11" s="219"/>
      <c r="BCQ11" s="219"/>
      <c r="BCR11" s="219"/>
      <c r="BCS11" s="219"/>
      <c r="BCT11" s="219"/>
      <c r="BCU11" s="219"/>
      <c r="BCV11" s="219"/>
      <c r="BCW11" s="219"/>
      <c r="BCX11" s="219"/>
      <c r="BCY11" s="219"/>
      <c r="BCZ11" s="219"/>
      <c r="BDA11" s="219"/>
      <c r="BDB11" s="219"/>
      <c r="BDC11" s="219"/>
      <c r="BDD11" s="219"/>
      <c r="BDE11" s="219"/>
      <c r="BDF11" s="219"/>
      <c r="BDG11" s="219"/>
      <c r="BDH11" s="219"/>
      <c r="BDI11" s="219"/>
      <c r="BDJ11" s="219"/>
      <c r="BDK11" s="219"/>
      <c r="BDL11" s="219"/>
      <c r="BDM11" s="219"/>
      <c r="BDN11" s="219"/>
      <c r="BDO11" s="219"/>
      <c r="BDP11" s="219"/>
      <c r="BDQ11" s="219"/>
      <c r="BDR11" s="219"/>
      <c r="BDS11" s="219"/>
      <c r="BDT11" s="219"/>
      <c r="BDU11" s="219"/>
      <c r="BDV11" s="219"/>
      <c r="BDW11" s="219"/>
      <c r="BDX11" s="219"/>
      <c r="BDY11" s="219"/>
      <c r="BDZ11" s="219"/>
      <c r="BEA11" s="219"/>
      <c r="BEB11" s="219"/>
      <c r="BEC11" s="219"/>
      <c r="BED11" s="219"/>
      <c r="BEE11" s="219"/>
      <c r="BEF11" s="219"/>
      <c r="BEG11" s="219"/>
      <c r="BEH11" s="219"/>
      <c r="BEI11" s="219"/>
      <c r="BEJ11" s="219"/>
      <c r="BEK11" s="219"/>
      <c r="BEL11" s="219"/>
      <c r="BEM11" s="219"/>
      <c r="BEN11" s="219"/>
      <c r="BEO11" s="219"/>
      <c r="BEP11" s="219"/>
      <c r="BEQ11" s="219"/>
      <c r="BER11" s="219"/>
      <c r="BES11" s="219"/>
      <c r="BET11" s="219"/>
      <c r="BEU11" s="219"/>
      <c r="BEV11" s="219"/>
      <c r="BEW11" s="219"/>
      <c r="BEX11" s="219"/>
      <c r="BEY11" s="219"/>
      <c r="BEZ11" s="219"/>
      <c r="BFA11" s="219"/>
      <c r="BFB11" s="219"/>
      <c r="BFC11" s="219"/>
      <c r="BFD11" s="219"/>
      <c r="BFE11" s="219"/>
      <c r="BFF11" s="219"/>
      <c r="BFG11" s="219"/>
      <c r="BFH11" s="219"/>
      <c r="BFI11" s="219"/>
      <c r="BFJ11" s="219"/>
      <c r="BFK11" s="219"/>
      <c r="BFL11" s="219"/>
      <c r="BFM11" s="219"/>
      <c r="BFN11" s="219"/>
      <c r="BFO11" s="219"/>
      <c r="BFP11" s="219"/>
      <c r="BFQ11" s="219"/>
      <c r="BFR11" s="219"/>
      <c r="BFS11" s="219"/>
      <c r="BFT11" s="219"/>
      <c r="BFU11" s="219"/>
      <c r="BFV11" s="219"/>
      <c r="BFW11" s="219"/>
      <c r="BFX11" s="219"/>
      <c r="BFY11" s="219"/>
      <c r="BFZ11" s="219"/>
      <c r="BGA11" s="219"/>
      <c r="BGB11" s="219"/>
      <c r="BGC11" s="219"/>
      <c r="BGD11" s="219"/>
      <c r="BGE11" s="219"/>
      <c r="BGF11" s="219"/>
      <c r="BGG11" s="219"/>
      <c r="BGH11" s="219"/>
      <c r="BGI11" s="219"/>
      <c r="BGJ11" s="219"/>
      <c r="BGK11" s="219"/>
      <c r="BGL11" s="219"/>
      <c r="BGM11" s="219"/>
      <c r="BGN11" s="219"/>
      <c r="BGO11" s="219"/>
      <c r="BGP11" s="219"/>
      <c r="BGQ11" s="219"/>
      <c r="BGR11" s="219"/>
      <c r="BGS11" s="219"/>
      <c r="BGT11" s="219"/>
      <c r="BGU11" s="219"/>
      <c r="BGV11" s="219"/>
      <c r="BGW11" s="219"/>
      <c r="BGX11" s="219"/>
      <c r="BGY11" s="219"/>
      <c r="BGZ11" s="219"/>
      <c r="BHA11" s="219"/>
      <c r="BHB11" s="219"/>
      <c r="BHC11" s="219"/>
      <c r="BHD11" s="219"/>
      <c r="BHE11" s="219"/>
      <c r="BHF11" s="219"/>
      <c r="BHG11" s="219"/>
      <c r="BHH11" s="219"/>
      <c r="BHI11" s="219"/>
      <c r="BHJ11" s="219"/>
      <c r="BHK11" s="219"/>
      <c r="BHL11" s="219"/>
      <c r="BHM11" s="219"/>
      <c r="BHN11" s="219"/>
      <c r="BHO11" s="219"/>
      <c r="BHP11" s="219"/>
      <c r="BHQ11" s="219"/>
      <c r="BHR11" s="219"/>
      <c r="BHS11" s="219"/>
      <c r="BHT11" s="219"/>
      <c r="BHU11" s="219"/>
      <c r="BHV11" s="219"/>
      <c r="BHW11" s="219"/>
      <c r="BHX11" s="219"/>
      <c r="BHY11" s="219"/>
      <c r="BHZ11" s="219"/>
      <c r="BIA11" s="219"/>
      <c r="BIB11" s="219"/>
      <c r="BIC11" s="219"/>
      <c r="BID11" s="219"/>
      <c r="BIE11" s="219"/>
      <c r="BIF11" s="219"/>
      <c r="BIG11" s="219"/>
      <c r="BIH11" s="219"/>
      <c r="BII11" s="219"/>
      <c r="BIJ11" s="219"/>
      <c r="BIK11" s="219"/>
      <c r="BIL11" s="219"/>
      <c r="BIM11" s="219"/>
      <c r="BIN11" s="219"/>
      <c r="BIO11" s="219"/>
      <c r="BIP11" s="219"/>
      <c r="BIQ11" s="219"/>
      <c r="BIR11" s="219"/>
      <c r="BIS11" s="219"/>
      <c r="BIT11" s="219"/>
      <c r="BIU11" s="219"/>
      <c r="BIV11" s="219"/>
      <c r="BIW11" s="219"/>
      <c r="BIX11" s="219"/>
      <c r="BIY11" s="219"/>
      <c r="BIZ11" s="219"/>
      <c r="BJA11" s="219"/>
      <c r="BJB11" s="219"/>
      <c r="BJC11" s="219"/>
      <c r="BJD11" s="219"/>
      <c r="BJE11" s="219"/>
      <c r="BJF11" s="219"/>
      <c r="BJG11" s="219"/>
      <c r="BJH11" s="219"/>
      <c r="BJI11" s="219"/>
      <c r="BJJ11" s="219"/>
      <c r="BJK11" s="219"/>
      <c r="BJL11" s="219"/>
      <c r="BJM11" s="219"/>
      <c r="BJN11" s="219"/>
      <c r="BJO11" s="219"/>
      <c r="BJP11" s="219"/>
      <c r="BJQ11" s="219"/>
      <c r="BJR11" s="219"/>
      <c r="BJS11" s="219"/>
      <c r="BJT11" s="219"/>
      <c r="BJU11" s="219"/>
      <c r="BJV11" s="219"/>
      <c r="BJW11" s="219"/>
      <c r="BJX11" s="219"/>
      <c r="BJY11" s="219"/>
      <c r="BJZ11" s="219"/>
      <c r="BKA11" s="219"/>
      <c r="BKB11" s="219"/>
      <c r="BKC11" s="219"/>
      <c r="BKD11" s="219"/>
      <c r="BKE11" s="219"/>
      <c r="BKF11" s="219"/>
      <c r="BKG11" s="219"/>
      <c r="BKH11" s="219"/>
      <c r="BKI11" s="219"/>
      <c r="BKJ11" s="219"/>
      <c r="BKK11" s="219"/>
      <c r="BKL11" s="219"/>
      <c r="BKM11" s="219"/>
      <c r="BKN11" s="219"/>
      <c r="BKO11" s="219"/>
      <c r="BKP11" s="219"/>
      <c r="BKQ11" s="219"/>
      <c r="BKR11" s="219"/>
      <c r="BKS11" s="219"/>
      <c r="BKT11" s="219"/>
      <c r="BKU11" s="219"/>
      <c r="BKV11" s="219"/>
      <c r="BKW11" s="219"/>
      <c r="BKX11" s="219"/>
      <c r="BKY11" s="219"/>
      <c r="BKZ11" s="219"/>
      <c r="BLA11" s="219"/>
      <c r="BLB11" s="219"/>
      <c r="BLC11" s="219"/>
      <c r="BLD11" s="219"/>
      <c r="BLE11" s="219"/>
      <c r="BLF11" s="219"/>
      <c r="BLG11" s="219"/>
      <c r="BLH11" s="219"/>
      <c r="BLI11" s="219"/>
      <c r="BLJ11" s="219"/>
      <c r="BLK11" s="219"/>
      <c r="BLL11" s="219"/>
      <c r="BLM11" s="219"/>
      <c r="BLN11" s="219"/>
      <c r="BLO11" s="219"/>
      <c r="BLP11" s="219"/>
      <c r="BLQ11" s="219"/>
      <c r="BLR11" s="219"/>
      <c r="BLS11" s="219"/>
      <c r="BLT11" s="219"/>
      <c r="BLU11" s="219"/>
      <c r="BLV11" s="219"/>
      <c r="BLW11" s="219"/>
      <c r="BLX11" s="219"/>
      <c r="BLY11" s="219"/>
      <c r="BLZ11" s="219"/>
      <c r="BMA11" s="219"/>
      <c r="BMB11" s="219"/>
      <c r="BMC11" s="219"/>
      <c r="BMD11" s="219"/>
      <c r="BME11" s="219"/>
      <c r="BMF11" s="219"/>
      <c r="BMG11" s="219"/>
      <c r="BMH11" s="219"/>
      <c r="BMI11" s="219"/>
      <c r="BMJ11" s="219"/>
      <c r="BMK11" s="219"/>
      <c r="BML11" s="219"/>
      <c r="BMM11" s="219"/>
      <c r="BMN11" s="219"/>
      <c r="BMO11" s="219"/>
      <c r="BMP11" s="219"/>
      <c r="BMQ11" s="219"/>
      <c r="BMR11" s="219"/>
      <c r="BMS11" s="219"/>
      <c r="BMT11" s="219"/>
      <c r="BMU11" s="219"/>
      <c r="BMV11" s="219"/>
      <c r="BMW11" s="219"/>
      <c r="BMX11" s="219"/>
      <c r="BMY11" s="219"/>
      <c r="BMZ11" s="219"/>
      <c r="BNA11" s="219"/>
      <c r="BNB11" s="219"/>
      <c r="BNC11" s="219"/>
      <c r="BND11" s="219"/>
      <c r="BNE11" s="219"/>
      <c r="BNF11" s="219"/>
      <c r="BNG11" s="219"/>
      <c r="BNH11" s="219"/>
      <c r="BNI11" s="219"/>
      <c r="BNJ11" s="219"/>
      <c r="BNK11" s="219"/>
      <c r="BNL11" s="219"/>
      <c r="BNM11" s="219"/>
      <c r="BNN11" s="219"/>
      <c r="BNO11" s="219"/>
      <c r="BNP11" s="219"/>
      <c r="BNQ11" s="219"/>
      <c r="BNR11" s="219"/>
      <c r="BNS11" s="219"/>
      <c r="BNT11" s="219"/>
      <c r="BNU11" s="219"/>
      <c r="BNV11" s="219"/>
      <c r="BNW11" s="219"/>
      <c r="BNX11" s="219"/>
      <c r="BNY11" s="219"/>
      <c r="BNZ11" s="219"/>
      <c r="BOA11" s="219"/>
      <c r="BOB11" s="219"/>
      <c r="BOC11" s="219"/>
      <c r="BOD11" s="219"/>
      <c r="BOE11" s="219"/>
      <c r="BOF11" s="219"/>
      <c r="BOG11" s="219"/>
      <c r="BOH11" s="219"/>
      <c r="BOI11" s="219"/>
      <c r="BOJ11" s="219"/>
      <c r="BOK11" s="219"/>
      <c r="BOL11" s="219"/>
      <c r="BOM11" s="219"/>
      <c r="BON11" s="219"/>
      <c r="BOO11" s="219"/>
      <c r="BOP11" s="219"/>
      <c r="BOQ11" s="219"/>
      <c r="BOR11" s="219"/>
      <c r="BOS11" s="219"/>
      <c r="BOT11" s="219"/>
      <c r="BOU11" s="219"/>
      <c r="BOV11" s="219"/>
      <c r="BOW11" s="219"/>
      <c r="BOX11" s="219"/>
      <c r="BOY11" s="219"/>
      <c r="BOZ11" s="219"/>
      <c r="BPA11" s="219"/>
      <c r="BPB11" s="219"/>
      <c r="BPC11" s="219"/>
      <c r="BPD11" s="219"/>
      <c r="BPE11" s="219"/>
      <c r="BPF11" s="219"/>
      <c r="BPG11" s="219"/>
      <c r="BPH11" s="219"/>
      <c r="BPI11" s="219"/>
      <c r="BPJ11" s="219"/>
      <c r="BPK11" s="219"/>
      <c r="BPL11" s="219"/>
      <c r="BPM11" s="219"/>
      <c r="BPN11" s="219"/>
      <c r="BPO11" s="219"/>
      <c r="BPP11" s="219"/>
      <c r="BPQ11" s="219"/>
      <c r="BPR11" s="219"/>
      <c r="BPS11" s="219"/>
      <c r="BPT11" s="219"/>
      <c r="BPU11" s="219"/>
      <c r="BPV11" s="219"/>
      <c r="BPW11" s="219"/>
      <c r="BPX11" s="219"/>
      <c r="BPY11" s="219"/>
      <c r="BPZ11" s="219"/>
      <c r="BQA11" s="219"/>
      <c r="BQB11" s="219"/>
      <c r="BQC11" s="219"/>
      <c r="BQD11" s="219"/>
      <c r="BQE11" s="219"/>
      <c r="BQF11" s="219"/>
      <c r="BQG11" s="219"/>
      <c r="BQH11" s="219"/>
      <c r="BQI11" s="219"/>
      <c r="BQJ11" s="219"/>
      <c r="BQK11" s="219"/>
      <c r="BQL11" s="219"/>
      <c r="BQM11" s="219"/>
      <c r="BQN11" s="219"/>
      <c r="BQO11" s="219"/>
      <c r="BQP11" s="219"/>
      <c r="BQQ11" s="219"/>
      <c r="BQR11" s="219"/>
      <c r="BQS11" s="219"/>
      <c r="BQT11" s="219"/>
      <c r="BQU11" s="219"/>
      <c r="BQV11" s="219"/>
      <c r="BQW11" s="219"/>
      <c r="BQX11" s="219"/>
      <c r="BQY11" s="219"/>
      <c r="BQZ11" s="219"/>
      <c r="BRA11" s="219"/>
      <c r="BRB11" s="219"/>
      <c r="BRC11" s="219"/>
      <c r="BRD11" s="219"/>
      <c r="BRE11" s="219"/>
      <c r="BRF11" s="219"/>
      <c r="BRG11" s="219"/>
      <c r="BRH11" s="219"/>
      <c r="BRI11" s="219"/>
      <c r="BRJ11" s="219"/>
      <c r="BRK11" s="219"/>
      <c r="BRL11" s="219"/>
      <c r="BRM11" s="219"/>
      <c r="BRN11" s="219"/>
      <c r="BRO11" s="219"/>
      <c r="BRP11" s="219"/>
      <c r="BRQ11" s="219"/>
      <c r="BRR11" s="219"/>
      <c r="BRS11" s="219"/>
      <c r="BRT11" s="219"/>
      <c r="BRU11" s="219"/>
      <c r="BRV11" s="219"/>
      <c r="BRW11" s="219"/>
      <c r="BRX11" s="219"/>
      <c r="BRY11" s="219"/>
      <c r="BRZ11" s="219"/>
      <c r="BSA11" s="219"/>
      <c r="BSB11" s="219"/>
      <c r="BSC11" s="219"/>
      <c r="BSD11" s="219"/>
      <c r="BSE11" s="219"/>
      <c r="BSF11" s="219"/>
      <c r="BSG11" s="219"/>
      <c r="BSH11" s="219"/>
      <c r="BSI11" s="219"/>
      <c r="BSJ11" s="219"/>
      <c r="BSK11" s="219"/>
      <c r="BSL11" s="219"/>
      <c r="BSM11" s="219"/>
      <c r="BSN11" s="219"/>
      <c r="BSO11" s="219"/>
      <c r="BSP11" s="219"/>
      <c r="BSQ11" s="219"/>
      <c r="BSR11" s="219"/>
      <c r="BSS11" s="219"/>
      <c r="BST11" s="219"/>
      <c r="BSU11" s="219"/>
      <c r="BSV11" s="219"/>
      <c r="BSW11" s="219"/>
      <c r="BSX11" s="219"/>
      <c r="BSY11" s="219"/>
      <c r="BSZ11" s="219"/>
      <c r="BTA11" s="219"/>
      <c r="BTB11" s="219"/>
      <c r="BTC11" s="219"/>
      <c r="BTD11" s="219"/>
      <c r="BTE11" s="219"/>
      <c r="BTF11" s="219"/>
      <c r="BTG11" s="219"/>
      <c r="BTH11" s="219"/>
      <c r="BTI11" s="219"/>
      <c r="BTJ11" s="219"/>
      <c r="BTK11" s="219"/>
      <c r="BTL11" s="219"/>
      <c r="BTM11" s="219"/>
      <c r="BTN11" s="219"/>
      <c r="BTO11" s="219"/>
      <c r="BTP11" s="219"/>
      <c r="BTQ11" s="219"/>
      <c r="BTR11" s="219"/>
      <c r="BTS11" s="219"/>
      <c r="BTT11" s="219"/>
      <c r="BTU11" s="219"/>
      <c r="BTV11" s="219"/>
      <c r="BTW11" s="219"/>
      <c r="BTX11" s="219"/>
      <c r="BTY11" s="219"/>
      <c r="BTZ11" s="219"/>
      <c r="BUA11" s="219"/>
      <c r="BUB11" s="219"/>
      <c r="BUC11" s="219"/>
      <c r="BUD11" s="219"/>
      <c r="BUE11" s="219"/>
      <c r="BUF11" s="219"/>
      <c r="BUG11" s="219"/>
      <c r="BUH11" s="219"/>
      <c r="BUI11" s="219"/>
      <c r="BUJ11" s="219"/>
      <c r="BUK11" s="219"/>
      <c r="BUL11" s="219"/>
      <c r="BUM11" s="219"/>
      <c r="BUN11" s="219"/>
      <c r="BUO11" s="219"/>
      <c r="BUP11" s="219"/>
      <c r="BUQ11" s="219"/>
      <c r="BUR11" s="219"/>
      <c r="BUS11" s="219"/>
      <c r="BUT11" s="219"/>
      <c r="BUU11" s="219"/>
      <c r="BUV11" s="219"/>
      <c r="BUW11" s="219"/>
      <c r="BUX11" s="219"/>
      <c r="BUY11" s="219"/>
      <c r="BUZ11" s="219"/>
      <c r="BVA11" s="219"/>
      <c r="BVB11" s="219"/>
      <c r="BVC11" s="219"/>
      <c r="BVD11" s="219"/>
      <c r="BVE11" s="219"/>
      <c r="BVF11" s="219"/>
      <c r="BVG11" s="219"/>
      <c r="BVH11" s="219"/>
      <c r="BVI11" s="219"/>
      <c r="BVJ11" s="219"/>
      <c r="BVK11" s="219"/>
      <c r="BVL11" s="219"/>
      <c r="BVM11" s="219"/>
      <c r="BVN11" s="219"/>
      <c r="BVO11" s="219"/>
      <c r="BVP11" s="219"/>
      <c r="BVQ11" s="219"/>
      <c r="BVR11" s="219"/>
      <c r="BVS11" s="219"/>
      <c r="BVT11" s="219"/>
      <c r="BVU11" s="219"/>
      <c r="BVV11" s="219"/>
      <c r="BVW11" s="219"/>
      <c r="BVX11" s="219"/>
      <c r="BVY11" s="219"/>
      <c r="BVZ11" s="219"/>
      <c r="BWA11" s="219"/>
      <c r="BWB11" s="219"/>
      <c r="BWC11" s="219"/>
      <c r="BWD11" s="219"/>
      <c r="BWE11" s="219"/>
      <c r="BWF11" s="219"/>
      <c r="BWG11" s="219"/>
      <c r="BWH11" s="219"/>
      <c r="BWI11" s="219"/>
      <c r="BWJ11" s="219"/>
      <c r="BWK11" s="219"/>
      <c r="BWL11" s="219"/>
      <c r="BWM11" s="219"/>
      <c r="BWN11" s="219"/>
      <c r="BWO11" s="219"/>
      <c r="BWP11" s="219"/>
      <c r="BWQ11" s="219"/>
      <c r="BWR11" s="219"/>
      <c r="BWS11" s="219"/>
      <c r="BWT11" s="219"/>
      <c r="BWU11" s="219"/>
      <c r="BWV11" s="219"/>
      <c r="BWW11" s="219"/>
      <c r="BWX11" s="219"/>
      <c r="BWY11" s="219"/>
      <c r="BWZ11" s="219"/>
      <c r="BXA11" s="219"/>
      <c r="BXB11" s="219"/>
      <c r="BXC11" s="219"/>
      <c r="BXD11" s="219"/>
      <c r="BXE11" s="219"/>
      <c r="BXF11" s="219"/>
      <c r="BXG11" s="219"/>
      <c r="BXH11" s="219"/>
      <c r="BXI11" s="219"/>
      <c r="BXJ11" s="219"/>
      <c r="BXK11" s="219"/>
      <c r="BXL11" s="219"/>
      <c r="BXM11" s="219"/>
      <c r="BXN11" s="219"/>
      <c r="BXO11" s="219"/>
      <c r="BXP11" s="219"/>
      <c r="BXQ11" s="219"/>
      <c r="BXR11" s="219"/>
      <c r="BXS11" s="219"/>
      <c r="BXT11" s="219"/>
      <c r="BXU11" s="219"/>
      <c r="BXV11" s="219"/>
      <c r="BXW11" s="219"/>
      <c r="BXX11" s="219"/>
      <c r="BXY11" s="219"/>
      <c r="BXZ11" s="219"/>
      <c r="BYA11" s="219"/>
      <c r="BYB11" s="219"/>
      <c r="BYC11" s="219"/>
      <c r="BYD11" s="219"/>
      <c r="BYE11" s="219"/>
      <c r="BYF11" s="219"/>
      <c r="BYG11" s="219"/>
      <c r="BYH11" s="219"/>
      <c r="BYI11" s="219"/>
      <c r="BYJ11" s="219"/>
      <c r="BYK11" s="219"/>
      <c r="BYL11" s="219"/>
      <c r="BYM11" s="219"/>
      <c r="BYN11" s="219"/>
      <c r="BYO11" s="219"/>
      <c r="BYP11" s="219"/>
      <c r="BYQ11" s="219"/>
      <c r="BYR11" s="219"/>
      <c r="BYS11" s="219"/>
      <c r="BYT11" s="219"/>
      <c r="BYU11" s="219"/>
      <c r="BYV11" s="219"/>
      <c r="BYW11" s="219"/>
      <c r="BYX11" s="219"/>
      <c r="BYY11" s="219"/>
      <c r="BYZ11" s="219"/>
      <c r="BZA11" s="219"/>
      <c r="BZB11" s="219"/>
      <c r="BZC11" s="219"/>
      <c r="BZD11" s="219"/>
      <c r="BZE11" s="219"/>
      <c r="BZF11" s="219"/>
      <c r="BZG11" s="219"/>
      <c r="BZH11" s="219"/>
      <c r="BZI11" s="219"/>
      <c r="BZJ11" s="219"/>
      <c r="BZK11" s="219"/>
      <c r="BZL11" s="219"/>
      <c r="BZM11" s="219"/>
      <c r="BZN11" s="219"/>
      <c r="BZO11" s="219"/>
      <c r="BZP11" s="219"/>
      <c r="BZQ11" s="219"/>
      <c r="BZR11" s="219"/>
      <c r="BZS11" s="219"/>
      <c r="BZT11" s="219"/>
      <c r="BZU11" s="219"/>
      <c r="BZV11" s="219"/>
      <c r="BZW11" s="219"/>
      <c r="BZX11" s="219"/>
      <c r="BZY11" s="219"/>
      <c r="BZZ11" s="219"/>
      <c r="CAA11" s="219"/>
      <c r="CAB11" s="219"/>
      <c r="CAC11" s="219"/>
      <c r="CAD11" s="219"/>
      <c r="CAE11" s="219"/>
      <c r="CAF11" s="219"/>
      <c r="CAG11" s="219"/>
      <c r="CAH11" s="219"/>
      <c r="CAI11" s="219"/>
      <c r="CAJ11" s="219"/>
      <c r="CAK11" s="219"/>
      <c r="CAL11" s="219"/>
      <c r="CAM11" s="219"/>
      <c r="CAN11" s="219"/>
      <c r="CAO11" s="219"/>
      <c r="CAP11" s="219"/>
      <c r="CAQ11" s="219"/>
      <c r="CAR11" s="219"/>
      <c r="CAS11" s="219"/>
      <c r="CAT11" s="219"/>
      <c r="CAU11" s="219"/>
      <c r="CAV11" s="219"/>
      <c r="CAW11" s="219"/>
      <c r="CAX11" s="219"/>
      <c r="CAY11" s="219"/>
      <c r="CAZ11" s="219"/>
      <c r="CBA11" s="219"/>
      <c r="CBB11" s="219"/>
      <c r="CBC11" s="219"/>
      <c r="CBD11" s="219"/>
      <c r="CBE11" s="219"/>
      <c r="CBF11" s="219"/>
      <c r="CBG11" s="219"/>
      <c r="CBH11" s="219"/>
      <c r="CBI11" s="219"/>
      <c r="CBJ11" s="219"/>
      <c r="CBK11" s="219"/>
      <c r="CBL11" s="219"/>
      <c r="CBM11" s="219"/>
      <c r="CBN11" s="219"/>
      <c r="CBO11" s="219"/>
      <c r="CBP11" s="219"/>
      <c r="CBQ11" s="219"/>
      <c r="CBR11" s="219"/>
      <c r="CBS11" s="219"/>
      <c r="CBT11" s="219"/>
      <c r="CBU11" s="219"/>
      <c r="CBV11" s="219"/>
      <c r="CBW11" s="219"/>
      <c r="CBX11" s="219"/>
      <c r="CBY11" s="219"/>
      <c r="CBZ11" s="219"/>
      <c r="CCA11" s="219"/>
      <c r="CCB11" s="219"/>
      <c r="CCC11" s="219"/>
      <c r="CCD11" s="219"/>
      <c r="CCE11" s="219"/>
      <c r="CCF11" s="219"/>
      <c r="CCG11" s="219"/>
      <c r="CCH11" s="219"/>
      <c r="CCI11" s="219"/>
      <c r="CCJ11" s="219"/>
      <c r="CCK11" s="219"/>
      <c r="CCL11" s="219"/>
      <c r="CCM11" s="219"/>
      <c r="CCN11" s="219"/>
      <c r="CCO11" s="219"/>
      <c r="CCP11" s="219"/>
      <c r="CCQ11" s="219"/>
      <c r="CCR11" s="219"/>
      <c r="CCS11" s="219"/>
      <c r="CCT11" s="219"/>
      <c r="CCU11" s="219"/>
      <c r="CCV11" s="219"/>
      <c r="CCW11" s="219"/>
      <c r="VEX11" s="195"/>
      <c r="VST11" s="194"/>
      <c r="VTB11" s="194"/>
    </row>
    <row r="12" spans="1:2129 15008:15070 15386:15394" s="193" customFormat="1" ht="16.149999999999999" customHeight="1" x14ac:dyDescent="0.25">
      <c r="A12" s="236" t="s">
        <v>55</v>
      </c>
      <c r="B12" s="236">
        <v>2</v>
      </c>
      <c r="C12" s="236"/>
      <c r="D12" s="236"/>
      <c r="E12" s="236"/>
      <c r="F12" s="236"/>
      <c r="G12" s="237" t="s">
        <v>192</v>
      </c>
      <c r="H12" s="238" t="s">
        <v>190</v>
      </c>
      <c r="I12" s="238"/>
      <c r="J12" s="239"/>
      <c r="K12" s="240"/>
      <c r="L12" s="240"/>
      <c r="M12" s="241"/>
      <c r="N12" s="240">
        <v>42996</v>
      </c>
      <c r="O12" s="240">
        <v>43007</v>
      </c>
      <c r="P12" s="241">
        <v>11</v>
      </c>
      <c r="Q12" s="242">
        <v>0.8</v>
      </c>
      <c r="R12" s="240"/>
      <c r="S12" s="240"/>
      <c r="T12" s="241"/>
      <c r="U12" s="243"/>
      <c r="V12" s="243"/>
      <c r="W12" s="243"/>
      <c r="X12" s="244"/>
      <c r="Y12" s="245"/>
      <c r="Z12" s="245"/>
      <c r="AA12" s="246"/>
      <c r="AB12" s="245"/>
      <c r="AC12" s="267"/>
      <c r="AD12" s="267"/>
      <c r="AE12" s="267"/>
      <c r="AF12" s="267"/>
      <c r="AG12" s="267"/>
      <c r="AH12" s="267"/>
      <c r="AI12" s="267"/>
      <c r="AJ12" s="267"/>
      <c r="AK12" s="267"/>
      <c r="AL12" s="267"/>
      <c r="AM12" s="267"/>
      <c r="AN12" s="247"/>
      <c r="AO12" s="247"/>
      <c r="AP12" s="247"/>
      <c r="AQ12" s="247"/>
      <c r="AR12" s="247"/>
      <c r="AS12" s="247"/>
      <c r="AT12" s="247"/>
      <c r="AU12" s="247"/>
      <c r="AV12" s="247"/>
      <c r="AW12" s="247"/>
      <c r="AX12" s="247"/>
      <c r="AY12" s="247"/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47"/>
      <c r="BO12" s="247"/>
      <c r="BP12" s="247"/>
      <c r="BQ12" s="247"/>
      <c r="BR12" s="247"/>
      <c r="BS12" s="247"/>
      <c r="BT12" s="247"/>
      <c r="BU12" s="247"/>
      <c r="BV12" s="247"/>
      <c r="BW12" s="247"/>
      <c r="BX12" s="247"/>
      <c r="BY12" s="247"/>
      <c r="BZ12" s="247"/>
      <c r="CA12" s="247"/>
      <c r="CB12" s="247"/>
      <c r="CC12" s="247"/>
      <c r="CD12" s="247"/>
      <c r="CE12" s="247"/>
      <c r="CF12" s="247"/>
      <c r="CG12" s="248"/>
      <c r="CH12" s="248"/>
      <c r="CI12" s="248"/>
      <c r="CJ12" s="248"/>
      <c r="CK12" s="248"/>
      <c r="CL12" s="248"/>
      <c r="CM12" s="248"/>
      <c r="CN12" s="248"/>
      <c r="CO12" s="248"/>
      <c r="CP12" s="248"/>
      <c r="CQ12" s="248"/>
      <c r="CR12" s="248"/>
      <c r="CS12" s="248"/>
      <c r="CT12" s="248"/>
      <c r="CU12" s="248"/>
      <c r="CV12" s="248"/>
      <c r="CW12" s="248"/>
      <c r="CX12" s="248"/>
      <c r="CY12" s="248"/>
      <c r="CZ12" s="248"/>
      <c r="DA12" s="248"/>
      <c r="DB12" s="248"/>
      <c r="DC12" s="248"/>
      <c r="DD12" s="248"/>
      <c r="DE12" s="248"/>
      <c r="DF12" s="248"/>
      <c r="DG12" s="248"/>
      <c r="DH12" s="248"/>
      <c r="DI12" s="248"/>
      <c r="DJ12" s="248"/>
      <c r="DK12" s="248"/>
      <c r="DL12" s="248"/>
      <c r="DM12" s="248"/>
      <c r="DN12" s="248"/>
      <c r="DO12" s="248"/>
      <c r="DP12" s="248"/>
      <c r="DQ12" s="248"/>
      <c r="DR12" s="248"/>
      <c r="DS12" s="248"/>
      <c r="DT12" s="248"/>
      <c r="DU12" s="248"/>
      <c r="DV12" s="248"/>
      <c r="DW12" s="248"/>
      <c r="DX12" s="248"/>
      <c r="DY12" s="248"/>
      <c r="DZ12" s="248"/>
      <c r="EA12" s="248"/>
      <c r="EB12" s="248"/>
      <c r="EC12" s="248"/>
      <c r="ED12" s="248"/>
      <c r="EE12" s="248"/>
      <c r="EF12" s="248"/>
      <c r="EG12" s="248"/>
      <c r="EH12" s="248"/>
      <c r="EI12" s="248"/>
      <c r="EJ12" s="248"/>
      <c r="EK12" s="248"/>
      <c r="EL12" s="248"/>
      <c r="EM12" s="248"/>
      <c r="EN12" s="248"/>
      <c r="EO12" s="248"/>
      <c r="EP12" s="248"/>
      <c r="EQ12" s="248"/>
      <c r="ER12" s="248"/>
      <c r="ES12" s="248"/>
      <c r="ET12" s="248"/>
      <c r="EU12" s="248"/>
      <c r="EV12" s="248"/>
      <c r="EW12" s="248"/>
      <c r="EX12" s="248"/>
      <c r="EY12" s="248"/>
      <c r="EZ12" s="248"/>
      <c r="FA12" s="248"/>
      <c r="FB12" s="248"/>
      <c r="FC12" s="248"/>
      <c r="FD12" s="248"/>
      <c r="FE12" s="248"/>
      <c r="FF12" s="248"/>
      <c r="FG12" s="248"/>
      <c r="FH12" s="248"/>
      <c r="FI12" s="248"/>
      <c r="FJ12" s="248"/>
      <c r="FK12" s="248"/>
      <c r="FL12" s="248"/>
      <c r="FM12" s="248"/>
      <c r="FN12" s="248"/>
      <c r="FO12" s="248"/>
      <c r="FP12" s="248"/>
      <c r="FQ12" s="248"/>
      <c r="FR12" s="248"/>
      <c r="FS12" s="248"/>
      <c r="FT12" s="248"/>
      <c r="FU12" s="248"/>
      <c r="FV12" s="248"/>
      <c r="FW12" s="248"/>
      <c r="FX12" s="248"/>
      <c r="FY12" s="248"/>
      <c r="FZ12" s="248"/>
      <c r="GA12" s="248"/>
      <c r="GB12" s="248"/>
      <c r="GC12" s="248"/>
      <c r="GD12" s="248"/>
      <c r="GE12" s="248"/>
      <c r="GF12" s="248"/>
      <c r="GG12" s="248"/>
      <c r="GH12" s="248"/>
      <c r="GI12" s="248"/>
      <c r="GJ12" s="248"/>
      <c r="GK12" s="248"/>
      <c r="GL12" s="248"/>
      <c r="GM12" s="248"/>
      <c r="GN12" s="248"/>
      <c r="GO12" s="248"/>
      <c r="GP12" s="248"/>
      <c r="GQ12" s="248"/>
      <c r="GR12" s="248"/>
      <c r="GS12" s="248"/>
      <c r="GT12" s="248"/>
      <c r="GU12" s="248"/>
      <c r="GV12" s="248"/>
      <c r="GW12" s="248"/>
      <c r="GX12" s="248"/>
      <c r="GY12" s="248"/>
      <c r="GZ12" s="248"/>
      <c r="HA12" s="248"/>
      <c r="HB12" s="248"/>
      <c r="HC12" s="248"/>
      <c r="HD12" s="248"/>
      <c r="HE12" s="248"/>
      <c r="HF12" s="248"/>
      <c r="HG12" s="248"/>
      <c r="HH12" s="248"/>
      <c r="HI12" s="248"/>
      <c r="HJ12" s="248"/>
      <c r="HK12" s="248"/>
      <c r="HL12" s="248"/>
      <c r="HM12" s="248"/>
      <c r="HN12" s="248"/>
      <c r="HO12" s="248"/>
      <c r="HP12" s="248"/>
      <c r="HQ12" s="248"/>
      <c r="HR12" s="248"/>
      <c r="HS12" s="248"/>
      <c r="HT12" s="248"/>
      <c r="HU12" s="248"/>
      <c r="HV12" s="248"/>
      <c r="HW12" s="248"/>
      <c r="HX12" s="248"/>
      <c r="HY12" s="248"/>
      <c r="HZ12" s="248"/>
      <c r="IA12" s="248"/>
      <c r="IB12" s="248"/>
      <c r="IC12" s="248"/>
      <c r="ID12" s="248"/>
      <c r="IE12" s="248"/>
      <c r="IF12" s="248"/>
      <c r="IG12" s="248"/>
      <c r="IH12" s="248"/>
      <c r="II12" s="248"/>
      <c r="IJ12" s="248"/>
      <c r="IK12" s="248"/>
      <c r="IL12" s="248"/>
      <c r="IM12" s="248"/>
      <c r="IN12" s="248"/>
      <c r="IO12" s="248"/>
      <c r="IP12" s="248"/>
      <c r="IQ12" s="248"/>
      <c r="IR12" s="248"/>
      <c r="IS12" s="248"/>
      <c r="IT12" s="248"/>
      <c r="IU12" s="248"/>
      <c r="IV12" s="248"/>
      <c r="IW12" s="248"/>
      <c r="IX12" s="248"/>
      <c r="IY12" s="248"/>
      <c r="IZ12" s="248"/>
      <c r="JA12" s="248"/>
      <c r="JB12" s="248"/>
      <c r="JC12" s="248"/>
      <c r="JD12" s="248"/>
      <c r="JE12" s="248"/>
      <c r="JF12" s="248"/>
      <c r="JG12" s="248"/>
      <c r="JH12" s="248"/>
      <c r="JI12" s="248"/>
      <c r="JJ12" s="248"/>
      <c r="JK12" s="248"/>
      <c r="JL12" s="248"/>
      <c r="JM12" s="248"/>
      <c r="JN12" s="248"/>
      <c r="JO12" s="248"/>
      <c r="JP12" s="248"/>
      <c r="JQ12" s="248"/>
      <c r="JR12" s="248"/>
      <c r="JS12" s="248"/>
      <c r="JT12" s="248"/>
      <c r="JU12" s="248"/>
      <c r="JV12" s="248"/>
      <c r="JW12" s="248"/>
      <c r="JX12" s="248"/>
      <c r="JY12" s="248"/>
      <c r="JZ12" s="248"/>
      <c r="KA12" s="248"/>
      <c r="KB12" s="248"/>
      <c r="KC12" s="248"/>
      <c r="KD12" s="248"/>
      <c r="KE12" s="248"/>
      <c r="KF12" s="248"/>
      <c r="KG12" s="248"/>
      <c r="KH12" s="248"/>
      <c r="KI12" s="248"/>
      <c r="KJ12" s="248"/>
      <c r="KK12" s="248"/>
      <c r="KL12" s="248"/>
      <c r="KM12" s="248"/>
      <c r="KN12" s="248"/>
      <c r="KO12" s="248"/>
      <c r="KP12" s="248"/>
      <c r="KQ12" s="248"/>
      <c r="KR12" s="248"/>
      <c r="KS12" s="248"/>
      <c r="KT12" s="248"/>
      <c r="KU12" s="248"/>
      <c r="KV12" s="248"/>
      <c r="KW12" s="248"/>
      <c r="KX12" s="248"/>
      <c r="KY12" s="248"/>
      <c r="KZ12" s="248"/>
      <c r="LA12" s="248"/>
      <c r="LB12" s="248"/>
      <c r="LC12" s="248"/>
      <c r="LD12" s="248"/>
      <c r="LE12" s="248"/>
      <c r="LF12" s="248"/>
      <c r="LG12" s="248"/>
      <c r="LH12" s="248"/>
      <c r="LI12" s="248"/>
      <c r="LJ12" s="248"/>
      <c r="LK12" s="248"/>
      <c r="LL12" s="248"/>
      <c r="LM12" s="248"/>
      <c r="LN12" s="248"/>
      <c r="LO12" s="248"/>
      <c r="LP12" s="248"/>
      <c r="LQ12" s="248"/>
      <c r="LR12" s="248"/>
      <c r="LS12" s="248"/>
      <c r="LT12" s="248"/>
      <c r="LU12" s="248"/>
      <c r="LV12" s="248"/>
      <c r="LW12" s="248"/>
      <c r="LX12" s="248"/>
      <c r="LY12" s="248"/>
      <c r="LZ12" s="248"/>
      <c r="MA12" s="248"/>
      <c r="MB12" s="248"/>
      <c r="MC12" s="248"/>
      <c r="MD12" s="248"/>
      <c r="ME12" s="248"/>
      <c r="MF12" s="248"/>
      <c r="MG12" s="248"/>
      <c r="MH12" s="248"/>
      <c r="MI12" s="248"/>
      <c r="MJ12" s="248"/>
      <c r="MK12" s="248"/>
      <c r="ML12" s="248"/>
      <c r="MM12" s="248"/>
      <c r="MN12" s="248"/>
      <c r="MO12" s="248"/>
      <c r="MP12" s="248"/>
      <c r="MQ12" s="248"/>
      <c r="MR12" s="248"/>
      <c r="MS12" s="248"/>
      <c r="MT12" s="248"/>
      <c r="MU12" s="248"/>
      <c r="MV12" s="249"/>
      <c r="MW12" s="248"/>
      <c r="MX12" s="248"/>
      <c r="MY12" s="248"/>
      <c r="MZ12" s="248"/>
      <c r="NA12" s="248"/>
      <c r="NB12" s="248"/>
      <c r="NC12" s="248"/>
      <c r="ND12" s="248"/>
      <c r="NE12" s="248"/>
      <c r="NF12" s="248"/>
      <c r="NG12" s="248"/>
      <c r="NH12" s="248"/>
      <c r="NI12" s="248"/>
      <c r="NJ12" s="248"/>
      <c r="NK12" s="248"/>
      <c r="NL12" s="248"/>
      <c r="NM12" s="248"/>
      <c r="NN12" s="248"/>
      <c r="NO12" s="248"/>
      <c r="NP12" s="248"/>
      <c r="NQ12" s="248"/>
      <c r="NR12" s="248"/>
      <c r="NS12" s="248"/>
      <c r="NT12" s="248"/>
      <c r="NU12" s="248"/>
      <c r="NV12" s="248"/>
      <c r="NW12" s="248"/>
      <c r="NX12" s="248"/>
      <c r="NY12" s="248"/>
      <c r="NZ12" s="248"/>
      <c r="OA12" s="248"/>
      <c r="OB12" s="248"/>
      <c r="OC12" s="248"/>
      <c r="OD12" s="248"/>
      <c r="OE12" s="248"/>
      <c r="OF12" s="248"/>
      <c r="OG12" s="248"/>
      <c r="OH12" s="248"/>
      <c r="OI12" s="248"/>
      <c r="OJ12" s="248"/>
      <c r="OK12" s="248"/>
      <c r="OL12" s="248"/>
      <c r="OM12" s="248"/>
      <c r="ON12" s="248"/>
      <c r="OO12" s="248"/>
      <c r="OP12" s="248"/>
      <c r="OQ12" s="248"/>
      <c r="OR12" s="248"/>
      <c r="OS12" s="248"/>
      <c r="OT12" s="248"/>
      <c r="OU12" s="248"/>
      <c r="OV12" s="248"/>
      <c r="OW12" s="248"/>
      <c r="OX12" s="248"/>
      <c r="OY12" s="248"/>
      <c r="OZ12" s="248"/>
      <c r="PA12" s="248"/>
      <c r="PB12" s="248"/>
      <c r="PC12" s="248"/>
      <c r="PD12" s="248"/>
      <c r="PE12" s="248"/>
      <c r="PF12" s="248"/>
      <c r="PG12" s="248"/>
      <c r="PH12" s="248"/>
      <c r="PI12" s="248"/>
      <c r="PJ12" s="248"/>
      <c r="PK12" s="248"/>
      <c r="PL12" s="248"/>
      <c r="PM12" s="248"/>
      <c r="PN12" s="248"/>
      <c r="PO12" s="248"/>
      <c r="PP12" s="248"/>
      <c r="PQ12" s="248"/>
      <c r="PR12" s="248"/>
      <c r="PS12" s="248"/>
      <c r="PT12" s="248"/>
      <c r="PU12" s="248"/>
      <c r="PV12" s="248"/>
      <c r="PW12" s="248"/>
      <c r="PX12" s="248"/>
      <c r="PY12" s="248"/>
      <c r="PZ12" s="248"/>
      <c r="QA12" s="248"/>
      <c r="QB12" s="248"/>
      <c r="QC12" s="248"/>
      <c r="QD12" s="248"/>
      <c r="QE12" s="248"/>
      <c r="QF12" s="248"/>
      <c r="QG12" s="248"/>
      <c r="QH12" s="248"/>
      <c r="QI12" s="248"/>
      <c r="QJ12" s="248"/>
      <c r="QK12" s="248"/>
      <c r="QL12" s="248"/>
      <c r="QM12" s="248"/>
      <c r="QN12" s="248"/>
      <c r="QO12" s="248"/>
      <c r="QP12" s="248"/>
      <c r="QQ12" s="248"/>
      <c r="QR12" s="248"/>
      <c r="QS12" s="248"/>
      <c r="QT12" s="248"/>
      <c r="QU12" s="248"/>
      <c r="QV12" s="248"/>
      <c r="QW12" s="248"/>
      <c r="QX12" s="248"/>
      <c r="QY12" s="248"/>
      <c r="QZ12" s="248"/>
      <c r="RA12" s="248"/>
      <c r="RB12" s="248"/>
      <c r="RC12" s="248"/>
      <c r="RD12" s="248"/>
      <c r="RE12" s="248"/>
      <c r="RF12" s="248"/>
      <c r="RG12" s="248"/>
      <c r="RH12" s="248"/>
      <c r="RI12" s="248"/>
      <c r="RJ12" s="248"/>
      <c r="RK12" s="248"/>
      <c r="RL12" s="248"/>
      <c r="RM12" s="248"/>
      <c r="RN12" s="248"/>
      <c r="RO12" s="248"/>
      <c r="RP12" s="248"/>
      <c r="RQ12" s="248"/>
      <c r="RR12" s="248"/>
      <c r="RS12" s="248"/>
      <c r="RT12" s="248"/>
      <c r="RU12" s="248"/>
      <c r="RV12" s="248"/>
      <c r="RW12" s="248"/>
      <c r="RX12" s="248"/>
      <c r="RY12" s="248"/>
      <c r="RZ12" s="248"/>
      <c r="SA12" s="248"/>
      <c r="SB12" s="248"/>
      <c r="SC12" s="248"/>
      <c r="SD12" s="248"/>
      <c r="SE12" s="248"/>
      <c r="SF12" s="248"/>
      <c r="SG12" s="248"/>
      <c r="SH12" s="248"/>
      <c r="SI12" s="248"/>
      <c r="SJ12" s="248"/>
      <c r="SK12" s="248"/>
      <c r="SL12" s="248"/>
      <c r="SM12" s="248"/>
      <c r="SN12" s="248"/>
      <c r="SO12" s="248"/>
      <c r="SP12" s="248"/>
      <c r="SQ12" s="248"/>
      <c r="SR12" s="248"/>
      <c r="SS12" s="248"/>
      <c r="ST12" s="248"/>
      <c r="SU12" s="248"/>
      <c r="SV12" s="248"/>
      <c r="SW12" s="248"/>
      <c r="SX12" s="248"/>
      <c r="SY12" s="248"/>
      <c r="SZ12" s="248"/>
      <c r="TA12" s="248"/>
      <c r="TB12" s="248"/>
      <c r="TC12" s="248"/>
      <c r="TD12" s="248"/>
      <c r="TE12" s="248"/>
      <c r="TF12" s="248"/>
      <c r="TG12" s="248"/>
      <c r="TH12" s="248"/>
      <c r="TI12" s="248"/>
      <c r="TJ12" s="248"/>
      <c r="TK12" s="248"/>
      <c r="TL12" s="248"/>
      <c r="TM12" s="248"/>
      <c r="TN12" s="248"/>
      <c r="TO12" s="248"/>
      <c r="TP12" s="248"/>
      <c r="TQ12" s="248"/>
      <c r="TR12" s="248"/>
      <c r="TS12" s="248"/>
      <c r="TT12" s="248"/>
      <c r="TU12" s="248"/>
      <c r="TV12" s="248"/>
      <c r="TW12" s="248"/>
      <c r="TX12" s="248"/>
      <c r="TY12" s="248"/>
      <c r="TZ12" s="248"/>
      <c r="UA12" s="248"/>
      <c r="UB12" s="248"/>
      <c r="UC12" s="248"/>
      <c r="UD12" s="248"/>
      <c r="UE12" s="248"/>
      <c r="UF12" s="248"/>
      <c r="UG12" s="248"/>
      <c r="UH12" s="248"/>
      <c r="UI12" s="248"/>
      <c r="UJ12" s="248"/>
      <c r="UK12" s="248"/>
      <c r="UL12" s="248"/>
      <c r="UM12" s="248"/>
      <c r="UN12" s="248"/>
      <c r="UO12" s="248"/>
      <c r="UP12" s="248"/>
      <c r="UQ12" s="248"/>
      <c r="UR12" s="248"/>
      <c r="US12" s="248"/>
      <c r="UT12" s="248"/>
      <c r="UU12" s="248"/>
      <c r="UV12" s="248"/>
      <c r="UW12" s="248"/>
      <c r="UX12" s="248"/>
      <c r="UY12" s="248"/>
      <c r="UZ12" s="248"/>
      <c r="VA12" s="248"/>
      <c r="VB12" s="248"/>
      <c r="VC12" s="248"/>
      <c r="VD12" s="248"/>
      <c r="VE12" s="248"/>
      <c r="VF12" s="248"/>
      <c r="VG12" s="248"/>
      <c r="VH12" s="248"/>
      <c r="VI12" s="248"/>
      <c r="VJ12" s="248"/>
      <c r="VK12" s="248"/>
      <c r="VL12" s="248"/>
      <c r="VM12" s="248"/>
      <c r="VN12" s="248"/>
      <c r="VO12" s="248"/>
      <c r="VP12" s="248"/>
      <c r="VQ12" s="248"/>
      <c r="VR12" s="248"/>
      <c r="VS12" s="248"/>
      <c r="VT12" s="248"/>
      <c r="VU12" s="248"/>
      <c r="VV12" s="248"/>
      <c r="VW12" s="248"/>
      <c r="VX12" s="248"/>
      <c r="VY12" s="248"/>
      <c r="VZ12" s="248"/>
      <c r="WA12" s="248"/>
      <c r="WB12" s="248"/>
      <c r="WC12" s="248"/>
      <c r="WD12" s="248"/>
      <c r="WE12" s="248"/>
      <c r="WF12" s="248"/>
      <c r="WG12" s="248"/>
      <c r="WH12" s="248"/>
      <c r="WI12" s="248"/>
      <c r="WJ12" s="248"/>
      <c r="WK12" s="248"/>
      <c r="WL12" s="248"/>
      <c r="WM12" s="248"/>
      <c r="WN12" s="248"/>
      <c r="WO12" s="248"/>
      <c r="WP12" s="248"/>
      <c r="WQ12" s="248"/>
      <c r="WR12" s="248"/>
      <c r="WS12" s="248"/>
      <c r="WT12" s="248"/>
      <c r="WU12" s="248"/>
      <c r="WV12" s="248"/>
      <c r="WW12" s="248"/>
      <c r="WX12" s="248"/>
      <c r="WY12" s="248"/>
      <c r="WZ12" s="248"/>
      <c r="XA12" s="248"/>
      <c r="XB12" s="248"/>
      <c r="XC12" s="248"/>
      <c r="XD12" s="248"/>
      <c r="XE12" s="248"/>
      <c r="XF12" s="248"/>
      <c r="XG12" s="248"/>
      <c r="XH12" s="248"/>
      <c r="XI12" s="248"/>
      <c r="XJ12" s="248"/>
      <c r="XK12" s="248"/>
      <c r="XL12" s="248"/>
      <c r="XM12" s="248"/>
      <c r="XN12" s="248"/>
      <c r="XO12" s="248"/>
      <c r="XP12" s="248"/>
      <c r="XQ12" s="248"/>
      <c r="XR12" s="248"/>
      <c r="XS12" s="248"/>
      <c r="XT12" s="248"/>
      <c r="XU12" s="248"/>
      <c r="XV12" s="248"/>
      <c r="XW12" s="248"/>
      <c r="XX12" s="248"/>
      <c r="XY12" s="248"/>
      <c r="XZ12" s="248"/>
      <c r="YA12" s="248"/>
      <c r="YB12" s="248"/>
      <c r="YC12" s="248"/>
      <c r="YD12" s="248"/>
      <c r="YE12" s="248"/>
      <c r="YF12" s="248"/>
      <c r="YG12" s="248"/>
      <c r="YH12" s="248"/>
      <c r="YI12" s="248"/>
      <c r="YJ12" s="248"/>
      <c r="YK12" s="248"/>
      <c r="YL12" s="248"/>
      <c r="YM12" s="248"/>
      <c r="YN12" s="248"/>
      <c r="YO12" s="248"/>
      <c r="YP12" s="248"/>
      <c r="YQ12" s="248"/>
      <c r="YR12" s="248"/>
      <c r="YS12" s="248"/>
      <c r="YT12" s="248"/>
      <c r="YU12" s="248"/>
      <c r="YV12" s="248"/>
      <c r="YW12" s="248"/>
      <c r="YX12" s="248"/>
      <c r="YY12" s="248"/>
      <c r="YZ12" s="248"/>
      <c r="ZA12" s="248"/>
      <c r="ZB12" s="248"/>
      <c r="ZC12" s="248"/>
      <c r="ZD12" s="248"/>
      <c r="ZE12" s="248"/>
      <c r="ZF12" s="248"/>
      <c r="ZG12" s="248"/>
      <c r="ZH12" s="248"/>
      <c r="ZI12" s="248"/>
      <c r="ZJ12" s="248"/>
      <c r="ZK12" s="248"/>
      <c r="ZL12" s="248"/>
      <c r="ZM12" s="248"/>
      <c r="ZN12" s="248"/>
      <c r="ZO12" s="248"/>
      <c r="ZP12" s="248"/>
      <c r="ZQ12" s="248"/>
      <c r="ZR12" s="248"/>
      <c r="ZS12" s="248"/>
      <c r="ZT12" s="248"/>
      <c r="ZU12" s="248"/>
      <c r="ZV12" s="248"/>
      <c r="ZW12" s="248"/>
      <c r="ZX12" s="248"/>
      <c r="ZY12" s="248"/>
      <c r="ZZ12" s="248"/>
      <c r="AAA12" s="248"/>
      <c r="AAB12" s="248"/>
      <c r="AAC12" s="248"/>
      <c r="AAD12" s="248"/>
      <c r="AAE12" s="248"/>
      <c r="AAF12" s="248"/>
      <c r="AAG12" s="248"/>
      <c r="AAH12" s="248"/>
      <c r="AAI12" s="248"/>
      <c r="AAJ12" s="248"/>
      <c r="AAK12" s="248"/>
      <c r="AAL12" s="248"/>
      <c r="AAM12" s="248"/>
      <c r="AAN12" s="248"/>
      <c r="AAO12" s="248"/>
      <c r="AAP12" s="248"/>
      <c r="AAQ12" s="248"/>
      <c r="AAR12" s="248"/>
      <c r="AAS12" s="248"/>
      <c r="AAT12" s="248"/>
      <c r="AAU12" s="248"/>
      <c r="AAV12" s="248"/>
      <c r="AAW12" s="248"/>
      <c r="AAX12" s="248"/>
      <c r="AAY12" s="248"/>
      <c r="AAZ12" s="248"/>
      <c r="ABA12" s="248"/>
      <c r="ABB12" s="248"/>
      <c r="ABC12" s="248"/>
      <c r="ABD12" s="248"/>
      <c r="ABE12" s="248"/>
      <c r="ABF12" s="248"/>
      <c r="ABG12" s="248"/>
      <c r="ABH12" s="248"/>
      <c r="ABI12" s="248"/>
      <c r="ABJ12" s="248"/>
      <c r="ABK12" s="248"/>
      <c r="ABL12" s="248"/>
      <c r="ABM12" s="248"/>
      <c r="ABN12" s="248"/>
      <c r="ABO12" s="248"/>
      <c r="ABP12" s="248"/>
      <c r="ABQ12" s="248"/>
      <c r="ABR12" s="248"/>
      <c r="ABS12" s="248"/>
      <c r="ABT12" s="248"/>
      <c r="ABU12" s="248"/>
      <c r="ABV12" s="248"/>
      <c r="ABW12" s="248"/>
      <c r="ABX12" s="248"/>
      <c r="ABY12" s="248"/>
      <c r="ABZ12" s="248"/>
      <c r="ACA12" s="248"/>
      <c r="ACB12" s="248"/>
      <c r="ACC12" s="248"/>
      <c r="ACD12" s="248"/>
      <c r="ACE12" s="248"/>
      <c r="ACF12" s="248"/>
      <c r="ACG12" s="248"/>
      <c r="ACH12" s="248"/>
      <c r="ACI12" s="248"/>
      <c r="ACJ12" s="248"/>
      <c r="ACK12" s="248"/>
      <c r="ACL12" s="248"/>
      <c r="ACM12" s="248"/>
      <c r="ACN12" s="248"/>
      <c r="ACO12" s="248"/>
      <c r="ACP12" s="248"/>
      <c r="ACQ12" s="248"/>
      <c r="ACR12" s="248"/>
      <c r="ACS12" s="248"/>
      <c r="ACT12" s="248"/>
      <c r="ACU12" s="248"/>
      <c r="ACV12" s="248"/>
      <c r="ACW12" s="248"/>
      <c r="ACX12" s="248"/>
      <c r="ACY12" s="248"/>
      <c r="ACZ12" s="248"/>
      <c r="ADA12" s="248"/>
      <c r="ADB12" s="248"/>
      <c r="ADC12" s="248"/>
      <c r="ADD12" s="248"/>
      <c r="ADE12" s="248"/>
      <c r="ADF12" s="248"/>
      <c r="ADG12" s="248"/>
      <c r="ADH12" s="248"/>
      <c r="ADI12" s="248"/>
      <c r="ADJ12" s="248"/>
      <c r="ADK12" s="248"/>
      <c r="ADL12" s="248"/>
      <c r="ADM12" s="248"/>
      <c r="ADN12" s="248"/>
      <c r="ADO12" s="248"/>
      <c r="ADP12" s="248"/>
      <c r="ADQ12" s="248"/>
      <c r="ADR12" s="248"/>
      <c r="ADS12" s="248"/>
      <c r="ADT12" s="248"/>
      <c r="ADU12" s="248"/>
      <c r="ADV12" s="248"/>
      <c r="ADW12" s="248"/>
      <c r="ADX12" s="248"/>
      <c r="ADY12" s="248"/>
      <c r="ADZ12" s="248"/>
      <c r="AEA12" s="248"/>
      <c r="AEB12" s="248"/>
      <c r="AEC12" s="248"/>
      <c r="AED12" s="248"/>
      <c r="AEE12" s="248"/>
      <c r="AEF12" s="248"/>
      <c r="AEG12" s="248"/>
      <c r="AEH12" s="248"/>
      <c r="AEI12" s="248"/>
      <c r="AEJ12" s="248"/>
      <c r="AEK12" s="248"/>
      <c r="AEL12" s="248"/>
      <c r="AEM12" s="248"/>
      <c r="AEN12" s="248"/>
      <c r="AEO12" s="248"/>
      <c r="AEP12" s="248"/>
      <c r="AEQ12" s="248"/>
      <c r="AER12" s="248"/>
      <c r="AES12" s="248"/>
      <c r="AET12" s="248"/>
      <c r="AEU12" s="248"/>
      <c r="AEV12" s="248"/>
      <c r="AEW12" s="248"/>
      <c r="AEX12" s="248"/>
      <c r="AEY12" s="248"/>
      <c r="AEZ12" s="248"/>
      <c r="AFA12" s="248"/>
      <c r="AFB12" s="248"/>
      <c r="AFC12" s="248"/>
      <c r="AFD12" s="248"/>
      <c r="AFE12" s="248"/>
      <c r="AFF12" s="248"/>
      <c r="AFG12" s="248"/>
      <c r="AFH12" s="248"/>
      <c r="AFI12" s="248"/>
      <c r="AFJ12" s="248"/>
      <c r="AFK12" s="248"/>
      <c r="AFL12" s="248"/>
      <c r="AFM12" s="248"/>
      <c r="AFN12" s="248"/>
      <c r="AFO12" s="248"/>
      <c r="AFP12" s="248"/>
      <c r="AFQ12" s="248"/>
      <c r="AFR12" s="248"/>
      <c r="AFS12" s="248"/>
      <c r="AFT12" s="248"/>
      <c r="AFU12" s="248"/>
      <c r="AFV12" s="248"/>
      <c r="AFW12" s="248"/>
      <c r="AFX12" s="248"/>
      <c r="AFY12" s="248"/>
      <c r="AFZ12" s="248"/>
      <c r="AGA12" s="248"/>
      <c r="AGB12" s="248"/>
      <c r="AGC12" s="248"/>
      <c r="AGD12" s="248"/>
      <c r="AGE12" s="248"/>
      <c r="AGF12" s="248"/>
      <c r="AGG12" s="248"/>
      <c r="AGH12" s="248"/>
      <c r="AGI12" s="248"/>
      <c r="AGJ12" s="248"/>
      <c r="AGK12" s="248"/>
      <c r="AGL12" s="248"/>
      <c r="AGM12" s="248"/>
      <c r="AGN12" s="248"/>
      <c r="AGO12" s="248"/>
      <c r="AGP12" s="248"/>
      <c r="AGQ12" s="248"/>
      <c r="AGR12" s="248"/>
      <c r="AGS12" s="248"/>
      <c r="AGT12" s="248"/>
      <c r="AGU12" s="248"/>
      <c r="AGV12" s="248"/>
      <c r="AGW12" s="248"/>
      <c r="AGX12" s="248"/>
      <c r="AGY12" s="248"/>
      <c r="AGZ12" s="248"/>
      <c r="AHA12" s="248"/>
      <c r="AHB12" s="248"/>
      <c r="AHC12" s="248"/>
      <c r="AHD12" s="248"/>
      <c r="AHE12" s="248"/>
      <c r="AHF12" s="248"/>
      <c r="AHG12" s="248"/>
      <c r="AHH12" s="248"/>
      <c r="AHI12" s="248"/>
      <c r="AHJ12" s="248"/>
      <c r="AHK12" s="248"/>
      <c r="AHL12" s="248"/>
      <c r="AHM12" s="248"/>
      <c r="AHN12" s="248"/>
      <c r="AHO12" s="248"/>
      <c r="AHP12" s="248"/>
      <c r="AHQ12" s="248"/>
      <c r="AHR12" s="248"/>
      <c r="AHS12" s="248"/>
      <c r="AHT12" s="248"/>
      <c r="AHU12" s="248"/>
      <c r="AHV12" s="248"/>
      <c r="AHW12" s="248"/>
      <c r="AHX12" s="248"/>
      <c r="AHY12" s="248"/>
      <c r="AHZ12" s="248"/>
      <c r="AIA12" s="248"/>
      <c r="AIB12" s="248"/>
      <c r="AIC12" s="248"/>
      <c r="AID12" s="248"/>
      <c r="AIE12" s="248"/>
      <c r="AIF12" s="248"/>
      <c r="AIG12" s="248"/>
      <c r="AIH12" s="248"/>
      <c r="AII12" s="248"/>
      <c r="AIJ12" s="248"/>
      <c r="AIK12" s="248"/>
      <c r="AIL12" s="248"/>
      <c r="AIM12" s="248"/>
      <c r="AIN12" s="248"/>
      <c r="AIO12" s="248"/>
      <c r="AIP12" s="248"/>
      <c r="AIQ12" s="248"/>
      <c r="AIR12" s="248"/>
      <c r="AIS12" s="248"/>
      <c r="AIT12" s="248"/>
      <c r="AIU12" s="248"/>
      <c r="AIV12" s="248"/>
      <c r="AIW12" s="248"/>
      <c r="AIX12" s="248"/>
      <c r="AIY12" s="248"/>
      <c r="AIZ12" s="248"/>
      <c r="AJA12" s="248"/>
      <c r="AJB12" s="248"/>
      <c r="AJC12" s="248"/>
      <c r="AJD12" s="248"/>
      <c r="AJE12" s="248"/>
      <c r="AJF12" s="248"/>
      <c r="AJG12" s="248"/>
      <c r="AJH12" s="248"/>
      <c r="AJI12" s="248"/>
      <c r="AJJ12" s="248"/>
      <c r="AJK12" s="248"/>
      <c r="AJL12" s="248"/>
      <c r="AJM12" s="248"/>
      <c r="AJN12" s="248"/>
      <c r="AJO12" s="248"/>
      <c r="AJP12" s="248"/>
      <c r="AJQ12" s="248"/>
      <c r="AJR12" s="248"/>
      <c r="AJS12" s="248"/>
      <c r="AJT12" s="248"/>
      <c r="AJU12" s="248"/>
      <c r="AJV12" s="248"/>
      <c r="AJW12" s="248"/>
      <c r="AJX12" s="248"/>
      <c r="AJY12" s="248"/>
      <c r="AJZ12" s="248"/>
      <c r="AKA12" s="248"/>
      <c r="AKB12" s="248"/>
      <c r="AKC12" s="248"/>
      <c r="AKD12" s="248"/>
      <c r="AKE12" s="248"/>
      <c r="AKF12" s="248"/>
      <c r="AKG12" s="248"/>
      <c r="AKH12" s="248"/>
      <c r="AKI12" s="248"/>
      <c r="AKJ12" s="248"/>
      <c r="AKK12" s="248"/>
      <c r="AKL12" s="248"/>
      <c r="AKM12" s="248"/>
      <c r="AKN12" s="248"/>
      <c r="AKO12" s="248"/>
      <c r="AKP12" s="248"/>
      <c r="AKQ12" s="248"/>
      <c r="AKR12" s="248"/>
      <c r="AKS12" s="248"/>
      <c r="AKT12" s="248"/>
      <c r="AKU12" s="248"/>
      <c r="AKV12" s="248"/>
      <c r="AKW12" s="248"/>
      <c r="AKX12" s="248"/>
      <c r="AKY12" s="248"/>
      <c r="AKZ12" s="248"/>
      <c r="ALA12" s="248"/>
      <c r="ALB12" s="248"/>
      <c r="ALC12" s="248"/>
      <c r="ALD12" s="248"/>
      <c r="ALE12" s="248"/>
      <c r="ALF12" s="248"/>
      <c r="ALG12" s="248"/>
      <c r="ALH12" s="248"/>
      <c r="ALI12" s="248"/>
      <c r="ALJ12" s="248"/>
      <c r="ALK12" s="248"/>
      <c r="ALL12" s="248"/>
      <c r="ALM12" s="248"/>
      <c r="ALN12" s="248"/>
      <c r="ALO12" s="248"/>
      <c r="ALP12" s="248"/>
      <c r="ALQ12" s="248"/>
      <c r="ALR12" s="248"/>
      <c r="ALS12" s="248"/>
      <c r="ALT12" s="248"/>
      <c r="ALU12" s="248"/>
      <c r="ALV12" s="248"/>
      <c r="ALW12" s="248"/>
      <c r="ALX12" s="248"/>
      <c r="ALY12" s="248"/>
      <c r="ALZ12" s="248"/>
      <c r="AMA12" s="248"/>
      <c r="AMB12" s="248"/>
      <c r="AMC12" s="248"/>
      <c r="AMD12" s="248"/>
      <c r="AME12" s="248"/>
      <c r="AMF12" s="248"/>
      <c r="AMG12" s="248"/>
      <c r="AMH12" s="248"/>
      <c r="AMI12" s="248"/>
      <c r="AMJ12" s="248"/>
      <c r="AMK12" s="248"/>
      <c r="AML12" s="248"/>
      <c r="AMM12" s="248"/>
      <c r="AMN12" s="248"/>
      <c r="AMO12" s="248"/>
      <c r="AMP12" s="248"/>
      <c r="AMQ12" s="248"/>
      <c r="AMR12" s="248"/>
      <c r="AMS12" s="248"/>
      <c r="AMT12" s="248"/>
      <c r="AMU12" s="248"/>
      <c r="AMV12" s="248"/>
      <c r="AMW12" s="248"/>
      <c r="AMX12" s="248"/>
      <c r="AMY12" s="248"/>
      <c r="AMZ12" s="248"/>
      <c r="ANA12" s="248"/>
      <c r="ANB12" s="248"/>
      <c r="ANC12" s="248"/>
      <c r="AND12" s="248"/>
      <c r="ANE12" s="248"/>
      <c r="ANF12" s="248"/>
      <c r="ANG12" s="248"/>
      <c r="ANH12" s="248"/>
      <c r="ANI12" s="248"/>
      <c r="ANJ12" s="248"/>
      <c r="ANK12" s="248"/>
      <c r="ANL12" s="248"/>
      <c r="ANM12" s="248"/>
      <c r="ANN12" s="248"/>
      <c r="ANO12" s="248"/>
      <c r="ANP12" s="248"/>
      <c r="ANQ12" s="248"/>
      <c r="ANR12" s="248"/>
      <c r="ANS12" s="248"/>
      <c r="ANT12" s="248"/>
      <c r="ANU12" s="248"/>
      <c r="ANV12" s="248"/>
      <c r="ANW12" s="248"/>
      <c r="ANX12" s="248"/>
      <c r="ANY12" s="248"/>
      <c r="ANZ12" s="248"/>
      <c r="AOA12" s="248"/>
      <c r="AOB12" s="248"/>
      <c r="AOC12" s="248"/>
      <c r="AOD12" s="248"/>
      <c r="AOE12" s="248"/>
      <c r="AOF12" s="248"/>
      <c r="AOG12" s="248"/>
      <c r="AOH12" s="248"/>
      <c r="AOI12" s="248"/>
      <c r="AOJ12" s="248"/>
      <c r="AOK12" s="248"/>
      <c r="AOL12" s="248"/>
      <c r="AOM12" s="248"/>
      <c r="AON12" s="248"/>
      <c r="AOO12" s="248"/>
      <c r="AOP12" s="248"/>
      <c r="AOQ12" s="248"/>
      <c r="AOR12" s="248"/>
      <c r="AOS12" s="248"/>
      <c r="AOT12" s="248"/>
      <c r="AOU12" s="248"/>
      <c r="AOV12" s="248"/>
      <c r="AOW12" s="248"/>
      <c r="AOX12" s="248"/>
      <c r="AOY12" s="248"/>
      <c r="AOZ12" s="248"/>
      <c r="APA12" s="248"/>
      <c r="APB12" s="248"/>
      <c r="APC12" s="248"/>
      <c r="APD12" s="248"/>
      <c r="APE12" s="248"/>
      <c r="APF12" s="248"/>
      <c r="APG12" s="248"/>
      <c r="APH12" s="248"/>
      <c r="API12" s="248"/>
      <c r="APJ12" s="248"/>
      <c r="APK12" s="248"/>
      <c r="APL12" s="248"/>
      <c r="APM12" s="248"/>
      <c r="APN12" s="248"/>
      <c r="APO12" s="248"/>
      <c r="APP12" s="248"/>
      <c r="APQ12" s="248"/>
      <c r="APR12" s="248"/>
      <c r="APS12" s="248"/>
      <c r="APT12" s="248"/>
      <c r="APU12" s="248"/>
      <c r="APV12" s="248"/>
      <c r="APW12" s="248"/>
      <c r="APX12" s="248"/>
      <c r="APY12" s="248"/>
      <c r="APZ12" s="248"/>
      <c r="AQA12" s="248"/>
      <c r="AQB12" s="248"/>
      <c r="AQC12" s="248"/>
      <c r="AQD12" s="248"/>
      <c r="AQE12" s="248"/>
      <c r="AQF12" s="248"/>
      <c r="AQG12" s="248"/>
      <c r="AQH12" s="248"/>
      <c r="AQI12" s="248"/>
      <c r="AQJ12" s="248"/>
      <c r="AQK12" s="248"/>
      <c r="AQL12" s="248"/>
      <c r="AQM12" s="248"/>
      <c r="AQN12" s="248"/>
      <c r="AQO12" s="248"/>
      <c r="AQP12" s="248"/>
      <c r="AQQ12" s="248"/>
      <c r="AQR12" s="248"/>
      <c r="AQS12" s="248"/>
      <c r="AQT12" s="248"/>
      <c r="AQU12" s="248"/>
      <c r="AQV12" s="248"/>
      <c r="AQW12" s="248"/>
      <c r="AQX12" s="248"/>
      <c r="AQY12" s="248"/>
      <c r="AQZ12" s="248"/>
      <c r="ARA12" s="248"/>
      <c r="ARB12" s="248"/>
      <c r="ARC12" s="248"/>
      <c r="ARD12" s="248"/>
      <c r="ARE12" s="248"/>
      <c r="ARF12" s="248"/>
      <c r="ARG12" s="248"/>
      <c r="ARH12" s="248"/>
      <c r="ARI12" s="248"/>
      <c r="ARJ12" s="248"/>
      <c r="ARK12" s="248"/>
      <c r="ARL12" s="248"/>
      <c r="ARM12" s="248"/>
      <c r="ARN12" s="248"/>
      <c r="ARO12" s="248"/>
      <c r="ARP12" s="248"/>
      <c r="ARQ12" s="248"/>
      <c r="ARR12" s="248"/>
      <c r="ARS12" s="248"/>
      <c r="ART12" s="248"/>
      <c r="ARU12" s="248"/>
      <c r="ARV12" s="248"/>
      <c r="ARW12" s="248"/>
      <c r="ARX12" s="248"/>
      <c r="ARY12" s="248"/>
      <c r="ARZ12" s="248"/>
      <c r="ASA12" s="248"/>
      <c r="ASB12" s="248"/>
      <c r="ASC12" s="248"/>
      <c r="ASD12" s="248"/>
      <c r="ASE12" s="248"/>
      <c r="ASF12" s="248"/>
      <c r="ASG12" s="248"/>
      <c r="ASH12" s="248"/>
      <c r="ASI12" s="248"/>
      <c r="ASJ12" s="248"/>
      <c r="ASK12" s="248"/>
      <c r="ASL12" s="248"/>
      <c r="ASM12" s="248"/>
      <c r="ASN12" s="248"/>
      <c r="ASO12" s="248"/>
      <c r="ASP12" s="248"/>
      <c r="ASQ12" s="248"/>
      <c r="ASR12" s="248"/>
      <c r="ASS12" s="248"/>
      <c r="AST12" s="248"/>
      <c r="ASU12" s="248"/>
      <c r="ASV12" s="248"/>
      <c r="ASW12" s="248"/>
      <c r="ASX12" s="248"/>
      <c r="ASY12" s="248"/>
      <c r="ASZ12" s="248"/>
      <c r="ATA12" s="248"/>
      <c r="ATB12" s="248"/>
      <c r="ATC12" s="248"/>
      <c r="ATD12" s="248"/>
      <c r="ATE12" s="248"/>
      <c r="ATF12" s="248"/>
      <c r="ATG12" s="248"/>
      <c r="ATH12" s="248"/>
      <c r="ATI12" s="248"/>
      <c r="ATJ12" s="248"/>
      <c r="ATK12" s="248"/>
      <c r="ATL12" s="248"/>
      <c r="ATM12" s="248"/>
      <c r="ATN12" s="248"/>
      <c r="ATO12" s="248"/>
      <c r="ATP12" s="248"/>
      <c r="ATQ12" s="248"/>
      <c r="ATR12" s="248"/>
      <c r="ATS12" s="248"/>
      <c r="ATT12" s="248"/>
      <c r="ATU12" s="248"/>
      <c r="ATV12" s="248"/>
      <c r="ATW12" s="248"/>
      <c r="ATX12" s="248"/>
      <c r="ATY12" s="248"/>
      <c r="ATZ12" s="248"/>
      <c r="AUA12" s="248"/>
      <c r="AUB12" s="248"/>
      <c r="AUC12" s="248"/>
      <c r="AUD12" s="248"/>
      <c r="AUE12" s="248"/>
      <c r="AUF12" s="248"/>
      <c r="AUG12" s="248"/>
      <c r="AUH12" s="248"/>
      <c r="AUI12" s="248"/>
      <c r="AUJ12" s="248"/>
      <c r="AUK12" s="248"/>
      <c r="AUL12" s="248"/>
      <c r="AUM12" s="248"/>
      <c r="AUN12" s="248"/>
      <c r="AUO12" s="248"/>
      <c r="AUP12" s="248"/>
      <c r="AUQ12" s="248"/>
      <c r="AUR12" s="248"/>
      <c r="AUS12" s="248"/>
      <c r="AUT12" s="248"/>
      <c r="AUU12" s="248"/>
      <c r="AUV12" s="248"/>
      <c r="AUW12" s="248"/>
      <c r="AUX12" s="248"/>
      <c r="AUY12" s="248"/>
      <c r="AUZ12" s="248"/>
      <c r="AVA12" s="248"/>
      <c r="AVB12" s="248"/>
      <c r="AVC12" s="248"/>
      <c r="AVD12" s="248"/>
      <c r="AVE12" s="248"/>
      <c r="AVF12" s="248"/>
      <c r="AVG12" s="248"/>
      <c r="AVH12" s="248"/>
      <c r="AVI12" s="248"/>
      <c r="AVJ12" s="248"/>
      <c r="AVK12" s="248"/>
      <c r="AVL12" s="248"/>
      <c r="AVM12" s="248"/>
      <c r="AVN12" s="248"/>
      <c r="AVO12" s="248"/>
      <c r="AVP12" s="248"/>
      <c r="AVQ12" s="248"/>
      <c r="AVR12" s="248"/>
      <c r="AVS12" s="248"/>
      <c r="AVT12" s="248"/>
      <c r="AVU12" s="248"/>
      <c r="AVV12" s="248"/>
      <c r="AVW12" s="248"/>
      <c r="AVX12" s="248"/>
      <c r="AVY12" s="248"/>
      <c r="AVZ12" s="248"/>
      <c r="AWA12" s="248"/>
      <c r="AWB12" s="248"/>
      <c r="AWC12" s="248"/>
      <c r="AWD12" s="248"/>
      <c r="AWE12" s="248"/>
      <c r="AWF12" s="248"/>
      <c r="AWG12" s="248"/>
      <c r="AWH12" s="248"/>
      <c r="AWI12" s="248"/>
      <c r="AWJ12" s="248"/>
      <c r="AWK12" s="248"/>
      <c r="AWL12" s="248"/>
      <c r="AWM12" s="248"/>
      <c r="AWN12" s="248"/>
      <c r="AWO12" s="248"/>
      <c r="AWP12" s="248"/>
      <c r="AWQ12" s="248"/>
      <c r="AWR12" s="248"/>
      <c r="AWS12" s="248"/>
      <c r="AWT12" s="248"/>
      <c r="AWU12" s="248"/>
      <c r="AWV12" s="248"/>
      <c r="AWW12" s="248"/>
      <c r="AWX12" s="248"/>
      <c r="AWY12" s="248"/>
      <c r="AWZ12" s="248"/>
      <c r="AXA12" s="248"/>
      <c r="AXB12" s="248"/>
      <c r="AXC12" s="248"/>
      <c r="AXD12" s="248"/>
      <c r="AXE12" s="248"/>
      <c r="AXF12" s="248"/>
      <c r="AXG12" s="248"/>
      <c r="AXH12" s="248"/>
      <c r="AXI12" s="248"/>
      <c r="AXJ12" s="248"/>
      <c r="AXK12" s="248"/>
      <c r="AXL12" s="248"/>
      <c r="AXM12" s="248"/>
      <c r="AXN12" s="248"/>
      <c r="AXO12" s="248"/>
      <c r="AXP12" s="248"/>
      <c r="AXQ12" s="248"/>
      <c r="AXR12" s="248"/>
      <c r="AXS12" s="248"/>
      <c r="AXT12" s="248"/>
      <c r="AXU12" s="248"/>
      <c r="AXV12" s="248"/>
      <c r="AXW12" s="248"/>
      <c r="AXX12" s="248"/>
      <c r="AXY12" s="248"/>
      <c r="AXZ12" s="248"/>
      <c r="AYA12" s="248"/>
      <c r="AYB12" s="248"/>
      <c r="AYC12" s="248"/>
      <c r="AYD12" s="248"/>
      <c r="AYE12" s="248"/>
      <c r="AYF12" s="248"/>
      <c r="AYG12" s="248"/>
      <c r="AYH12" s="248"/>
      <c r="AYI12" s="248"/>
      <c r="AYJ12" s="248"/>
      <c r="AYK12" s="248"/>
      <c r="AYL12" s="248"/>
      <c r="AYM12" s="248"/>
      <c r="AYN12" s="248"/>
      <c r="AYO12" s="248"/>
      <c r="AYP12" s="248"/>
      <c r="AYQ12" s="248"/>
      <c r="AYR12" s="248"/>
      <c r="AYS12" s="248"/>
      <c r="AYT12" s="248"/>
      <c r="AYU12" s="248"/>
      <c r="AYV12" s="248"/>
      <c r="AYW12" s="248"/>
      <c r="AYX12" s="248"/>
      <c r="AYY12" s="248"/>
      <c r="AYZ12" s="248"/>
      <c r="AZA12" s="248"/>
      <c r="AZB12" s="248"/>
      <c r="AZC12" s="248"/>
      <c r="AZD12" s="248"/>
      <c r="AZE12" s="248"/>
      <c r="AZF12" s="248"/>
      <c r="AZG12" s="248"/>
      <c r="AZH12" s="248"/>
      <c r="AZI12" s="248"/>
      <c r="AZJ12" s="248"/>
      <c r="AZK12" s="248"/>
      <c r="AZL12" s="248"/>
      <c r="AZM12" s="248"/>
      <c r="AZN12" s="248"/>
      <c r="AZO12" s="248"/>
      <c r="AZP12" s="248"/>
      <c r="AZQ12" s="248"/>
      <c r="AZR12" s="248"/>
      <c r="AZS12" s="248"/>
      <c r="AZT12" s="248"/>
      <c r="AZU12" s="248"/>
      <c r="AZV12" s="248"/>
      <c r="AZW12" s="248"/>
      <c r="AZX12" s="248"/>
      <c r="AZY12" s="248"/>
      <c r="AZZ12" s="248"/>
      <c r="BAA12" s="248"/>
      <c r="BAB12" s="248"/>
      <c r="BAC12" s="248"/>
      <c r="BAD12" s="248"/>
      <c r="BAE12" s="248"/>
      <c r="BAF12" s="248"/>
      <c r="BAG12" s="248"/>
      <c r="BAH12" s="248"/>
      <c r="BAI12" s="248"/>
      <c r="BAJ12" s="248"/>
      <c r="BAK12" s="248"/>
      <c r="BAL12" s="248"/>
      <c r="BAM12" s="248"/>
      <c r="BAN12" s="248"/>
      <c r="BAO12" s="248"/>
      <c r="BAP12" s="248"/>
      <c r="BAQ12" s="248"/>
      <c r="BAR12" s="248"/>
      <c r="BAS12" s="248"/>
      <c r="BAT12" s="248"/>
      <c r="BAU12" s="248"/>
      <c r="BAV12" s="248"/>
      <c r="BAW12" s="248"/>
      <c r="BAX12" s="248"/>
      <c r="BAY12" s="248"/>
      <c r="BAZ12" s="248"/>
      <c r="BBA12" s="248"/>
      <c r="BBB12" s="248"/>
      <c r="BBC12" s="248"/>
      <c r="BBD12" s="248"/>
      <c r="BBE12" s="248"/>
      <c r="BBF12" s="248"/>
      <c r="BBG12" s="248"/>
      <c r="BBH12" s="248"/>
      <c r="BBI12" s="248"/>
      <c r="BBJ12" s="248"/>
      <c r="BBK12" s="248"/>
      <c r="BBL12" s="248"/>
      <c r="BBM12" s="248"/>
      <c r="BBN12" s="248"/>
      <c r="BBO12" s="248"/>
      <c r="BBP12" s="248"/>
      <c r="BBQ12" s="248"/>
      <c r="BBR12" s="248"/>
      <c r="BBS12" s="248"/>
      <c r="BBT12" s="248"/>
      <c r="BBU12" s="248"/>
      <c r="BBV12" s="248"/>
      <c r="BBW12" s="248"/>
      <c r="BBX12" s="248"/>
      <c r="BBY12" s="248"/>
      <c r="BBZ12" s="248"/>
      <c r="BCA12" s="248"/>
      <c r="BCB12" s="248"/>
      <c r="BCC12" s="248"/>
      <c r="BCD12" s="248"/>
      <c r="BCE12" s="248"/>
      <c r="BCF12" s="248"/>
      <c r="BCG12" s="248"/>
      <c r="BCH12" s="248"/>
      <c r="BCI12" s="248"/>
      <c r="BCJ12" s="248"/>
      <c r="BCK12" s="248"/>
      <c r="BCL12" s="248"/>
      <c r="BCM12" s="248"/>
      <c r="BCN12" s="248"/>
      <c r="BCO12" s="248"/>
      <c r="BCP12" s="248"/>
      <c r="BCQ12" s="248"/>
      <c r="BCR12" s="248"/>
      <c r="BCS12" s="248"/>
      <c r="BCT12" s="248"/>
      <c r="BCU12" s="248"/>
      <c r="BCV12" s="248"/>
      <c r="BCW12" s="248"/>
      <c r="BCX12" s="248"/>
      <c r="BCY12" s="248"/>
      <c r="BCZ12" s="248"/>
      <c r="BDA12" s="248"/>
      <c r="BDB12" s="248"/>
      <c r="BDC12" s="248"/>
      <c r="BDD12" s="248"/>
      <c r="BDE12" s="248"/>
      <c r="BDF12" s="248"/>
      <c r="BDG12" s="248"/>
      <c r="BDH12" s="248"/>
      <c r="BDI12" s="248"/>
      <c r="BDJ12" s="248"/>
      <c r="BDK12" s="248"/>
      <c r="BDL12" s="248"/>
      <c r="BDM12" s="248"/>
      <c r="BDN12" s="248"/>
      <c r="BDO12" s="248"/>
      <c r="BDP12" s="248"/>
      <c r="BDQ12" s="248"/>
      <c r="BDR12" s="248"/>
      <c r="BDS12" s="248"/>
      <c r="BDT12" s="248"/>
      <c r="BDU12" s="248"/>
      <c r="BDV12" s="248"/>
      <c r="BDW12" s="248"/>
      <c r="BDX12" s="248"/>
      <c r="BDY12" s="248"/>
      <c r="BDZ12" s="248"/>
      <c r="BEA12" s="248"/>
      <c r="BEB12" s="248"/>
      <c r="BEC12" s="248"/>
      <c r="BED12" s="248"/>
      <c r="BEE12" s="248"/>
      <c r="BEF12" s="248"/>
      <c r="BEG12" s="248"/>
      <c r="BEH12" s="248"/>
      <c r="BEI12" s="248"/>
      <c r="BEJ12" s="248"/>
      <c r="BEK12" s="248"/>
      <c r="BEL12" s="248"/>
      <c r="BEM12" s="248"/>
      <c r="BEN12" s="248"/>
      <c r="BEO12" s="248"/>
      <c r="BEP12" s="248"/>
      <c r="BEQ12" s="248"/>
      <c r="BER12" s="248"/>
      <c r="BES12" s="248"/>
      <c r="BET12" s="248"/>
      <c r="BEU12" s="248"/>
      <c r="BEV12" s="248"/>
      <c r="BEW12" s="248"/>
      <c r="BEX12" s="248"/>
      <c r="BEY12" s="248"/>
      <c r="BEZ12" s="248"/>
      <c r="BFA12" s="248"/>
      <c r="BFB12" s="248"/>
      <c r="BFC12" s="248"/>
      <c r="BFD12" s="248"/>
      <c r="BFE12" s="248"/>
      <c r="BFF12" s="248"/>
      <c r="BFG12" s="248"/>
      <c r="BFH12" s="248"/>
      <c r="BFI12" s="248"/>
      <c r="BFJ12" s="248"/>
      <c r="BFK12" s="248"/>
      <c r="BFL12" s="248"/>
      <c r="BFM12" s="248"/>
      <c r="BFN12" s="248"/>
      <c r="BFO12" s="248"/>
      <c r="BFP12" s="248"/>
      <c r="BFQ12" s="248"/>
      <c r="BFR12" s="248"/>
      <c r="BFS12" s="248"/>
      <c r="BFT12" s="248"/>
      <c r="BFU12" s="248"/>
      <c r="BFV12" s="248"/>
      <c r="BFW12" s="248"/>
      <c r="BFX12" s="248"/>
      <c r="BFY12" s="248"/>
      <c r="BFZ12" s="248"/>
      <c r="BGA12" s="248"/>
      <c r="BGB12" s="248"/>
      <c r="BGC12" s="248"/>
      <c r="BGD12" s="248"/>
      <c r="BGE12" s="248"/>
      <c r="BGF12" s="248"/>
      <c r="BGG12" s="248"/>
      <c r="BGH12" s="248"/>
      <c r="BGI12" s="248"/>
      <c r="BGJ12" s="248"/>
      <c r="BGK12" s="248"/>
      <c r="BGL12" s="248"/>
      <c r="BGM12" s="248"/>
      <c r="BGN12" s="248"/>
      <c r="BGO12" s="248"/>
      <c r="BGP12" s="248"/>
      <c r="BGQ12" s="248"/>
      <c r="BGR12" s="248"/>
      <c r="BGS12" s="248"/>
      <c r="BGT12" s="248"/>
      <c r="BGU12" s="248"/>
      <c r="BGV12" s="248"/>
      <c r="BGW12" s="248"/>
      <c r="BGX12" s="248"/>
      <c r="BGY12" s="248"/>
      <c r="BGZ12" s="248"/>
      <c r="BHA12" s="248"/>
      <c r="BHB12" s="248"/>
      <c r="BHC12" s="248"/>
      <c r="BHD12" s="248"/>
      <c r="BHE12" s="248"/>
      <c r="BHF12" s="248"/>
      <c r="BHG12" s="248"/>
      <c r="BHH12" s="248"/>
      <c r="BHI12" s="248"/>
      <c r="BHJ12" s="248"/>
      <c r="BHK12" s="248"/>
      <c r="BHL12" s="248"/>
      <c r="BHM12" s="248"/>
      <c r="BHN12" s="248"/>
      <c r="BHO12" s="248"/>
      <c r="BHP12" s="248"/>
      <c r="BHQ12" s="248"/>
      <c r="BHR12" s="248"/>
      <c r="BHS12" s="248"/>
      <c r="BHT12" s="248"/>
      <c r="BHU12" s="248"/>
      <c r="BHV12" s="248"/>
      <c r="BHW12" s="248"/>
      <c r="BHX12" s="248"/>
      <c r="BHY12" s="248"/>
      <c r="BHZ12" s="248"/>
      <c r="BIA12" s="248"/>
      <c r="BIB12" s="248"/>
      <c r="BIC12" s="248"/>
      <c r="BID12" s="248"/>
      <c r="BIE12" s="248"/>
      <c r="BIF12" s="248"/>
      <c r="BIG12" s="248"/>
      <c r="BIH12" s="248"/>
      <c r="BII12" s="248"/>
      <c r="BIJ12" s="248"/>
      <c r="BIK12" s="248"/>
      <c r="BIL12" s="248"/>
      <c r="BIM12" s="248"/>
      <c r="BIN12" s="248"/>
      <c r="BIO12" s="248"/>
      <c r="BIP12" s="248"/>
      <c r="BIQ12" s="248"/>
      <c r="BIR12" s="248"/>
      <c r="BIS12" s="248"/>
      <c r="BIT12" s="248"/>
      <c r="BIU12" s="248"/>
      <c r="BIV12" s="248"/>
      <c r="BIW12" s="248"/>
      <c r="BIX12" s="248"/>
      <c r="BIY12" s="248"/>
      <c r="BIZ12" s="248"/>
      <c r="BJA12" s="248"/>
      <c r="BJB12" s="248"/>
      <c r="BJC12" s="248"/>
      <c r="BJD12" s="248"/>
      <c r="BJE12" s="248"/>
      <c r="BJF12" s="248"/>
      <c r="BJG12" s="248"/>
      <c r="BJH12" s="248"/>
      <c r="BJI12" s="248"/>
      <c r="BJJ12" s="248"/>
      <c r="BJK12" s="248"/>
      <c r="BJL12" s="248"/>
      <c r="BJM12" s="248"/>
      <c r="BJN12" s="248"/>
      <c r="BJO12" s="248"/>
      <c r="BJP12" s="248"/>
      <c r="BJQ12" s="248"/>
      <c r="BJR12" s="248"/>
      <c r="BJS12" s="248"/>
      <c r="BJT12" s="248"/>
      <c r="BJU12" s="248"/>
      <c r="BJV12" s="248"/>
      <c r="BJW12" s="248"/>
      <c r="BJX12" s="248"/>
      <c r="BJY12" s="248"/>
      <c r="BJZ12" s="248"/>
      <c r="BKA12" s="248"/>
      <c r="BKB12" s="248"/>
      <c r="BKC12" s="248"/>
      <c r="BKD12" s="248"/>
      <c r="BKE12" s="248"/>
      <c r="BKF12" s="248"/>
      <c r="BKG12" s="248"/>
      <c r="BKH12" s="248"/>
      <c r="BKI12" s="248"/>
      <c r="BKJ12" s="248"/>
      <c r="BKK12" s="248"/>
      <c r="BKL12" s="248"/>
      <c r="BKM12" s="248"/>
      <c r="BKN12" s="248"/>
      <c r="BKO12" s="248"/>
      <c r="BKP12" s="248"/>
      <c r="BKQ12" s="248"/>
      <c r="BKR12" s="248"/>
      <c r="BKS12" s="248"/>
      <c r="BKT12" s="248"/>
      <c r="BKU12" s="248"/>
      <c r="BKV12" s="248"/>
      <c r="BKW12" s="248"/>
      <c r="BKX12" s="248"/>
      <c r="BKY12" s="248"/>
      <c r="BKZ12" s="248"/>
      <c r="BLA12" s="248"/>
      <c r="BLB12" s="248"/>
      <c r="BLC12" s="248"/>
      <c r="BLD12" s="248"/>
      <c r="BLE12" s="248"/>
      <c r="BLF12" s="248"/>
      <c r="BLG12" s="248"/>
      <c r="BLH12" s="248"/>
      <c r="BLI12" s="248"/>
      <c r="BLJ12" s="248"/>
      <c r="BLK12" s="248"/>
      <c r="BLL12" s="248"/>
      <c r="BLM12" s="248"/>
      <c r="BLN12" s="248"/>
      <c r="BLO12" s="248"/>
      <c r="BLP12" s="248"/>
      <c r="BLQ12" s="248"/>
      <c r="BLR12" s="248"/>
      <c r="BLS12" s="248"/>
      <c r="BLT12" s="248"/>
      <c r="BLU12" s="248"/>
      <c r="BLV12" s="248"/>
      <c r="BLW12" s="248"/>
      <c r="BLX12" s="248"/>
      <c r="BLY12" s="248"/>
      <c r="BLZ12" s="248"/>
      <c r="BMA12" s="248"/>
      <c r="BMB12" s="248"/>
      <c r="BMC12" s="248"/>
      <c r="BMD12" s="248"/>
      <c r="BME12" s="248"/>
      <c r="BMF12" s="248"/>
      <c r="BMG12" s="248"/>
      <c r="BMH12" s="248"/>
      <c r="BMI12" s="248"/>
      <c r="BMJ12" s="248"/>
      <c r="BMK12" s="248"/>
      <c r="BML12" s="248"/>
      <c r="BMM12" s="248"/>
      <c r="BMN12" s="248"/>
      <c r="BMO12" s="248"/>
      <c r="BMP12" s="248"/>
      <c r="BMQ12" s="248"/>
      <c r="BMR12" s="248"/>
      <c r="BMS12" s="248"/>
      <c r="BMT12" s="248"/>
      <c r="BMU12" s="248"/>
      <c r="BMV12" s="248"/>
      <c r="BMW12" s="248"/>
      <c r="BMX12" s="248"/>
      <c r="BMY12" s="248"/>
      <c r="BMZ12" s="248"/>
      <c r="BNA12" s="248"/>
      <c r="BNB12" s="248"/>
      <c r="BNC12" s="248"/>
      <c r="BND12" s="248"/>
      <c r="BNE12" s="248"/>
      <c r="BNF12" s="248"/>
      <c r="BNG12" s="248"/>
      <c r="BNH12" s="248"/>
      <c r="BNI12" s="248"/>
      <c r="BNJ12" s="248"/>
      <c r="BNK12" s="248"/>
      <c r="BNL12" s="248"/>
      <c r="BNM12" s="248"/>
      <c r="BNN12" s="248"/>
      <c r="BNO12" s="248"/>
      <c r="BNP12" s="248"/>
      <c r="BNQ12" s="248"/>
      <c r="BNR12" s="248"/>
      <c r="BNS12" s="248"/>
      <c r="BNT12" s="248"/>
      <c r="BNU12" s="248"/>
      <c r="BNV12" s="248"/>
      <c r="BNW12" s="248"/>
      <c r="BNX12" s="248"/>
      <c r="BNY12" s="248"/>
      <c r="BNZ12" s="248"/>
      <c r="BOA12" s="248"/>
      <c r="BOB12" s="248"/>
      <c r="BOC12" s="248"/>
      <c r="BOD12" s="248"/>
      <c r="BOE12" s="248"/>
      <c r="BOF12" s="248"/>
      <c r="BOG12" s="248"/>
      <c r="BOH12" s="248"/>
      <c r="BOI12" s="248"/>
      <c r="BOJ12" s="248"/>
      <c r="BOK12" s="248"/>
      <c r="BOL12" s="248"/>
      <c r="BOM12" s="248"/>
      <c r="BON12" s="248"/>
      <c r="BOO12" s="248"/>
      <c r="BOP12" s="248"/>
      <c r="BOQ12" s="248"/>
      <c r="BOR12" s="248"/>
      <c r="BOS12" s="248"/>
      <c r="BOT12" s="248"/>
      <c r="BOU12" s="248"/>
      <c r="BOV12" s="248"/>
      <c r="BOW12" s="248"/>
      <c r="BOX12" s="248"/>
      <c r="BOY12" s="248"/>
      <c r="BOZ12" s="248"/>
      <c r="BPA12" s="248"/>
      <c r="BPB12" s="248"/>
      <c r="BPC12" s="248"/>
      <c r="BPD12" s="248"/>
      <c r="BPE12" s="248"/>
      <c r="BPF12" s="248"/>
      <c r="BPG12" s="248"/>
      <c r="BPH12" s="248"/>
      <c r="BPI12" s="248"/>
      <c r="BPJ12" s="248"/>
      <c r="BPK12" s="248"/>
      <c r="BPL12" s="248"/>
      <c r="BPM12" s="248"/>
      <c r="BPN12" s="248"/>
      <c r="BPO12" s="248"/>
      <c r="BPP12" s="248"/>
      <c r="BPQ12" s="248"/>
      <c r="BPR12" s="248"/>
      <c r="BPS12" s="248"/>
      <c r="BPT12" s="248"/>
      <c r="BPU12" s="248"/>
      <c r="BPV12" s="248"/>
      <c r="BPW12" s="248"/>
      <c r="BPX12" s="248"/>
      <c r="BPY12" s="248"/>
      <c r="BPZ12" s="248"/>
      <c r="BQA12" s="248"/>
      <c r="BQB12" s="248"/>
      <c r="BQC12" s="248"/>
      <c r="BQD12" s="248"/>
      <c r="BQE12" s="248"/>
      <c r="BQF12" s="248"/>
      <c r="BQG12" s="248"/>
      <c r="BQH12" s="248"/>
      <c r="BQI12" s="248"/>
      <c r="BQJ12" s="248"/>
      <c r="BQK12" s="248"/>
      <c r="BQL12" s="248"/>
      <c r="BQM12" s="248"/>
      <c r="BQN12" s="248"/>
      <c r="BQO12" s="248"/>
      <c r="BQP12" s="248"/>
      <c r="BQQ12" s="248"/>
      <c r="BQR12" s="248"/>
      <c r="BQS12" s="248"/>
      <c r="BQT12" s="248"/>
      <c r="BQU12" s="248"/>
      <c r="BQV12" s="248"/>
      <c r="BQW12" s="248"/>
      <c r="BQX12" s="248"/>
      <c r="BQY12" s="248"/>
      <c r="BQZ12" s="248"/>
      <c r="BRA12" s="248"/>
      <c r="BRB12" s="248"/>
      <c r="BRC12" s="248"/>
      <c r="BRD12" s="248"/>
      <c r="BRE12" s="248"/>
      <c r="BRF12" s="248"/>
      <c r="BRG12" s="248"/>
      <c r="BRH12" s="248"/>
      <c r="BRI12" s="248"/>
      <c r="BRJ12" s="248"/>
      <c r="BRK12" s="248"/>
      <c r="BRL12" s="248"/>
      <c r="BRM12" s="248"/>
      <c r="BRN12" s="248"/>
      <c r="BRO12" s="248"/>
      <c r="BRP12" s="248"/>
      <c r="BRQ12" s="248"/>
      <c r="BRR12" s="248"/>
      <c r="BRS12" s="248"/>
      <c r="BRT12" s="248"/>
      <c r="BRU12" s="248"/>
      <c r="BRV12" s="248"/>
      <c r="BRW12" s="248"/>
      <c r="BRX12" s="248"/>
      <c r="BRY12" s="248"/>
      <c r="BRZ12" s="248"/>
      <c r="BSA12" s="248"/>
      <c r="BSB12" s="248"/>
      <c r="BSC12" s="248"/>
      <c r="BSD12" s="248"/>
      <c r="BSE12" s="248"/>
      <c r="BSF12" s="248"/>
      <c r="BSG12" s="248"/>
      <c r="BSH12" s="248"/>
      <c r="BSI12" s="248"/>
      <c r="BSJ12" s="248"/>
      <c r="BSK12" s="248"/>
      <c r="BSL12" s="248"/>
      <c r="BSM12" s="248"/>
      <c r="BSN12" s="248"/>
      <c r="BSO12" s="248"/>
      <c r="BSP12" s="248"/>
      <c r="BSQ12" s="248"/>
      <c r="BSR12" s="248"/>
      <c r="BSS12" s="248"/>
      <c r="BST12" s="248"/>
      <c r="BSU12" s="248"/>
      <c r="BSV12" s="248"/>
      <c r="BSW12" s="248"/>
      <c r="BSX12" s="248"/>
      <c r="BSY12" s="248"/>
      <c r="BSZ12" s="248"/>
      <c r="BTA12" s="248"/>
      <c r="BTB12" s="248"/>
      <c r="BTC12" s="248"/>
      <c r="BTD12" s="248"/>
      <c r="BTE12" s="248"/>
      <c r="BTF12" s="248"/>
      <c r="BTG12" s="248"/>
      <c r="BTH12" s="248"/>
      <c r="BTI12" s="248"/>
      <c r="BTJ12" s="248"/>
      <c r="BTK12" s="248"/>
      <c r="BTL12" s="248"/>
      <c r="BTM12" s="248"/>
      <c r="BTN12" s="248"/>
      <c r="BTO12" s="248"/>
      <c r="BTP12" s="248"/>
      <c r="BTQ12" s="248"/>
      <c r="BTR12" s="248"/>
      <c r="BTS12" s="248"/>
      <c r="BTT12" s="248"/>
      <c r="BTU12" s="248"/>
      <c r="BTV12" s="248"/>
      <c r="BTW12" s="248"/>
      <c r="BTX12" s="248"/>
      <c r="BTY12" s="248"/>
      <c r="BTZ12" s="248"/>
      <c r="BUA12" s="248"/>
      <c r="BUB12" s="248"/>
      <c r="BUC12" s="248"/>
      <c r="BUD12" s="248"/>
      <c r="BUE12" s="248"/>
      <c r="BUF12" s="248"/>
      <c r="BUG12" s="248"/>
      <c r="BUH12" s="248"/>
      <c r="BUI12" s="248"/>
      <c r="BUJ12" s="248"/>
      <c r="BUK12" s="248"/>
      <c r="BUL12" s="248"/>
      <c r="BUM12" s="248"/>
      <c r="BUN12" s="248"/>
      <c r="BUO12" s="248"/>
      <c r="BUP12" s="248"/>
      <c r="BUQ12" s="248"/>
      <c r="BUR12" s="248"/>
      <c r="BUS12" s="248"/>
      <c r="BUT12" s="248"/>
      <c r="BUU12" s="248"/>
      <c r="BUV12" s="248"/>
      <c r="BUW12" s="248"/>
      <c r="BUX12" s="248"/>
      <c r="BUY12" s="248"/>
      <c r="BUZ12" s="248"/>
      <c r="BVA12" s="248"/>
      <c r="BVB12" s="248"/>
      <c r="BVC12" s="248"/>
      <c r="BVD12" s="248"/>
      <c r="BVE12" s="248"/>
      <c r="BVF12" s="248"/>
      <c r="BVG12" s="248"/>
      <c r="BVH12" s="248"/>
      <c r="BVI12" s="248"/>
      <c r="BVJ12" s="248"/>
      <c r="BVK12" s="248"/>
      <c r="BVL12" s="248"/>
      <c r="BVM12" s="248"/>
      <c r="BVN12" s="248"/>
      <c r="BVO12" s="248"/>
      <c r="BVP12" s="248"/>
      <c r="BVQ12" s="248"/>
      <c r="BVR12" s="248"/>
      <c r="BVS12" s="248"/>
      <c r="BVT12" s="248"/>
      <c r="BVU12" s="248"/>
      <c r="BVV12" s="248"/>
      <c r="BVW12" s="248"/>
      <c r="BVX12" s="248"/>
      <c r="BVY12" s="248"/>
      <c r="BVZ12" s="248"/>
      <c r="BWA12" s="248"/>
      <c r="BWB12" s="248"/>
      <c r="BWC12" s="248"/>
      <c r="BWD12" s="248"/>
      <c r="BWE12" s="248"/>
      <c r="BWF12" s="248"/>
      <c r="BWG12" s="248"/>
      <c r="BWH12" s="248"/>
      <c r="BWI12" s="248"/>
      <c r="BWJ12" s="248"/>
      <c r="BWK12" s="248"/>
      <c r="BWL12" s="248"/>
      <c r="BWM12" s="248"/>
      <c r="BWN12" s="248"/>
      <c r="BWO12" s="248"/>
      <c r="BWP12" s="248"/>
      <c r="BWQ12" s="248"/>
      <c r="BWR12" s="248"/>
      <c r="BWS12" s="248"/>
      <c r="BWT12" s="248"/>
      <c r="BWU12" s="248"/>
      <c r="BWV12" s="248"/>
      <c r="BWW12" s="248"/>
      <c r="BWX12" s="248"/>
      <c r="BWY12" s="248"/>
      <c r="BWZ12" s="248"/>
      <c r="BXA12" s="248"/>
      <c r="BXB12" s="248"/>
      <c r="BXC12" s="248"/>
      <c r="BXD12" s="248"/>
      <c r="BXE12" s="248"/>
      <c r="BXF12" s="248"/>
      <c r="BXG12" s="248"/>
      <c r="BXH12" s="248"/>
      <c r="BXI12" s="248"/>
      <c r="BXJ12" s="248"/>
      <c r="BXK12" s="248"/>
      <c r="BXL12" s="248"/>
      <c r="BXM12" s="248"/>
      <c r="BXN12" s="248"/>
      <c r="BXO12" s="248"/>
      <c r="BXP12" s="248"/>
      <c r="BXQ12" s="248"/>
      <c r="BXR12" s="248"/>
      <c r="BXS12" s="248"/>
      <c r="BXT12" s="248"/>
      <c r="BXU12" s="248"/>
      <c r="BXV12" s="248"/>
      <c r="BXW12" s="248"/>
      <c r="BXX12" s="248"/>
      <c r="BXY12" s="248"/>
      <c r="BXZ12" s="248"/>
      <c r="BYA12" s="248"/>
      <c r="BYB12" s="248"/>
      <c r="BYC12" s="248"/>
      <c r="BYD12" s="248"/>
      <c r="BYE12" s="248"/>
      <c r="BYF12" s="248"/>
      <c r="BYG12" s="248"/>
      <c r="BYH12" s="248"/>
      <c r="BYI12" s="248"/>
      <c r="BYJ12" s="248"/>
      <c r="BYK12" s="248"/>
      <c r="BYL12" s="248"/>
      <c r="BYM12" s="248"/>
      <c r="BYN12" s="248"/>
      <c r="BYO12" s="248"/>
      <c r="BYP12" s="248"/>
      <c r="BYQ12" s="248"/>
      <c r="BYR12" s="248"/>
      <c r="BYS12" s="248"/>
      <c r="BYT12" s="248"/>
      <c r="BYU12" s="248"/>
      <c r="BYV12" s="248"/>
      <c r="BYW12" s="248"/>
      <c r="BYX12" s="248"/>
      <c r="BYY12" s="248"/>
      <c r="BYZ12" s="248"/>
      <c r="BZA12" s="248"/>
      <c r="BZB12" s="248"/>
      <c r="BZC12" s="248"/>
      <c r="BZD12" s="248"/>
      <c r="BZE12" s="248"/>
      <c r="BZF12" s="248"/>
      <c r="BZG12" s="248"/>
      <c r="BZH12" s="248"/>
      <c r="BZI12" s="248"/>
      <c r="BZJ12" s="248"/>
      <c r="BZK12" s="248"/>
      <c r="BZL12" s="248"/>
      <c r="BZM12" s="248"/>
      <c r="BZN12" s="248"/>
      <c r="BZO12" s="248"/>
      <c r="BZP12" s="248"/>
      <c r="BZQ12" s="248"/>
      <c r="BZR12" s="248"/>
      <c r="BZS12" s="248"/>
      <c r="BZT12" s="248"/>
      <c r="BZU12" s="248"/>
      <c r="BZV12" s="248"/>
      <c r="BZW12" s="248"/>
      <c r="BZX12" s="248"/>
      <c r="BZY12" s="248"/>
      <c r="BZZ12" s="248"/>
      <c r="CAA12" s="248"/>
      <c r="CAB12" s="248"/>
      <c r="CAC12" s="248"/>
      <c r="CAD12" s="248"/>
      <c r="CAE12" s="248"/>
      <c r="CAF12" s="248"/>
      <c r="CAG12" s="248"/>
      <c r="CAH12" s="248"/>
      <c r="CAI12" s="248"/>
      <c r="CAJ12" s="248"/>
      <c r="CAK12" s="248"/>
      <c r="CAL12" s="248"/>
      <c r="CAM12" s="248"/>
      <c r="CAN12" s="248"/>
      <c r="CAO12" s="248"/>
      <c r="CAP12" s="248"/>
      <c r="CAQ12" s="248"/>
      <c r="CAR12" s="248"/>
      <c r="CAS12" s="248"/>
      <c r="CAT12" s="248"/>
      <c r="CAU12" s="248"/>
      <c r="CAV12" s="248"/>
      <c r="CAW12" s="248"/>
      <c r="CAX12" s="248"/>
      <c r="CAY12" s="248"/>
      <c r="CAZ12" s="248"/>
      <c r="CBA12" s="248"/>
      <c r="CBB12" s="248"/>
      <c r="CBC12" s="248"/>
      <c r="CBD12" s="248"/>
      <c r="CBE12" s="248"/>
      <c r="CBF12" s="248"/>
      <c r="CBG12" s="248"/>
      <c r="CBH12" s="248"/>
      <c r="CBI12" s="248"/>
      <c r="CBJ12" s="248"/>
      <c r="CBK12" s="248"/>
      <c r="CBL12" s="248"/>
      <c r="CBM12" s="248"/>
      <c r="CBN12" s="248"/>
      <c r="CBO12" s="248"/>
      <c r="CBP12" s="248"/>
      <c r="CBQ12" s="248"/>
      <c r="CBR12" s="248"/>
      <c r="CBS12" s="248"/>
      <c r="CBT12" s="248"/>
      <c r="CBU12" s="248"/>
      <c r="CBV12" s="248"/>
      <c r="CBW12" s="248"/>
      <c r="CBX12" s="248"/>
      <c r="CBY12" s="248"/>
      <c r="CBZ12" s="248"/>
      <c r="CCA12" s="248"/>
      <c r="CCB12" s="248"/>
      <c r="CCC12" s="248"/>
      <c r="CCD12" s="248"/>
      <c r="CCE12" s="248"/>
      <c r="CCF12" s="248"/>
      <c r="CCG12" s="248"/>
      <c r="CCH12" s="248"/>
      <c r="CCI12" s="248"/>
      <c r="CCJ12" s="248"/>
      <c r="CCK12" s="248"/>
      <c r="CCL12" s="248"/>
      <c r="CCM12" s="248"/>
      <c r="CCN12" s="248"/>
      <c r="CCO12" s="248"/>
      <c r="CCP12" s="248"/>
      <c r="CCQ12" s="248"/>
      <c r="CCR12" s="248"/>
      <c r="CCS12" s="248"/>
      <c r="CCT12" s="248"/>
      <c r="CCU12" s="248"/>
      <c r="CCV12" s="248"/>
      <c r="CCW12" s="248"/>
      <c r="VEX12" s="195"/>
      <c r="VST12" s="194"/>
      <c r="VTB12" s="194"/>
    </row>
    <row r="13" spans="1:2129 15008:15070 15386:15394" s="193" customFormat="1" ht="16.149999999999999" customHeight="1" x14ac:dyDescent="0.25">
      <c r="A13" s="236" t="s">
        <v>55</v>
      </c>
      <c r="B13" s="236">
        <v>6</v>
      </c>
      <c r="C13" s="236"/>
      <c r="D13" s="236"/>
      <c r="E13" s="236"/>
      <c r="F13" s="236"/>
      <c r="G13" s="237" t="s">
        <v>202</v>
      </c>
      <c r="H13" s="238" t="s">
        <v>220</v>
      </c>
      <c r="I13" s="238"/>
      <c r="J13" s="239"/>
      <c r="K13" s="240"/>
      <c r="L13" s="240"/>
      <c r="M13" s="241"/>
      <c r="N13" s="240">
        <v>43003</v>
      </c>
      <c r="O13" s="240">
        <v>43023</v>
      </c>
      <c r="P13" s="241">
        <v>18</v>
      </c>
      <c r="Q13" s="242">
        <v>0</v>
      </c>
      <c r="R13" s="240"/>
      <c r="S13" s="240"/>
      <c r="T13" s="241"/>
      <c r="U13" s="243"/>
      <c r="V13" s="243"/>
      <c r="W13" s="243"/>
      <c r="X13" s="244"/>
      <c r="Y13" s="245"/>
      <c r="Z13" s="245"/>
      <c r="AA13" s="246"/>
      <c r="AB13" s="245"/>
      <c r="AC13" s="247"/>
      <c r="AD13" s="247"/>
      <c r="AE13" s="247"/>
      <c r="AF13" s="247"/>
      <c r="AG13" s="247"/>
      <c r="AH13" s="247"/>
      <c r="AI13" s="267"/>
      <c r="AJ13" s="267"/>
      <c r="AK13" s="267"/>
      <c r="AL13" s="267"/>
      <c r="AM13" s="267"/>
      <c r="AN13" s="267"/>
      <c r="AO13" s="267"/>
      <c r="AP13" s="267"/>
      <c r="AQ13" s="267"/>
      <c r="AR13" s="267"/>
      <c r="AS13" s="267"/>
      <c r="AT13" s="267"/>
      <c r="AU13" s="267"/>
      <c r="AV13" s="267"/>
      <c r="AW13" s="267"/>
      <c r="AX13" s="267"/>
      <c r="AY13" s="267"/>
      <c r="AZ13" s="267"/>
      <c r="BA13" s="267"/>
      <c r="BB13" s="267"/>
      <c r="BC13" s="267"/>
      <c r="BD13" s="247"/>
      <c r="BE13" s="247"/>
      <c r="BF13" s="247"/>
      <c r="BG13" s="247"/>
      <c r="BH13" s="247"/>
      <c r="BI13" s="247"/>
      <c r="BJ13" s="247"/>
      <c r="BK13" s="247"/>
      <c r="BL13" s="247"/>
      <c r="BM13" s="247"/>
      <c r="BN13" s="247"/>
      <c r="BO13" s="247"/>
      <c r="BP13" s="247"/>
      <c r="BQ13" s="247"/>
      <c r="BR13" s="247"/>
      <c r="BS13" s="247"/>
      <c r="BT13" s="247"/>
      <c r="BU13" s="247"/>
      <c r="BV13" s="247"/>
      <c r="BW13" s="247"/>
      <c r="BX13" s="247"/>
      <c r="BY13" s="247"/>
      <c r="BZ13" s="247"/>
      <c r="CA13" s="247"/>
      <c r="CB13" s="247"/>
      <c r="CC13" s="247"/>
      <c r="CD13" s="247"/>
      <c r="CE13" s="247"/>
      <c r="CF13" s="247"/>
      <c r="CG13" s="248"/>
      <c r="CH13" s="248"/>
      <c r="CI13" s="248"/>
      <c r="CJ13" s="248"/>
      <c r="CK13" s="248"/>
      <c r="CL13" s="248"/>
      <c r="CM13" s="248"/>
      <c r="CN13" s="248"/>
      <c r="CO13" s="248"/>
      <c r="CP13" s="248"/>
      <c r="CQ13" s="248"/>
      <c r="CR13" s="248"/>
      <c r="CS13" s="248"/>
      <c r="CT13" s="248"/>
      <c r="CU13" s="248"/>
      <c r="CV13" s="248"/>
      <c r="CW13" s="248"/>
      <c r="CX13" s="248"/>
      <c r="CY13" s="248"/>
      <c r="CZ13" s="248"/>
      <c r="DA13" s="248"/>
      <c r="DB13" s="248"/>
      <c r="DC13" s="248"/>
      <c r="DD13" s="248"/>
      <c r="DE13" s="248"/>
      <c r="DF13" s="248"/>
      <c r="DG13" s="248"/>
      <c r="DH13" s="248"/>
      <c r="DI13" s="248"/>
      <c r="DJ13" s="248"/>
      <c r="DK13" s="248"/>
      <c r="DL13" s="248"/>
      <c r="DM13" s="248"/>
      <c r="DN13" s="248"/>
      <c r="DO13" s="248"/>
      <c r="DP13" s="248"/>
      <c r="DQ13" s="248"/>
      <c r="DR13" s="248"/>
      <c r="DS13" s="248"/>
      <c r="DT13" s="248"/>
      <c r="DU13" s="248"/>
      <c r="DV13" s="248"/>
      <c r="DW13" s="248"/>
      <c r="DX13" s="248"/>
      <c r="DY13" s="248"/>
      <c r="DZ13" s="248"/>
      <c r="EA13" s="248"/>
      <c r="EB13" s="248"/>
      <c r="EC13" s="248"/>
      <c r="ED13" s="248"/>
      <c r="EE13" s="248"/>
      <c r="EF13" s="248"/>
      <c r="EG13" s="248"/>
      <c r="EH13" s="248"/>
      <c r="EI13" s="248"/>
      <c r="EJ13" s="248"/>
      <c r="EK13" s="248"/>
      <c r="EL13" s="248"/>
      <c r="EM13" s="248"/>
      <c r="EN13" s="248"/>
      <c r="EO13" s="248"/>
      <c r="EP13" s="248"/>
      <c r="EQ13" s="248"/>
      <c r="ER13" s="248"/>
      <c r="ES13" s="248"/>
      <c r="ET13" s="248"/>
      <c r="EU13" s="248"/>
      <c r="EV13" s="248"/>
      <c r="EW13" s="248"/>
      <c r="EX13" s="248"/>
      <c r="EY13" s="248"/>
      <c r="EZ13" s="248"/>
      <c r="FA13" s="248"/>
      <c r="FB13" s="248"/>
      <c r="FC13" s="248"/>
      <c r="FD13" s="248"/>
      <c r="FE13" s="248"/>
      <c r="FF13" s="248"/>
      <c r="FG13" s="248"/>
      <c r="FH13" s="248"/>
      <c r="FI13" s="248"/>
      <c r="FJ13" s="248"/>
      <c r="FK13" s="248"/>
      <c r="FL13" s="248"/>
      <c r="FM13" s="248"/>
      <c r="FN13" s="248"/>
      <c r="FO13" s="248"/>
      <c r="FP13" s="248"/>
      <c r="FQ13" s="248"/>
      <c r="FR13" s="248"/>
      <c r="FS13" s="248"/>
      <c r="FT13" s="248"/>
      <c r="FU13" s="248"/>
      <c r="FV13" s="248"/>
      <c r="FW13" s="248"/>
      <c r="FX13" s="248"/>
      <c r="FY13" s="248"/>
      <c r="FZ13" s="248"/>
      <c r="GA13" s="248"/>
      <c r="GB13" s="248"/>
      <c r="GC13" s="248"/>
      <c r="GD13" s="248"/>
      <c r="GE13" s="248"/>
      <c r="GF13" s="248"/>
      <c r="GG13" s="248"/>
      <c r="GH13" s="248"/>
      <c r="GI13" s="248"/>
      <c r="GJ13" s="248"/>
      <c r="GK13" s="248"/>
      <c r="GL13" s="248"/>
      <c r="GM13" s="248"/>
      <c r="GN13" s="248"/>
      <c r="GO13" s="248"/>
      <c r="GP13" s="248"/>
      <c r="GQ13" s="248"/>
      <c r="GR13" s="248"/>
      <c r="GS13" s="248"/>
      <c r="GT13" s="248"/>
      <c r="GU13" s="248"/>
      <c r="GV13" s="248"/>
      <c r="GW13" s="248"/>
      <c r="GX13" s="248"/>
      <c r="GY13" s="248"/>
      <c r="GZ13" s="248"/>
      <c r="HA13" s="248"/>
      <c r="HB13" s="248"/>
      <c r="HC13" s="248"/>
      <c r="HD13" s="248"/>
      <c r="HE13" s="248"/>
      <c r="HF13" s="248"/>
      <c r="HG13" s="248"/>
      <c r="HH13" s="248"/>
      <c r="HI13" s="248"/>
      <c r="HJ13" s="248"/>
      <c r="HK13" s="248"/>
      <c r="HL13" s="248"/>
      <c r="HM13" s="248"/>
      <c r="HN13" s="248"/>
      <c r="HO13" s="248"/>
      <c r="HP13" s="248"/>
      <c r="HQ13" s="248"/>
      <c r="HR13" s="248"/>
      <c r="HS13" s="248"/>
      <c r="HT13" s="248"/>
      <c r="HU13" s="248"/>
      <c r="HV13" s="248"/>
      <c r="HW13" s="248"/>
      <c r="HX13" s="248"/>
      <c r="HY13" s="248"/>
      <c r="HZ13" s="248"/>
      <c r="IA13" s="248"/>
      <c r="IB13" s="248"/>
      <c r="IC13" s="248"/>
      <c r="ID13" s="248"/>
      <c r="IE13" s="248"/>
      <c r="IF13" s="248"/>
      <c r="IG13" s="248"/>
      <c r="IH13" s="248"/>
      <c r="II13" s="248"/>
      <c r="IJ13" s="248"/>
      <c r="IK13" s="248"/>
      <c r="IL13" s="248"/>
      <c r="IM13" s="248"/>
      <c r="IN13" s="248"/>
      <c r="IO13" s="248"/>
      <c r="IP13" s="248"/>
      <c r="IQ13" s="248"/>
      <c r="IR13" s="248"/>
      <c r="IS13" s="248"/>
      <c r="IT13" s="248"/>
      <c r="IU13" s="248"/>
      <c r="IV13" s="248"/>
      <c r="IW13" s="248"/>
      <c r="IX13" s="248"/>
      <c r="IY13" s="248"/>
      <c r="IZ13" s="248"/>
      <c r="JA13" s="248"/>
      <c r="JB13" s="248"/>
      <c r="JC13" s="248"/>
      <c r="JD13" s="248"/>
      <c r="JE13" s="248"/>
      <c r="JF13" s="248"/>
      <c r="JG13" s="248"/>
      <c r="JH13" s="248"/>
      <c r="JI13" s="248"/>
      <c r="JJ13" s="248"/>
      <c r="JK13" s="248"/>
      <c r="JL13" s="248"/>
      <c r="JM13" s="248"/>
      <c r="JN13" s="248"/>
      <c r="JO13" s="248"/>
      <c r="JP13" s="248"/>
      <c r="JQ13" s="248"/>
      <c r="JR13" s="248"/>
      <c r="JS13" s="248"/>
      <c r="JT13" s="248"/>
      <c r="JU13" s="248"/>
      <c r="JV13" s="248"/>
      <c r="JW13" s="248"/>
      <c r="JX13" s="248"/>
      <c r="JY13" s="248"/>
      <c r="JZ13" s="248"/>
      <c r="KA13" s="248"/>
      <c r="KB13" s="248"/>
      <c r="KC13" s="248"/>
      <c r="KD13" s="248"/>
      <c r="KE13" s="248"/>
      <c r="KF13" s="248"/>
      <c r="KG13" s="248"/>
      <c r="KH13" s="248"/>
      <c r="KI13" s="248"/>
      <c r="KJ13" s="248"/>
      <c r="KK13" s="248"/>
      <c r="KL13" s="248"/>
      <c r="KM13" s="248"/>
      <c r="KN13" s="248"/>
      <c r="KO13" s="248"/>
      <c r="KP13" s="248"/>
      <c r="KQ13" s="248"/>
      <c r="KR13" s="248"/>
      <c r="KS13" s="248"/>
      <c r="KT13" s="248"/>
      <c r="KU13" s="248"/>
      <c r="KV13" s="248"/>
      <c r="KW13" s="248"/>
      <c r="KX13" s="248"/>
      <c r="KY13" s="248"/>
      <c r="KZ13" s="248"/>
      <c r="LA13" s="248"/>
      <c r="LB13" s="248"/>
      <c r="LC13" s="248"/>
      <c r="LD13" s="248"/>
      <c r="LE13" s="248"/>
      <c r="LF13" s="248"/>
      <c r="LG13" s="248"/>
      <c r="LH13" s="248"/>
      <c r="LI13" s="248"/>
      <c r="LJ13" s="248"/>
      <c r="LK13" s="248"/>
      <c r="LL13" s="248"/>
      <c r="LM13" s="248"/>
      <c r="LN13" s="248"/>
      <c r="LO13" s="248"/>
      <c r="LP13" s="248"/>
      <c r="LQ13" s="248"/>
      <c r="LR13" s="248"/>
      <c r="LS13" s="248"/>
      <c r="LT13" s="248"/>
      <c r="LU13" s="248"/>
      <c r="LV13" s="248"/>
      <c r="LW13" s="248"/>
      <c r="LX13" s="248"/>
      <c r="LY13" s="248"/>
      <c r="LZ13" s="248"/>
      <c r="MA13" s="248"/>
      <c r="MB13" s="248"/>
      <c r="MC13" s="248"/>
      <c r="MD13" s="248"/>
      <c r="ME13" s="248"/>
      <c r="MF13" s="248"/>
      <c r="MG13" s="248"/>
      <c r="MH13" s="248"/>
      <c r="MI13" s="248"/>
      <c r="MJ13" s="248"/>
      <c r="MK13" s="248"/>
      <c r="ML13" s="248"/>
      <c r="MM13" s="248"/>
      <c r="MN13" s="248"/>
      <c r="MO13" s="248"/>
      <c r="MP13" s="248"/>
      <c r="MQ13" s="248"/>
      <c r="MR13" s="248"/>
      <c r="MS13" s="248"/>
      <c r="MT13" s="248"/>
      <c r="MU13" s="248"/>
      <c r="MV13" s="249"/>
      <c r="MW13" s="248"/>
      <c r="MX13" s="248"/>
      <c r="MY13" s="248"/>
      <c r="MZ13" s="248"/>
      <c r="NA13" s="248"/>
      <c r="NB13" s="248"/>
      <c r="NC13" s="248"/>
      <c r="ND13" s="248"/>
      <c r="NE13" s="248"/>
      <c r="NF13" s="248"/>
      <c r="NG13" s="248"/>
      <c r="NH13" s="248"/>
      <c r="NI13" s="248"/>
      <c r="NJ13" s="248"/>
      <c r="NK13" s="248"/>
      <c r="NL13" s="248"/>
      <c r="NM13" s="248"/>
      <c r="NN13" s="248"/>
      <c r="NO13" s="248"/>
      <c r="NP13" s="248"/>
      <c r="NQ13" s="248"/>
      <c r="NR13" s="248"/>
      <c r="NS13" s="248"/>
      <c r="NT13" s="248"/>
      <c r="NU13" s="248"/>
      <c r="NV13" s="248"/>
      <c r="NW13" s="248"/>
      <c r="NX13" s="248"/>
      <c r="NY13" s="248"/>
      <c r="NZ13" s="248"/>
      <c r="OA13" s="248"/>
      <c r="OB13" s="248"/>
      <c r="OC13" s="248"/>
      <c r="OD13" s="248"/>
      <c r="OE13" s="248"/>
      <c r="OF13" s="248"/>
      <c r="OG13" s="248"/>
      <c r="OH13" s="248"/>
      <c r="OI13" s="248"/>
      <c r="OJ13" s="248"/>
      <c r="OK13" s="248"/>
      <c r="OL13" s="248"/>
      <c r="OM13" s="248"/>
      <c r="ON13" s="248"/>
      <c r="OO13" s="248"/>
      <c r="OP13" s="248"/>
      <c r="OQ13" s="248"/>
      <c r="OR13" s="248"/>
      <c r="OS13" s="248"/>
      <c r="OT13" s="248"/>
      <c r="OU13" s="248"/>
      <c r="OV13" s="248"/>
      <c r="OW13" s="248"/>
      <c r="OX13" s="248"/>
      <c r="OY13" s="248"/>
      <c r="OZ13" s="248"/>
      <c r="PA13" s="248"/>
      <c r="PB13" s="248"/>
      <c r="PC13" s="248"/>
      <c r="PD13" s="248"/>
      <c r="PE13" s="248"/>
      <c r="PF13" s="248"/>
      <c r="PG13" s="248"/>
      <c r="PH13" s="248"/>
      <c r="PI13" s="248"/>
      <c r="PJ13" s="248"/>
      <c r="PK13" s="248"/>
      <c r="PL13" s="248"/>
      <c r="PM13" s="248"/>
      <c r="PN13" s="248"/>
      <c r="PO13" s="248"/>
      <c r="PP13" s="248"/>
      <c r="PQ13" s="248"/>
      <c r="PR13" s="248"/>
      <c r="PS13" s="248"/>
      <c r="PT13" s="248"/>
      <c r="PU13" s="248"/>
      <c r="PV13" s="248"/>
      <c r="PW13" s="248"/>
      <c r="PX13" s="248"/>
      <c r="PY13" s="248"/>
      <c r="PZ13" s="248"/>
      <c r="QA13" s="248"/>
      <c r="QB13" s="248"/>
      <c r="QC13" s="248"/>
      <c r="QD13" s="248"/>
      <c r="QE13" s="248"/>
      <c r="QF13" s="248"/>
      <c r="QG13" s="248"/>
      <c r="QH13" s="248"/>
      <c r="QI13" s="248"/>
      <c r="QJ13" s="248"/>
      <c r="QK13" s="248"/>
      <c r="QL13" s="248"/>
      <c r="QM13" s="248"/>
      <c r="QN13" s="248"/>
      <c r="QO13" s="248"/>
      <c r="QP13" s="248"/>
      <c r="QQ13" s="248"/>
      <c r="QR13" s="248"/>
      <c r="QS13" s="248"/>
      <c r="QT13" s="248"/>
      <c r="QU13" s="248"/>
      <c r="QV13" s="248"/>
      <c r="QW13" s="248"/>
      <c r="QX13" s="248"/>
      <c r="QY13" s="248"/>
      <c r="QZ13" s="248"/>
      <c r="RA13" s="248"/>
      <c r="RB13" s="248"/>
      <c r="RC13" s="248"/>
      <c r="RD13" s="248"/>
      <c r="RE13" s="248"/>
      <c r="RF13" s="248"/>
      <c r="RG13" s="248"/>
      <c r="RH13" s="248"/>
      <c r="RI13" s="248"/>
      <c r="RJ13" s="248"/>
      <c r="RK13" s="248"/>
      <c r="RL13" s="248"/>
      <c r="RM13" s="248"/>
      <c r="RN13" s="248"/>
      <c r="RO13" s="248"/>
      <c r="RP13" s="248"/>
      <c r="RQ13" s="248"/>
      <c r="RR13" s="248"/>
      <c r="RS13" s="248"/>
      <c r="RT13" s="248"/>
      <c r="RU13" s="248"/>
      <c r="RV13" s="248"/>
      <c r="RW13" s="248"/>
      <c r="RX13" s="248"/>
      <c r="RY13" s="248"/>
      <c r="RZ13" s="248"/>
      <c r="SA13" s="248"/>
      <c r="SB13" s="248"/>
      <c r="SC13" s="248"/>
      <c r="SD13" s="248"/>
      <c r="SE13" s="248"/>
      <c r="SF13" s="248"/>
      <c r="SG13" s="248"/>
      <c r="SH13" s="248"/>
      <c r="SI13" s="248"/>
      <c r="SJ13" s="248"/>
      <c r="SK13" s="248"/>
      <c r="SL13" s="248"/>
      <c r="SM13" s="248"/>
      <c r="SN13" s="248"/>
      <c r="SO13" s="248"/>
      <c r="SP13" s="248"/>
      <c r="SQ13" s="248"/>
      <c r="SR13" s="248"/>
      <c r="SS13" s="248"/>
      <c r="ST13" s="248"/>
      <c r="SU13" s="248"/>
      <c r="SV13" s="248"/>
      <c r="SW13" s="248"/>
      <c r="SX13" s="248"/>
      <c r="SY13" s="248"/>
      <c r="SZ13" s="248"/>
      <c r="TA13" s="248"/>
      <c r="TB13" s="248"/>
      <c r="TC13" s="248"/>
      <c r="TD13" s="248"/>
      <c r="TE13" s="248"/>
      <c r="TF13" s="248"/>
      <c r="TG13" s="248"/>
      <c r="TH13" s="248"/>
      <c r="TI13" s="248"/>
      <c r="TJ13" s="248"/>
      <c r="TK13" s="248"/>
      <c r="TL13" s="248"/>
      <c r="TM13" s="248"/>
      <c r="TN13" s="248"/>
      <c r="TO13" s="248"/>
      <c r="TP13" s="248"/>
      <c r="TQ13" s="248"/>
      <c r="TR13" s="248"/>
      <c r="TS13" s="248"/>
      <c r="TT13" s="248"/>
      <c r="TU13" s="248"/>
      <c r="TV13" s="248"/>
      <c r="TW13" s="248"/>
      <c r="TX13" s="248"/>
      <c r="TY13" s="248"/>
      <c r="TZ13" s="248"/>
      <c r="UA13" s="248"/>
      <c r="UB13" s="248"/>
      <c r="UC13" s="248"/>
      <c r="UD13" s="248"/>
      <c r="UE13" s="248"/>
      <c r="UF13" s="248"/>
      <c r="UG13" s="248"/>
      <c r="UH13" s="248"/>
      <c r="UI13" s="248"/>
      <c r="UJ13" s="248"/>
      <c r="UK13" s="248"/>
      <c r="UL13" s="248"/>
      <c r="UM13" s="248"/>
      <c r="UN13" s="248"/>
      <c r="UO13" s="248"/>
      <c r="UP13" s="248"/>
      <c r="UQ13" s="248"/>
      <c r="UR13" s="248"/>
      <c r="US13" s="248"/>
      <c r="UT13" s="248"/>
      <c r="UU13" s="248"/>
      <c r="UV13" s="248"/>
      <c r="UW13" s="248"/>
      <c r="UX13" s="248"/>
      <c r="UY13" s="248"/>
      <c r="UZ13" s="248"/>
      <c r="VA13" s="248"/>
      <c r="VB13" s="248"/>
      <c r="VC13" s="248"/>
      <c r="VD13" s="248"/>
      <c r="VE13" s="248"/>
      <c r="VF13" s="248"/>
      <c r="VG13" s="248"/>
      <c r="VH13" s="248"/>
      <c r="VI13" s="248"/>
      <c r="VJ13" s="248"/>
      <c r="VK13" s="248"/>
      <c r="VL13" s="248"/>
      <c r="VM13" s="248"/>
      <c r="VN13" s="248"/>
      <c r="VO13" s="248"/>
      <c r="VP13" s="248"/>
      <c r="VQ13" s="248"/>
      <c r="VR13" s="248"/>
      <c r="VS13" s="248"/>
      <c r="VT13" s="248"/>
      <c r="VU13" s="248"/>
      <c r="VV13" s="248"/>
      <c r="VW13" s="248"/>
      <c r="VX13" s="248"/>
      <c r="VY13" s="248"/>
      <c r="VZ13" s="248"/>
      <c r="WA13" s="248"/>
      <c r="WB13" s="248"/>
      <c r="WC13" s="248"/>
      <c r="WD13" s="248"/>
      <c r="WE13" s="248"/>
      <c r="WF13" s="248"/>
      <c r="WG13" s="248"/>
      <c r="WH13" s="248"/>
      <c r="WI13" s="248"/>
      <c r="WJ13" s="248"/>
      <c r="WK13" s="248"/>
      <c r="WL13" s="248"/>
      <c r="WM13" s="248"/>
      <c r="WN13" s="248"/>
      <c r="WO13" s="248"/>
      <c r="WP13" s="248"/>
      <c r="WQ13" s="248"/>
      <c r="WR13" s="248"/>
      <c r="WS13" s="248"/>
      <c r="WT13" s="248"/>
      <c r="WU13" s="248"/>
      <c r="WV13" s="248"/>
      <c r="WW13" s="248"/>
      <c r="WX13" s="248"/>
      <c r="WY13" s="248"/>
      <c r="WZ13" s="248"/>
      <c r="XA13" s="248"/>
      <c r="XB13" s="248"/>
      <c r="XC13" s="248"/>
      <c r="XD13" s="248"/>
      <c r="XE13" s="248"/>
      <c r="XF13" s="248"/>
      <c r="XG13" s="248"/>
      <c r="XH13" s="248"/>
      <c r="XI13" s="248"/>
      <c r="XJ13" s="248"/>
      <c r="XK13" s="248"/>
      <c r="XL13" s="248"/>
      <c r="XM13" s="248"/>
      <c r="XN13" s="248"/>
      <c r="XO13" s="248"/>
      <c r="XP13" s="248"/>
      <c r="XQ13" s="248"/>
      <c r="XR13" s="248"/>
      <c r="XS13" s="248"/>
      <c r="XT13" s="248"/>
      <c r="XU13" s="248"/>
      <c r="XV13" s="248"/>
      <c r="XW13" s="248"/>
      <c r="XX13" s="248"/>
      <c r="XY13" s="248"/>
      <c r="XZ13" s="248"/>
      <c r="YA13" s="248"/>
      <c r="YB13" s="248"/>
      <c r="YC13" s="248"/>
      <c r="YD13" s="248"/>
      <c r="YE13" s="248"/>
      <c r="YF13" s="248"/>
      <c r="YG13" s="248"/>
      <c r="YH13" s="248"/>
      <c r="YI13" s="248"/>
      <c r="YJ13" s="248"/>
      <c r="YK13" s="248"/>
      <c r="YL13" s="248"/>
      <c r="YM13" s="248"/>
      <c r="YN13" s="248"/>
      <c r="YO13" s="248"/>
      <c r="YP13" s="248"/>
      <c r="YQ13" s="248"/>
      <c r="YR13" s="248"/>
      <c r="YS13" s="248"/>
      <c r="YT13" s="248"/>
      <c r="YU13" s="248"/>
      <c r="YV13" s="248"/>
      <c r="YW13" s="248"/>
      <c r="YX13" s="248"/>
      <c r="YY13" s="248"/>
      <c r="YZ13" s="248"/>
      <c r="ZA13" s="248"/>
      <c r="ZB13" s="248"/>
      <c r="ZC13" s="248"/>
      <c r="ZD13" s="248"/>
      <c r="ZE13" s="248"/>
      <c r="ZF13" s="248"/>
      <c r="ZG13" s="248"/>
      <c r="ZH13" s="248"/>
      <c r="ZI13" s="248"/>
      <c r="ZJ13" s="248"/>
      <c r="ZK13" s="248"/>
      <c r="ZL13" s="248"/>
      <c r="ZM13" s="248"/>
      <c r="ZN13" s="248"/>
      <c r="ZO13" s="248"/>
      <c r="ZP13" s="248"/>
      <c r="ZQ13" s="248"/>
      <c r="ZR13" s="248"/>
      <c r="ZS13" s="248"/>
      <c r="ZT13" s="248"/>
      <c r="ZU13" s="248"/>
      <c r="ZV13" s="248"/>
      <c r="ZW13" s="248"/>
      <c r="ZX13" s="248"/>
      <c r="ZY13" s="248"/>
      <c r="ZZ13" s="248"/>
      <c r="AAA13" s="248"/>
      <c r="AAB13" s="248"/>
      <c r="AAC13" s="248"/>
      <c r="AAD13" s="248"/>
      <c r="AAE13" s="248"/>
      <c r="AAF13" s="248"/>
      <c r="AAG13" s="248"/>
      <c r="AAH13" s="248"/>
      <c r="AAI13" s="248"/>
      <c r="AAJ13" s="248"/>
      <c r="AAK13" s="248"/>
      <c r="AAL13" s="248"/>
      <c r="AAM13" s="248"/>
      <c r="AAN13" s="248"/>
      <c r="AAO13" s="248"/>
      <c r="AAP13" s="248"/>
      <c r="AAQ13" s="248"/>
      <c r="AAR13" s="248"/>
      <c r="AAS13" s="248"/>
      <c r="AAT13" s="248"/>
      <c r="AAU13" s="248"/>
      <c r="AAV13" s="248"/>
      <c r="AAW13" s="248"/>
      <c r="AAX13" s="248"/>
      <c r="AAY13" s="248"/>
      <c r="AAZ13" s="248"/>
      <c r="ABA13" s="248"/>
      <c r="ABB13" s="248"/>
      <c r="ABC13" s="248"/>
      <c r="ABD13" s="248"/>
      <c r="ABE13" s="248"/>
      <c r="ABF13" s="248"/>
      <c r="ABG13" s="248"/>
      <c r="ABH13" s="248"/>
      <c r="ABI13" s="248"/>
      <c r="ABJ13" s="248"/>
      <c r="ABK13" s="248"/>
      <c r="ABL13" s="248"/>
      <c r="ABM13" s="248"/>
      <c r="ABN13" s="248"/>
      <c r="ABO13" s="248"/>
      <c r="ABP13" s="248"/>
      <c r="ABQ13" s="248"/>
      <c r="ABR13" s="248"/>
      <c r="ABS13" s="248"/>
      <c r="ABT13" s="248"/>
      <c r="ABU13" s="248"/>
      <c r="ABV13" s="248"/>
      <c r="ABW13" s="248"/>
      <c r="ABX13" s="248"/>
      <c r="ABY13" s="248"/>
      <c r="ABZ13" s="248"/>
      <c r="ACA13" s="248"/>
      <c r="ACB13" s="248"/>
      <c r="ACC13" s="248"/>
      <c r="ACD13" s="248"/>
      <c r="ACE13" s="248"/>
      <c r="ACF13" s="248"/>
      <c r="ACG13" s="248"/>
      <c r="ACH13" s="248"/>
      <c r="ACI13" s="248"/>
      <c r="ACJ13" s="248"/>
      <c r="ACK13" s="248"/>
      <c r="ACL13" s="248"/>
      <c r="ACM13" s="248"/>
      <c r="ACN13" s="248"/>
      <c r="ACO13" s="248"/>
      <c r="ACP13" s="248"/>
      <c r="ACQ13" s="248"/>
      <c r="ACR13" s="248"/>
      <c r="ACS13" s="248"/>
      <c r="ACT13" s="248"/>
      <c r="ACU13" s="248"/>
      <c r="ACV13" s="248"/>
      <c r="ACW13" s="248"/>
      <c r="ACX13" s="248"/>
      <c r="ACY13" s="248"/>
      <c r="ACZ13" s="248"/>
      <c r="ADA13" s="248"/>
      <c r="ADB13" s="248"/>
      <c r="ADC13" s="248"/>
      <c r="ADD13" s="248"/>
      <c r="ADE13" s="248"/>
      <c r="ADF13" s="248"/>
      <c r="ADG13" s="248"/>
      <c r="ADH13" s="248"/>
      <c r="ADI13" s="248"/>
      <c r="ADJ13" s="248"/>
      <c r="ADK13" s="248"/>
      <c r="ADL13" s="248"/>
      <c r="ADM13" s="248"/>
      <c r="ADN13" s="248"/>
      <c r="ADO13" s="248"/>
      <c r="ADP13" s="248"/>
      <c r="ADQ13" s="248"/>
      <c r="ADR13" s="248"/>
      <c r="ADS13" s="248"/>
      <c r="ADT13" s="248"/>
      <c r="ADU13" s="248"/>
      <c r="ADV13" s="248"/>
      <c r="ADW13" s="248"/>
      <c r="ADX13" s="248"/>
      <c r="ADY13" s="248"/>
      <c r="ADZ13" s="248"/>
      <c r="AEA13" s="248"/>
      <c r="AEB13" s="248"/>
      <c r="AEC13" s="248"/>
      <c r="AED13" s="248"/>
      <c r="AEE13" s="248"/>
      <c r="AEF13" s="248"/>
      <c r="AEG13" s="248"/>
      <c r="AEH13" s="248"/>
      <c r="AEI13" s="248"/>
      <c r="AEJ13" s="248"/>
      <c r="AEK13" s="248"/>
      <c r="AEL13" s="248"/>
      <c r="AEM13" s="248"/>
      <c r="AEN13" s="248"/>
      <c r="AEO13" s="248"/>
      <c r="AEP13" s="248"/>
      <c r="AEQ13" s="248"/>
      <c r="AER13" s="248"/>
      <c r="AES13" s="248"/>
      <c r="AET13" s="248"/>
      <c r="AEU13" s="248"/>
      <c r="AEV13" s="248"/>
      <c r="AEW13" s="248"/>
      <c r="AEX13" s="248"/>
      <c r="AEY13" s="248"/>
      <c r="AEZ13" s="248"/>
      <c r="AFA13" s="248"/>
      <c r="AFB13" s="248"/>
      <c r="AFC13" s="248"/>
      <c r="AFD13" s="248"/>
      <c r="AFE13" s="248"/>
      <c r="AFF13" s="248"/>
      <c r="AFG13" s="248"/>
      <c r="AFH13" s="248"/>
      <c r="AFI13" s="248"/>
      <c r="AFJ13" s="248"/>
      <c r="AFK13" s="248"/>
      <c r="AFL13" s="248"/>
      <c r="AFM13" s="248"/>
      <c r="AFN13" s="248"/>
      <c r="AFO13" s="248"/>
      <c r="AFP13" s="248"/>
      <c r="AFQ13" s="248"/>
      <c r="AFR13" s="248"/>
      <c r="AFS13" s="248"/>
      <c r="AFT13" s="248"/>
      <c r="AFU13" s="248"/>
      <c r="AFV13" s="248"/>
      <c r="AFW13" s="248"/>
      <c r="AFX13" s="248"/>
      <c r="AFY13" s="248"/>
      <c r="AFZ13" s="248"/>
      <c r="AGA13" s="248"/>
      <c r="AGB13" s="248"/>
      <c r="AGC13" s="248"/>
      <c r="AGD13" s="248"/>
      <c r="AGE13" s="248"/>
      <c r="AGF13" s="248"/>
      <c r="AGG13" s="248"/>
      <c r="AGH13" s="248"/>
      <c r="AGI13" s="248"/>
      <c r="AGJ13" s="248"/>
      <c r="AGK13" s="248"/>
      <c r="AGL13" s="248"/>
      <c r="AGM13" s="248"/>
      <c r="AGN13" s="248"/>
      <c r="AGO13" s="248"/>
      <c r="AGP13" s="248"/>
      <c r="AGQ13" s="248"/>
      <c r="AGR13" s="248"/>
      <c r="AGS13" s="248"/>
      <c r="AGT13" s="248"/>
      <c r="AGU13" s="248"/>
      <c r="AGV13" s="248"/>
      <c r="AGW13" s="248"/>
      <c r="AGX13" s="248"/>
      <c r="AGY13" s="248"/>
      <c r="AGZ13" s="248"/>
      <c r="AHA13" s="248"/>
      <c r="AHB13" s="248"/>
      <c r="AHC13" s="248"/>
      <c r="AHD13" s="248"/>
      <c r="AHE13" s="248"/>
      <c r="AHF13" s="248"/>
      <c r="AHG13" s="248"/>
      <c r="AHH13" s="248"/>
      <c r="AHI13" s="248"/>
      <c r="AHJ13" s="248"/>
      <c r="AHK13" s="248"/>
      <c r="AHL13" s="248"/>
      <c r="AHM13" s="248"/>
      <c r="AHN13" s="248"/>
      <c r="AHO13" s="248"/>
      <c r="AHP13" s="248"/>
      <c r="AHQ13" s="248"/>
      <c r="AHR13" s="248"/>
      <c r="AHS13" s="248"/>
      <c r="AHT13" s="248"/>
      <c r="AHU13" s="248"/>
      <c r="AHV13" s="248"/>
      <c r="AHW13" s="248"/>
      <c r="AHX13" s="248"/>
      <c r="AHY13" s="248"/>
      <c r="AHZ13" s="248"/>
      <c r="AIA13" s="248"/>
      <c r="AIB13" s="248"/>
      <c r="AIC13" s="248"/>
      <c r="AID13" s="248"/>
      <c r="AIE13" s="248"/>
      <c r="AIF13" s="248"/>
      <c r="AIG13" s="248"/>
      <c r="AIH13" s="248"/>
      <c r="AII13" s="248"/>
      <c r="AIJ13" s="248"/>
      <c r="AIK13" s="248"/>
      <c r="AIL13" s="248"/>
      <c r="AIM13" s="248"/>
      <c r="AIN13" s="248"/>
      <c r="AIO13" s="248"/>
      <c r="AIP13" s="248"/>
      <c r="AIQ13" s="248"/>
      <c r="AIR13" s="248"/>
      <c r="AIS13" s="248"/>
      <c r="AIT13" s="248"/>
      <c r="AIU13" s="248"/>
      <c r="AIV13" s="248"/>
      <c r="AIW13" s="248"/>
      <c r="AIX13" s="248"/>
      <c r="AIY13" s="248"/>
      <c r="AIZ13" s="248"/>
      <c r="AJA13" s="248"/>
      <c r="AJB13" s="248"/>
      <c r="AJC13" s="248"/>
      <c r="AJD13" s="248"/>
      <c r="AJE13" s="248"/>
      <c r="AJF13" s="248"/>
      <c r="AJG13" s="248"/>
      <c r="AJH13" s="248"/>
      <c r="AJI13" s="248"/>
      <c r="AJJ13" s="248"/>
      <c r="AJK13" s="248"/>
      <c r="AJL13" s="248"/>
      <c r="AJM13" s="248"/>
      <c r="AJN13" s="248"/>
      <c r="AJO13" s="248"/>
      <c r="AJP13" s="248"/>
      <c r="AJQ13" s="248"/>
      <c r="AJR13" s="248"/>
      <c r="AJS13" s="248"/>
      <c r="AJT13" s="248"/>
      <c r="AJU13" s="248"/>
      <c r="AJV13" s="248"/>
      <c r="AJW13" s="248"/>
      <c r="AJX13" s="248"/>
      <c r="AJY13" s="248"/>
      <c r="AJZ13" s="248"/>
      <c r="AKA13" s="248"/>
      <c r="AKB13" s="248"/>
      <c r="AKC13" s="248"/>
      <c r="AKD13" s="248"/>
      <c r="AKE13" s="248"/>
      <c r="AKF13" s="248"/>
      <c r="AKG13" s="248"/>
      <c r="AKH13" s="248"/>
      <c r="AKI13" s="248"/>
      <c r="AKJ13" s="248"/>
      <c r="AKK13" s="248"/>
      <c r="AKL13" s="248"/>
      <c r="AKM13" s="248"/>
      <c r="AKN13" s="248"/>
      <c r="AKO13" s="248"/>
      <c r="AKP13" s="248"/>
      <c r="AKQ13" s="248"/>
      <c r="AKR13" s="248"/>
      <c r="AKS13" s="248"/>
      <c r="AKT13" s="248"/>
      <c r="AKU13" s="248"/>
      <c r="AKV13" s="248"/>
      <c r="AKW13" s="248"/>
      <c r="AKX13" s="248"/>
      <c r="AKY13" s="248"/>
      <c r="AKZ13" s="248"/>
      <c r="ALA13" s="248"/>
      <c r="ALB13" s="248"/>
      <c r="ALC13" s="248"/>
      <c r="ALD13" s="248"/>
      <c r="ALE13" s="248"/>
      <c r="ALF13" s="248"/>
      <c r="ALG13" s="248"/>
      <c r="ALH13" s="248"/>
      <c r="ALI13" s="248"/>
      <c r="ALJ13" s="248"/>
      <c r="ALK13" s="248"/>
      <c r="ALL13" s="248"/>
      <c r="ALM13" s="248"/>
      <c r="ALN13" s="248"/>
      <c r="ALO13" s="248"/>
      <c r="ALP13" s="248"/>
      <c r="ALQ13" s="248"/>
      <c r="ALR13" s="248"/>
      <c r="ALS13" s="248"/>
      <c r="ALT13" s="248"/>
      <c r="ALU13" s="248"/>
      <c r="ALV13" s="248"/>
      <c r="ALW13" s="248"/>
      <c r="ALX13" s="248"/>
      <c r="ALY13" s="248"/>
      <c r="ALZ13" s="248"/>
      <c r="AMA13" s="248"/>
      <c r="AMB13" s="248"/>
      <c r="AMC13" s="248"/>
      <c r="AMD13" s="248"/>
      <c r="AME13" s="248"/>
      <c r="AMF13" s="248"/>
      <c r="AMG13" s="248"/>
      <c r="AMH13" s="248"/>
      <c r="AMI13" s="248"/>
      <c r="AMJ13" s="248"/>
      <c r="AMK13" s="248"/>
      <c r="AML13" s="248"/>
      <c r="AMM13" s="248"/>
      <c r="AMN13" s="248"/>
      <c r="AMO13" s="248"/>
      <c r="AMP13" s="248"/>
      <c r="AMQ13" s="248"/>
      <c r="AMR13" s="248"/>
      <c r="AMS13" s="248"/>
      <c r="AMT13" s="248"/>
      <c r="AMU13" s="248"/>
      <c r="AMV13" s="248"/>
      <c r="AMW13" s="248"/>
      <c r="AMX13" s="248"/>
      <c r="AMY13" s="248"/>
      <c r="AMZ13" s="248"/>
      <c r="ANA13" s="248"/>
      <c r="ANB13" s="248"/>
      <c r="ANC13" s="248"/>
      <c r="AND13" s="248"/>
      <c r="ANE13" s="248"/>
      <c r="ANF13" s="248"/>
      <c r="ANG13" s="248"/>
      <c r="ANH13" s="248"/>
      <c r="ANI13" s="248"/>
      <c r="ANJ13" s="248"/>
      <c r="ANK13" s="248"/>
      <c r="ANL13" s="248"/>
      <c r="ANM13" s="248"/>
      <c r="ANN13" s="248"/>
      <c r="ANO13" s="248"/>
      <c r="ANP13" s="248"/>
      <c r="ANQ13" s="248"/>
      <c r="ANR13" s="248"/>
      <c r="ANS13" s="248"/>
      <c r="ANT13" s="248"/>
      <c r="ANU13" s="248"/>
      <c r="ANV13" s="248"/>
      <c r="ANW13" s="248"/>
      <c r="ANX13" s="248"/>
      <c r="ANY13" s="248"/>
      <c r="ANZ13" s="248"/>
      <c r="AOA13" s="248"/>
      <c r="AOB13" s="248"/>
      <c r="AOC13" s="248"/>
      <c r="AOD13" s="248"/>
      <c r="AOE13" s="248"/>
      <c r="AOF13" s="248"/>
      <c r="AOG13" s="248"/>
      <c r="AOH13" s="248"/>
      <c r="AOI13" s="248"/>
      <c r="AOJ13" s="248"/>
      <c r="AOK13" s="248"/>
      <c r="AOL13" s="248"/>
      <c r="AOM13" s="248"/>
      <c r="AON13" s="248"/>
      <c r="AOO13" s="248"/>
      <c r="AOP13" s="248"/>
      <c r="AOQ13" s="248"/>
      <c r="AOR13" s="248"/>
      <c r="AOS13" s="248"/>
      <c r="AOT13" s="248"/>
      <c r="AOU13" s="248"/>
      <c r="AOV13" s="248"/>
      <c r="AOW13" s="248"/>
      <c r="AOX13" s="248"/>
      <c r="AOY13" s="248"/>
      <c r="AOZ13" s="248"/>
      <c r="APA13" s="248"/>
      <c r="APB13" s="248"/>
      <c r="APC13" s="248"/>
      <c r="APD13" s="248"/>
      <c r="APE13" s="248"/>
      <c r="APF13" s="248"/>
      <c r="APG13" s="248"/>
      <c r="APH13" s="248"/>
      <c r="API13" s="248"/>
      <c r="APJ13" s="248"/>
      <c r="APK13" s="248"/>
      <c r="APL13" s="248"/>
      <c r="APM13" s="248"/>
      <c r="APN13" s="248"/>
      <c r="APO13" s="248"/>
      <c r="APP13" s="248"/>
      <c r="APQ13" s="248"/>
      <c r="APR13" s="248"/>
      <c r="APS13" s="248"/>
      <c r="APT13" s="248"/>
      <c r="APU13" s="248"/>
      <c r="APV13" s="248"/>
      <c r="APW13" s="248"/>
      <c r="APX13" s="248"/>
      <c r="APY13" s="248"/>
      <c r="APZ13" s="248"/>
      <c r="AQA13" s="248"/>
      <c r="AQB13" s="248"/>
      <c r="AQC13" s="248"/>
      <c r="AQD13" s="248"/>
      <c r="AQE13" s="248"/>
      <c r="AQF13" s="248"/>
      <c r="AQG13" s="248"/>
      <c r="AQH13" s="248"/>
      <c r="AQI13" s="248"/>
      <c r="AQJ13" s="248"/>
      <c r="AQK13" s="248"/>
      <c r="AQL13" s="248"/>
      <c r="AQM13" s="248"/>
      <c r="AQN13" s="248"/>
      <c r="AQO13" s="248"/>
      <c r="AQP13" s="248"/>
      <c r="AQQ13" s="248"/>
      <c r="AQR13" s="248"/>
      <c r="AQS13" s="248"/>
      <c r="AQT13" s="248"/>
      <c r="AQU13" s="248"/>
      <c r="AQV13" s="248"/>
      <c r="AQW13" s="248"/>
      <c r="AQX13" s="248"/>
      <c r="AQY13" s="248"/>
      <c r="AQZ13" s="248"/>
      <c r="ARA13" s="248"/>
      <c r="ARB13" s="248"/>
      <c r="ARC13" s="248"/>
      <c r="ARD13" s="248"/>
      <c r="ARE13" s="248"/>
      <c r="ARF13" s="248"/>
      <c r="ARG13" s="248"/>
      <c r="ARH13" s="248"/>
      <c r="ARI13" s="248"/>
      <c r="ARJ13" s="248"/>
      <c r="ARK13" s="248"/>
      <c r="ARL13" s="248"/>
      <c r="ARM13" s="248"/>
      <c r="ARN13" s="248"/>
      <c r="ARO13" s="248"/>
      <c r="ARP13" s="248"/>
      <c r="ARQ13" s="248"/>
      <c r="ARR13" s="248"/>
      <c r="ARS13" s="248"/>
      <c r="ART13" s="248"/>
      <c r="ARU13" s="248"/>
      <c r="ARV13" s="248"/>
      <c r="ARW13" s="248"/>
      <c r="ARX13" s="248"/>
      <c r="ARY13" s="248"/>
      <c r="ARZ13" s="248"/>
      <c r="ASA13" s="248"/>
      <c r="ASB13" s="248"/>
      <c r="ASC13" s="248"/>
      <c r="ASD13" s="248"/>
      <c r="ASE13" s="248"/>
      <c r="ASF13" s="248"/>
      <c r="ASG13" s="248"/>
      <c r="ASH13" s="248"/>
      <c r="ASI13" s="248"/>
      <c r="ASJ13" s="248"/>
      <c r="ASK13" s="248"/>
      <c r="ASL13" s="248"/>
      <c r="ASM13" s="248"/>
      <c r="ASN13" s="248"/>
      <c r="ASO13" s="248"/>
      <c r="ASP13" s="248"/>
      <c r="ASQ13" s="248"/>
      <c r="ASR13" s="248"/>
      <c r="ASS13" s="248"/>
      <c r="AST13" s="248"/>
      <c r="ASU13" s="248"/>
      <c r="ASV13" s="248"/>
      <c r="ASW13" s="248"/>
      <c r="ASX13" s="248"/>
      <c r="ASY13" s="248"/>
      <c r="ASZ13" s="248"/>
      <c r="ATA13" s="248"/>
      <c r="ATB13" s="248"/>
      <c r="ATC13" s="248"/>
      <c r="ATD13" s="248"/>
      <c r="ATE13" s="248"/>
      <c r="ATF13" s="248"/>
      <c r="ATG13" s="248"/>
      <c r="ATH13" s="248"/>
      <c r="ATI13" s="248"/>
      <c r="ATJ13" s="248"/>
      <c r="ATK13" s="248"/>
      <c r="ATL13" s="248"/>
      <c r="ATM13" s="248"/>
      <c r="ATN13" s="248"/>
      <c r="ATO13" s="248"/>
      <c r="ATP13" s="248"/>
      <c r="ATQ13" s="248"/>
      <c r="ATR13" s="248"/>
      <c r="ATS13" s="248"/>
      <c r="ATT13" s="248"/>
      <c r="ATU13" s="248"/>
      <c r="ATV13" s="248"/>
      <c r="ATW13" s="248"/>
      <c r="ATX13" s="248"/>
      <c r="ATY13" s="248"/>
      <c r="ATZ13" s="248"/>
      <c r="AUA13" s="248"/>
      <c r="AUB13" s="248"/>
      <c r="AUC13" s="248"/>
      <c r="AUD13" s="248"/>
      <c r="AUE13" s="248"/>
      <c r="AUF13" s="248"/>
      <c r="AUG13" s="248"/>
      <c r="AUH13" s="248"/>
      <c r="AUI13" s="248"/>
      <c r="AUJ13" s="248"/>
      <c r="AUK13" s="248"/>
      <c r="AUL13" s="248"/>
      <c r="AUM13" s="248"/>
      <c r="AUN13" s="248"/>
      <c r="AUO13" s="248"/>
      <c r="AUP13" s="248"/>
      <c r="AUQ13" s="248"/>
      <c r="AUR13" s="248"/>
      <c r="AUS13" s="248"/>
      <c r="AUT13" s="248"/>
      <c r="AUU13" s="248"/>
      <c r="AUV13" s="248"/>
      <c r="AUW13" s="248"/>
      <c r="AUX13" s="248"/>
      <c r="AUY13" s="248"/>
      <c r="AUZ13" s="248"/>
      <c r="AVA13" s="248"/>
      <c r="AVB13" s="248"/>
      <c r="AVC13" s="248"/>
      <c r="AVD13" s="248"/>
      <c r="AVE13" s="248"/>
      <c r="AVF13" s="248"/>
      <c r="AVG13" s="248"/>
      <c r="AVH13" s="248"/>
      <c r="AVI13" s="248"/>
      <c r="AVJ13" s="248"/>
      <c r="AVK13" s="248"/>
      <c r="AVL13" s="248"/>
      <c r="AVM13" s="248"/>
      <c r="AVN13" s="248"/>
      <c r="AVO13" s="248"/>
      <c r="AVP13" s="248"/>
      <c r="AVQ13" s="248"/>
      <c r="AVR13" s="248"/>
      <c r="AVS13" s="248"/>
      <c r="AVT13" s="248"/>
      <c r="AVU13" s="248"/>
      <c r="AVV13" s="248"/>
      <c r="AVW13" s="248"/>
      <c r="AVX13" s="248"/>
      <c r="AVY13" s="248"/>
      <c r="AVZ13" s="248"/>
      <c r="AWA13" s="248"/>
      <c r="AWB13" s="248"/>
      <c r="AWC13" s="248"/>
      <c r="AWD13" s="248"/>
      <c r="AWE13" s="248"/>
      <c r="AWF13" s="248"/>
      <c r="AWG13" s="248"/>
      <c r="AWH13" s="248"/>
      <c r="AWI13" s="248"/>
      <c r="AWJ13" s="248"/>
      <c r="AWK13" s="248"/>
      <c r="AWL13" s="248"/>
      <c r="AWM13" s="248"/>
      <c r="AWN13" s="248"/>
      <c r="AWO13" s="248"/>
      <c r="AWP13" s="248"/>
      <c r="AWQ13" s="248"/>
      <c r="AWR13" s="248"/>
      <c r="AWS13" s="248"/>
      <c r="AWT13" s="248"/>
      <c r="AWU13" s="248"/>
      <c r="AWV13" s="248"/>
      <c r="AWW13" s="248"/>
      <c r="AWX13" s="248"/>
      <c r="AWY13" s="248"/>
      <c r="AWZ13" s="248"/>
      <c r="AXA13" s="248"/>
      <c r="AXB13" s="248"/>
      <c r="AXC13" s="248"/>
      <c r="AXD13" s="248"/>
      <c r="AXE13" s="248"/>
      <c r="AXF13" s="248"/>
      <c r="AXG13" s="248"/>
      <c r="AXH13" s="248"/>
      <c r="AXI13" s="248"/>
      <c r="AXJ13" s="248"/>
      <c r="AXK13" s="248"/>
      <c r="AXL13" s="248"/>
      <c r="AXM13" s="248"/>
      <c r="AXN13" s="248"/>
      <c r="AXO13" s="248"/>
      <c r="AXP13" s="248"/>
      <c r="AXQ13" s="248"/>
      <c r="AXR13" s="248"/>
      <c r="AXS13" s="248"/>
      <c r="AXT13" s="248"/>
      <c r="AXU13" s="248"/>
      <c r="AXV13" s="248"/>
      <c r="AXW13" s="248"/>
      <c r="AXX13" s="248"/>
      <c r="AXY13" s="248"/>
      <c r="AXZ13" s="248"/>
      <c r="AYA13" s="248"/>
      <c r="AYB13" s="248"/>
      <c r="AYC13" s="248"/>
      <c r="AYD13" s="248"/>
      <c r="AYE13" s="248"/>
      <c r="AYF13" s="248"/>
      <c r="AYG13" s="248"/>
      <c r="AYH13" s="248"/>
      <c r="AYI13" s="248"/>
      <c r="AYJ13" s="248"/>
      <c r="AYK13" s="248"/>
      <c r="AYL13" s="248"/>
      <c r="AYM13" s="248"/>
      <c r="AYN13" s="248"/>
      <c r="AYO13" s="248"/>
      <c r="AYP13" s="248"/>
      <c r="AYQ13" s="248"/>
      <c r="AYR13" s="248"/>
      <c r="AYS13" s="248"/>
      <c r="AYT13" s="248"/>
      <c r="AYU13" s="248"/>
      <c r="AYV13" s="248"/>
      <c r="AYW13" s="248"/>
      <c r="AYX13" s="248"/>
      <c r="AYY13" s="248"/>
      <c r="AYZ13" s="248"/>
      <c r="AZA13" s="248"/>
      <c r="AZB13" s="248"/>
      <c r="AZC13" s="248"/>
      <c r="AZD13" s="248"/>
      <c r="AZE13" s="248"/>
      <c r="AZF13" s="248"/>
      <c r="AZG13" s="248"/>
      <c r="AZH13" s="248"/>
      <c r="AZI13" s="248"/>
      <c r="AZJ13" s="248"/>
      <c r="AZK13" s="248"/>
      <c r="AZL13" s="248"/>
      <c r="AZM13" s="248"/>
      <c r="AZN13" s="248"/>
      <c r="AZO13" s="248"/>
      <c r="AZP13" s="248"/>
      <c r="AZQ13" s="248"/>
      <c r="AZR13" s="248"/>
      <c r="AZS13" s="248"/>
      <c r="AZT13" s="248"/>
      <c r="AZU13" s="248"/>
      <c r="AZV13" s="248"/>
      <c r="AZW13" s="248"/>
      <c r="AZX13" s="248"/>
      <c r="AZY13" s="248"/>
      <c r="AZZ13" s="248"/>
      <c r="BAA13" s="248"/>
      <c r="BAB13" s="248"/>
      <c r="BAC13" s="248"/>
      <c r="BAD13" s="248"/>
      <c r="BAE13" s="248"/>
      <c r="BAF13" s="248"/>
      <c r="BAG13" s="248"/>
      <c r="BAH13" s="248"/>
      <c r="BAI13" s="248"/>
      <c r="BAJ13" s="248"/>
      <c r="BAK13" s="248"/>
      <c r="BAL13" s="248"/>
      <c r="BAM13" s="248"/>
      <c r="BAN13" s="248"/>
      <c r="BAO13" s="248"/>
      <c r="BAP13" s="248"/>
      <c r="BAQ13" s="248"/>
      <c r="BAR13" s="248"/>
      <c r="BAS13" s="248"/>
      <c r="BAT13" s="248"/>
      <c r="BAU13" s="248"/>
      <c r="BAV13" s="248"/>
      <c r="BAW13" s="248"/>
      <c r="BAX13" s="248"/>
      <c r="BAY13" s="248"/>
      <c r="BAZ13" s="248"/>
      <c r="BBA13" s="248"/>
      <c r="BBB13" s="248"/>
      <c r="BBC13" s="248"/>
      <c r="BBD13" s="248"/>
      <c r="BBE13" s="248"/>
      <c r="BBF13" s="248"/>
      <c r="BBG13" s="248"/>
      <c r="BBH13" s="248"/>
      <c r="BBI13" s="248"/>
      <c r="BBJ13" s="248"/>
      <c r="BBK13" s="248"/>
      <c r="BBL13" s="248"/>
      <c r="BBM13" s="248"/>
      <c r="BBN13" s="248"/>
      <c r="BBO13" s="248"/>
      <c r="BBP13" s="248"/>
      <c r="BBQ13" s="248"/>
      <c r="BBR13" s="248"/>
      <c r="BBS13" s="248"/>
      <c r="BBT13" s="248"/>
      <c r="BBU13" s="248"/>
      <c r="BBV13" s="248"/>
      <c r="BBW13" s="248"/>
      <c r="BBX13" s="248"/>
      <c r="BBY13" s="248"/>
      <c r="BBZ13" s="248"/>
      <c r="BCA13" s="248"/>
      <c r="BCB13" s="248"/>
      <c r="BCC13" s="248"/>
      <c r="BCD13" s="248"/>
      <c r="BCE13" s="248"/>
      <c r="BCF13" s="248"/>
      <c r="BCG13" s="248"/>
      <c r="BCH13" s="248"/>
      <c r="BCI13" s="248"/>
      <c r="BCJ13" s="248"/>
      <c r="BCK13" s="248"/>
      <c r="BCL13" s="248"/>
      <c r="BCM13" s="248"/>
      <c r="BCN13" s="248"/>
      <c r="BCO13" s="248"/>
      <c r="BCP13" s="248"/>
      <c r="BCQ13" s="248"/>
      <c r="BCR13" s="248"/>
      <c r="BCS13" s="248"/>
      <c r="BCT13" s="248"/>
      <c r="BCU13" s="248"/>
      <c r="BCV13" s="248"/>
      <c r="BCW13" s="248"/>
      <c r="BCX13" s="248"/>
      <c r="BCY13" s="248"/>
      <c r="BCZ13" s="248"/>
      <c r="BDA13" s="248"/>
      <c r="BDB13" s="248"/>
      <c r="BDC13" s="248"/>
      <c r="BDD13" s="248"/>
      <c r="BDE13" s="248"/>
      <c r="BDF13" s="248"/>
      <c r="BDG13" s="248"/>
      <c r="BDH13" s="248"/>
      <c r="BDI13" s="248"/>
      <c r="BDJ13" s="248"/>
      <c r="BDK13" s="248"/>
      <c r="BDL13" s="248"/>
      <c r="BDM13" s="248"/>
      <c r="BDN13" s="248"/>
      <c r="BDO13" s="248"/>
      <c r="BDP13" s="248"/>
      <c r="BDQ13" s="248"/>
      <c r="BDR13" s="248"/>
      <c r="BDS13" s="248"/>
      <c r="BDT13" s="248"/>
      <c r="BDU13" s="248"/>
      <c r="BDV13" s="248"/>
      <c r="BDW13" s="248"/>
      <c r="BDX13" s="248"/>
      <c r="BDY13" s="248"/>
      <c r="BDZ13" s="248"/>
      <c r="BEA13" s="248"/>
      <c r="BEB13" s="248"/>
      <c r="BEC13" s="248"/>
      <c r="BED13" s="248"/>
      <c r="BEE13" s="248"/>
      <c r="BEF13" s="248"/>
      <c r="BEG13" s="248"/>
      <c r="BEH13" s="248"/>
      <c r="BEI13" s="248"/>
      <c r="BEJ13" s="248"/>
      <c r="BEK13" s="248"/>
      <c r="BEL13" s="248"/>
      <c r="BEM13" s="248"/>
      <c r="BEN13" s="248"/>
      <c r="BEO13" s="248"/>
      <c r="BEP13" s="248"/>
      <c r="BEQ13" s="248"/>
      <c r="BER13" s="248"/>
      <c r="BES13" s="248"/>
      <c r="BET13" s="248"/>
      <c r="BEU13" s="248"/>
      <c r="BEV13" s="248"/>
      <c r="BEW13" s="248"/>
      <c r="BEX13" s="248"/>
      <c r="BEY13" s="248"/>
      <c r="BEZ13" s="248"/>
      <c r="BFA13" s="248"/>
      <c r="BFB13" s="248"/>
      <c r="BFC13" s="248"/>
      <c r="BFD13" s="248"/>
      <c r="BFE13" s="248"/>
      <c r="BFF13" s="248"/>
      <c r="BFG13" s="248"/>
      <c r="BFH13" s="248"/>
      <c r="BFI13" s="248"/>
      <c r="BFJ13" s="248"/>
      <c r="BFK13" s="248"/>
      <c r="BFL13" s="248"/>
      <c r="BFM13" s="248"/>
      <c r="BFN13" s="248"/>
      <c r="BFO13" s="248"/>
      <c r="BFP13" s="248"/>
      <c r="BFQ13" s="248"/>
      <c r="BFR13" s="248"/>
      <c r="BFS13" s="248"/>
      <c r="BFT13" s="248"/>
      <c r="BFU13" s="248"/>
      <c r="BFV13" s="248"/>
      <c r="BFW13" s="248"/>
      <c r="BFX13" s="248"/>
      <c r="BFY13" s="248"/>
      <c r="BFZ13" s="248"/>
      <c r="BGA13" s="248"/>
      <c r="BGB13" s="248"/>
      <c r="BGC13" s="248"/>
      <c r="BGD13" s="248"/>
      <c r="BGE13" s="248"/>
      <c r="BGF13" s="248"/>
      <c r="BGG13" s="248"/>
      <c r="BGH13" s="248"/>
      <c r="BGI13" s="248"/>
      <c r="BGJ13" s="248"/>
      <c r="BGK13" s="248"/>
      <c r="BGL13" s="248"/>
      <c r="BGM13" s="248"/>
      <c r="BGN13" s="248"/>
      <c r="BGO13" s="248"/>
      <c r="BGP13" s="248"/>
      <c r="BGQ13" s="248"/>
      <c r="BGR13" s="248"/>
      <c r="BGS13" s="248"/>
      <c r="BGT13" s="248"/>
      <c r="BGU13" s="248"/>
      <c r="BGV13" s="248"/>
      <c r="BGW13" s="248"/>
      <c r="BGX13" s="248"/>
      <c r="BGY13" s="248"/>
      <c r="BGZ13" s="248"/>
      <c r="BHA13" s="248"/>
      <c r="BHB13" s="248"/>
      <c r="BHC13" s="248"/>
      <c r="BHD13" s="248"/>
      <c r="BHE13" s="248"/>
      <c r="BHF13" s="248"/>
      <c r="BHG13" s="248"/>
      <c r="BHH13" s="248"/>
      <c r="BHI13" s="248"/>
      <c r="BHJ13" s="248"/>
      <c r="BHK13" s="248"/>
      <c r="BHL13" s="248"/>
      <c r="BHM13" s="248"/>
      <c r="BHN13" s="248"/>
      <c r="BHO13" s="248"/>
      <c r="BHP13" s="248"/>
      <c r="BHQ13" s="248"/>
      <c r="BHR13" s="248"/>
      <c r="BHS13" s="248"/>
      <c r="BHT13" s="248"/>
      <c r="BHU13" s="248"/>
      <c r="BHV13" s="248"/>
      <c r="BHW13" s="248"/>
      <c r="BHX13" s="248"/>
      <c r="BHY13" s="248"/>
      <c r="BHZ13" s="248"/>
      <c r="BIA13" s="248"/>
      <c r="BIB13" s="248"/>
      <c r="BIC13" s="248"/>
      <c r="BID13" s="248"/>
      <c r="BIE13" s="248"/>
      <c r="BIF13" s="248"/>
      <c r="BIG13" s="248"/>
      <c r="BIH13" s="248"/>
      <c r="BII13" s="248"/>
      <c r="BIJ13" s="248"/>
      <c r="BIK13" s="248"/>
      <c r="BIL13" s="248"/>
      <c r="BIM13" s="248"/>
      <c r="BIN13" s="248"/>
      <c r="BIO13" s="248"/>
      <c r="BIP13" s="248"/>
      <c r="BIQ13" s="248"/>
      <c r="BIR13" s="248"/>
      <c r="BIS13" s="248"/>
      <c r="BIT13" s="248"/>
      <c r="BIU13" s="248"/>
      <c r="BIV13" s="248"/>
      <c r="BIW13" s="248"/>
      <c r="BIX13" s="248"/>
      <c r="BIY13" s="248"/>
      <c r="BIZ13" s="248"/>
      <c r="BJA13" s="248"/>
      <c r="BJB13" s="248"/>
      <c r="BJC13" s="248"/>
      <c r="BJD13" s="248"/>
      <c r="BJE13" s="248"/>
      <c r="BJF13" s="248"/>
      <c r="BJG13" s="248"/>
      <c r="BJH13" s="248"/>
      <c r="BJI13" s="248"/>
      <c r="BJJ13" s="248"/>
      <c r="BJK13" s="248"/>
      <c r="BJL13" s="248"/>
      <c r="BJM13" s="248"/>
      <c r="BJN13" s="248"/>
      <c r="BJO13" s="248"/>
      <c r="BJP13" s="248"/>
      <c r="BJQ13" s="248"/>
      <c r="BJR13" s="248"/>
      <c r="BJS13" s="248"/>
      <c r="BJT13" s="248"/>
      <c r="BJU13" s="248"/>
      <c r="BJV13" s="248"/>
      <c r="BJW13" s="248"/>
      <c r="BJX13" s="248"/>
      <c r="BJY13" s="248"/>
      <c r="BJZ13" s="248"/>
      <c r="BKA13" s="248"/>
      <c r="BKB13" s="248"/>
      <c r="BKC13" s="248"/>
      <c r="BKD13" s="248"/>
      <c r="BKE13" s="248"/>
      <c r="BKF13" s="248"/>
      <c r="BKG13" s="248"/>
      <c r="BKH13" s="248"/>
      <c r="BKI13" s="248"/>
      <c r="BKJ13" s="248"/>
      <c r="BKK13" s="248"/>
      <c r="BKL13" s="248"/>
      <c r="BKM13" s="248"/>
      <c r="BKN13" s="248"/>
      <c r="BKO13" s="248"/>
      <c r="BKP13" s="248"/>
      <c r="BKQ13" s="248"/>
      <c r="BKR13" s="248"/>
      <c r="BKS13" s="248"/>
      <c r="BKT13" s="248"/>
      <c r="BKU13" s="248"/>
      <c r="BKV13" s="248"/>
      <c r="BKW13" s="248"/>
      <c r="BKX13" s="248"/>
      <c r="BKY13" s="248"/>
      <c r="BKZ13" s="248"/>
      <c r="BLA13" s="248"/>
      <c r="BLB13" s="248"/>
      <c r="BLC13" s="248"/>
      <c r="BLD13" s="248"/>
      <c r="BLE13" s="248"/>
      <c r="BLF13" s="248"/>
      <c r="BLG13" s="248"/>
      <c r="BLH13" s="248"/>
      <c r="BLI13" s="248"/>
      <c r="BLJ13" s="248"/>
      <c r="BLK13" s="248"/>
      <c r="BLL13" s="248"/>
      <c r="BLM13" s="248"/>
      <c r="BLN13" s="248"/>
      <c r="BLO13" s="248"/>
      <c r="BLP13" s="248"/>
      <c r="BLQ13" s="248"/>
      <c r="BLR13" s="248"/>
      <c r="BLS13" s="248"/>
      <c r="BLT13" s="248"/>
      <c r="BLU13" s="248"/>
      <c r="BLV13" s="248"/>
      <c r="BLW13" s="248"/>
      <c r="BLX13" s="248"/>
      <c r="BLY13" s="248"/>
      <c r="BLZ13" s="248"/>
      <c r="BMA13" s="248"/>
      <c r="BMB13" s="248"/>
      <c r="BMC13" s="248"/>
      <c r="BMD13" s="248"/>
      <c r="BME13" s="248"/>
      <c r="BMF13" s="248"/>
      <c r="BMG13" s="248"/>
      <c r="BMH13" s="248"/>
      <c r="BMI13" s="248"/>
      <c r="BMJ13" s="248"/>
      <c r="BMK13" s="248"/>
      <c r="BML13" s="248"/>
      <c r="BMM13" s="248"/>
      <c r="BMN13" s="248"/>
      <c r="BMO13" s="248"/>
      <c r="BMP13" s="248"/>
      <c r="BMQ13" s="248"/>
      <c r="BMR13" s="248"/>
      <c r="BMS13" s="248"/>
      <c r="BMT13" s="248"/>
      <c r="BMU13" s="248"/>
      <c r="BMV13" s="248"/>
      <c r="BMW13" s="248"/>
      <c r="BMX13" s="248"/>
      <c r="BMY13" s="248"/>
      <c r="BMZ13" s="248"/>
      <c r="BNA13" s="248"/>
      <c r="BNB13" s="248"/>
      <c r="BNC13" s="248"/>
      <c r="BND13" s="248"/>
      <c r="BNE13" s="248"/>
      <c r="BNF13" s="248"/>
      <c r="BNG13" s="248"/>
      <c r="BNH13" s="248"/>
      <c r="BNI13" s="248"/>
      <c r="BNJ13" s="248"/>
      <c r="BNK13" s="248"/>
      <c r="BNL13" s="248"/>
      <c r="BNM13" s="248"/>
      <c r="BNN13" s="248"/>
      <c r="BNO13" s="248"/>
      <c r="BNP13" s="248"/>
      <c r="BNQ13" s="248"/>
      <c r="BNR13" s="248"/>
      <c r="BNS13" s="248"/>
      <c r="BNT13" s="248"/>
      <c r="BNU13" s="248"/>
      <c r="BNV13" s="248"/>
      <c r="BNW13" s="248"/>
      <c r="BNX13" s="248"/>
      <c r="BNY13" s="248"/>
      <c r="BNZ13" s="248"/>
      <c r="BOA13" s="248"/>
      <c r="BOB13" s="248"/>
      <c r="BOC13" s="248"/>
      <c r="BOD13" s="248"/>
      <c r="BOE13" s="248"/>
      <c r="BOF13" s="248"/>
      <c r="BOG13" s="248"/>
      <c r="BOH13" s="248"/>
      <c r="BOI13" s="248"/>
      <c r="BOJ13" s="248"/>
      <c r="BOK13" s="248"/>
      <c r="BOL13" s="248"/>
      <c r="BOM13" s="248"/>
      <c r="BON13" s="248"/>
      <c r="BOO13" s="248"/>
      <c r="BOP13" s="248"/>
      <c r="BOQ13" s="248"/>
      <c r="BOR13" s="248"/>
      <c r="BOS13" s="248"/>
      <c r="BOT13" s="248"/>
      <c r="BOU13" s="248"/>
      <c r="BOV13" s="248"/>
      <c r="BOW13" s="248"/>
      <c r="BOX13" s="248"/>
      <c r="BOY13" s="248"/>
      <c r="BOZ13" s="248"/>
      <c r="BPA13" s="248"/>
      <c r="BPB13" s="248"/>
      <c r="BPC13" s="248"/>
      <c r="BPD13" s="248"/>
      <c r="BPE13" s="248"/>
      <c r="BPF13" s="248"/>
      <c r="BPG13" s="248"/>
      <c r="BPH13" s="248"/>
      <c r="BPI13" s="248"/>
      <c r="BPJ13" s="248"/>
      <c r="BPK13" s="248"/>
      <c r="BPL13" s="248"/>
      <c r="BPM13" s="248"/>
      <c r="BPN13" s="248"/>
      <c r="BPO13" s="248"/>
      <c r="BPP13" s="248"/>
      <c r="BPQ13" s="248"/>
      <c r="BPR13" s="248"/>
      <c r="BPS13" s="248"/>
      <c r="BPT13" s="248"/>
      <c r="BPU13" s="248"/>
      <c r="BPV13" s="248"/>
      <c r="BPW13" s="248"/>
      <c r="BPX13" s="248"/>
      <c r="BPY13" s="248"/>
      <c r="BPZ13" s="248"/>
      <c r="BQA13" s="248"/>
      <c r="BQB13" s="248"/>
      <c r="BQC13" s="248"/>
      <c r="BQD13" s="248"/>
      <c r="BQE13" s="248"/>
      <c r="BQF13" s="248"/>
      <c r="BQG13" s="248"/>
      <c r="BQH13" s="248"/>
      <c r="BQI13" s="248"/>
      <c r="BQJ13" s="248"/>
      <c r="BQK13" s="248"/>
      <c r="BQL13" s="248"/>
      <c r="BQM13" s="248"/>
      <c r="BQN13" s="248"/>
      <c r="BQO13" s="248"/>
      <c r="BQP13" s="248"/>
      <c r="BQQ13" s="248"/>
      <c r="BQR13" s="248"/>
      <c r="BQS13" s="248"/>
      <c r="BQT13" s="248"/>
      <c r="BQU13" s="248"/>
      <c r="BQV13" s="248"/>
      <c r="BQW13" s="248"/>
      <c r="BQX13" s="248"/>
      <c r="BQY13" s="248"/>
      <c r="BQZ13" s="248"/>
      <c r="BRA13" s="248"/>
      <c r="BRB13" s="248"/>
      <c r="BRC13" s="248"/>
      <c r="BRD13" s="248"/>
      <c r="BRE13" s="248"/>
      <c r="BRF13" s="248"/>
      <c r="BRG13" s="248"/>
      <c r="BRH13" s="248"/>
      <c r="BRI13" s="248"/>
      <c r="BRJ13" s="248"/>
      <c r="BRK13" s="248"/>
      <c r="BRL13" s="248"/>
      <c r="BRM13" s="248"/>
      <c r="BRN13" s="248"/>
      <c r="BRO13" s="248"/>
      <c r="BRP13" s="248"/>
      <c r="BRQ13" s="248"/>
      <c r="BRR13" s="248"/>
      <c r="BRS13" s="248"/>
      <c r="BRT13" s="248"/>
      <c r="BRU13" s="248"/>
      <c r="BRV13" s="248"/>
      <c r="BRW13" s="248"/>
      <c r="BRX13" s="248"/>
      <c r="BRY13" s="248"/>
      <c r="BRZ13" s="248"/>
      <c r="BSA13" s="248"/>
      <c r="BSB13" s="248"/>
      <c r="BSC13" s="248"/>
      <c r="BSD13" s="248"/>
      <c r="BSE13" s="248"/>
      <c r="BSF13" s="248"/>
      <c r="BSG13" s="248"/>
      <c r="BSH13" s="248"/>
      <c r="BSI13" s="248"/>
      <c r="BSJ13" s="248"/>
      <c r="BSK13" s="248"/>
      <c r="BSL13" s="248"/>
      <c r="BSM13" s="248"/>
      <c r="BSN13" s="248"/>
      <c r="BSO13" s="248"/>
      <c r="BSP13" s="248"/>
      <c r="BSQ13" s="248"/>
      <c r="BSR13" s="248"/>
      <c r="BSS13" s="248"/>
      <c r="BST13" s="248"/>
      <c r="BSU13" s="248"/>
      <c r="BSV13" s="248"/>
      <c r="BSW13" s="248"/>
      <c r="BSX13" s="248"/>
      <c r="BSY13" s="248"/>
      <c r="BSZ13" s="248"/>
      <c r="BTA13" s="248"/>
      <c r="BTB13" s="248"/>
      <c r="BTC13" s="248"/>
      <c r="BTD13" s="248"/>
      <c r="BTE13" s="248"/>
      <c r="BTF13" s="248"/>
      <c r="BTG13" s="248"/>
      <c r="BTH13" s="248"/>
      <c r="BTI13" s="248"/>
      <c r="BTJ13" s="248"/>
      <c r="BTK13" s="248"/>
      <c r="BTL13" s="248"/>
      <c r="BTM13" s="248"/>
      <c r="BTN13" s="248"/>
      <c r="BTO13" s="248"/>
      <c r="BTP13" s="248"/>
      <c r="BTQ13" s="248"/>
      <c r="BTR13" s="248"/>
      <c r="BTS13" s="248"/>
      <c r="BTT13" s="248"/>
      <c r="BTU13" s="248"/>
      <c r="BTV13" s="248"/>
      <c r="BTW13" s="248"/>
      <c r="BTX13" s="248"/>
      <c r="BTY13" s="248"/>
      <c r="BTZ13" s="248"/>
      <c r="BUA13" s="248"/>
      <c r="BUB13" s="248"/>
      <c r="BUC13" s="248"/>
      <c r="BUD13" s="248"/>
      <c r="BUE13" s="248"/>
      <c r="BUF13" s="248"/>
      <c r="BUG13" s="248"/>
      <c r="BUH13" s="248"/>
      <c r="BUI13" s="248"/>
      <c r="BUJ13" s="248"/>
      <c r="BUK13" s="248"/>
      <c r="BUL13" s="248"/>
      <c r="BUM13" s="248"/>
      <c r="BUN13" s="248"/>
      <c r="BUO13" s="248"/>
      <c r="BUP13" s="248"/>
      <c r="BUQ13" s="248"/>
      <c r="BUR13" s="248"/>
      <c r="BUS13" s="248"/>
      <c r="BUT13" s="248"/>
      <c r="BUU13" s="248"/>
      <c r="BUV13" s="248"/>
      <c r="BUW13" s="248"/>
      <c r="BUX13" s="248"/>
      <c r="BUY13" s="248"/>
      <c r="BUZ13" s="248"/>
      <c r="BVA13" s="248"/>
      <c r="BVB13" s="248"/>
      <c r="BVC13" s="248"/>
      <c r="BVD13" s="248"/>
      <c r="BVE13" s="248"/>
      <c r="BVF13" s="248"/>
      <c r="BVG13" s="248"/>
      <c r="BVH13" s="248"/>
      <c r="BVI13" s="248"/>
      <c r="BVJ13" s="248"/>
      <c r="BVK13" s="248"/>
      <c r="BVL13" s="248"/>
      <c r="BVM13" s="248"/>
      <c r="BVN13" s="248"/>
      <c r="BVO13" s="248"/>
      <c r="BVP13" s="248"/>
      <c r="BVQ13" s="248"/>
      <c r="BVR13" s="248"/>
      <c r="BVS13" s="248"/>
      <c r="BVT13" s="248"/>
      <c r="BVU13" s="248"/>
      <c r="BVV13" s="248"/>
      <c r="BVW13" s="248"/>
      <c r="BVX13" s="248"/>
      <c r="BVY13" s="248"/>
      <c r="BVZ13" s="248"/>
      <c r="BWA13" s="248"/>
      <c r="BWB13" s="248"/>
      <c r="BWC13" s="248"/>
      <c r="BWD13" s="248"/>
      <c r="BWE13" s="248"/>
      <c r="BWF13" s="248"/>
      <c r="BWG13" s="248"/>
      <c r="BWH13" s="248"/>
      <c r="BWI13" s="248"/>
      <c r="BWJ13" s="248"/>
      <c r="BWK13" s="248"/>
      <c r="BWL13" s="248"/>
      <c r="BWM13" s="248"/>
      <c r="BWN13" s="248"/>
      <c r="BWO13" s="248"/>
      <c r="BWP13" s="248"/>
      <c r="BWQ13" s="248"/>
      <c r="BWR13" s="248"/>
      <c r="BWS13" s="248"/>
      <c r="BWT13" s="248"/>
      <c r="BWU13" s="248"/>
      <c r="BWV13" s="248"/>
      <c r="BWW13" s="248"/>
      <c r="BWX13" s="248"/>
      <c r="BWY13" s="248"/>
      <c r="BWZ13" s="248"/>
      <c r="BXA13" s="248"/>
      <c r="BXB13" s="248"/>
      <c r="BXC13" s="248"/>
      <c r="BXD13" s="248"/>
      <c r="BXE13" s="248"/>
      <c r="BXF13" s="248"/>
      <c r="BXG13" s="248"/>
      <c r="BXH13" s="248"/>
      <c r="BXI13" s="248"/>
      <c r="BXJ13" s="248"/>
      <c r="BXK13" s="248"/>
      <c r="BXL13" s="248"/>
      <c r="BXM13" s="248"/>
      <c r="BXN13" s="248"/>
      <c r="BXO13" s="248"/>
      <c r="BXP13" s="248"/>
      <c r="BXQ13" s="248"/>
      <c r="BXR13" s="248"/>
      <c r="BXS13" s="248"/>
      <c r="BXT13" s="248"/>
      <c r="BXU13" s="248"/>
      <c r="BXV13" s="248"/>
      <c r="BXW13" s="248"/>
      <c r="BXX13" s="248"/>
      <c r="BXY13" s="248"/>
      <c r="BXZ13" s="248"/>
      <c r="BYA13" s="248"/>
      <c r="BYB13" s="248"/>
      <c r="BYC13" s="248"/>
      <c r="BYD13" s="248"/>
      <c r="BYE13" s="248"/>
      <c r="BYF13" s="248"/>
      <c r="BYG13" s="248"/>
      <c r="BYH13" s="248"/>
      <c r="BYI13" s="248"/>
      <c r="BYJ13" s="248"/>
      <c r="BYK13" s="248"/>
      <c r="BYL13" s="248"/>
      <c r="BYM13" s="248"/>
      <c r="BYN13" s="248"/>
      <c r="BYO13" s="248"/>
      <c r="BYP13" s="248"/>
      <c r="BYQ13" s="248"/>
      <c r="BYR13" s="248"/>
      <c r="BYS13" s="248"/>
      <c r="BYT13" s="248"/>
      <c r="BYU13" s="248"/>
      <c r="BYV13" s="248"/>
      <c r="BYW13" s="248"/>
      <c r="BYX13" s="248"/>
      <c r="BYY13" s="248"/>
      <c r="BYZ13" s="248"/>
      <c r="BZA13" s="248"/>
      <c r="BZB13" s="248"/>
      <c r="BZC13" s="248"/>
      <c r="BZD13" s="248"/>
      <c r="BZE13" s="248"/>
      <c r="BZF13" s="248"/>
      <c r="BZG13" s="248"/>
      <c r="BZH13" s="248"/>
      <c r="BZI13" s="248"/>
      <c r="BZJ13" s="248"/>
      <c r="BZK13" s="248"/>
      <c r="BZL13" s="248"/>
      <c r="BZM13" s="248"/>
      <c r="BZN13" s="248"/>
      <c r="BZO13" s="248"/>
      <c r="BZP13" s="248"/>
      <c r="BZQ13" s="248"/>
      <c r="BZR13" s="248"/>
      <c r="BZS13" s="248"/>
      <c r="BZT13" s="248"/>
      <c r="BZU13" s="248"/>
      <c r="BZV13" s="248"/>
      <c r="BZW13" s="248"/>
      <c r="BZX13" s="248"/>
      <c r="BZY13" s="248"/>
      <c r="BZZ13" s="248"/>
      <c r="CAA13" s="248"/>
      <c r="CAB13" s="248"/>
      <c r="CAC13" s="248"/>
      <c r="CAD13" s="248"/>
      <c r="CAE13" s="248"/>
      <c r="CAF13" s="248"/>
      <c r="CAG13" s="248"/>
      <c r="CAH13" s="248"/>
      <c r="CAI13" s="248"/>
      <c r="CAJ13" s="248"/>
      <c r="CAK13" s="248"/>
      <c r="CAL13" s="248"/>
      <c r="CAM13" s="248"/>
      <c r="CAN13" s="248"/>
      <c r="CAO13" s="248"/>
      <c r="CAP13" s="248"/>
      <c r="CAQ13" s="248"/>
      <c r="CAR13" s="248"/>
      <c r="CAS13" s="248"/>
      <c r="CAT13" s="248"/>
      <c r="CAU13" s="248"/>
      <c r="CAV13" s="248"/>
      <c r="CAW13" s="248"/>
      <c r="CAX13" s="248"/>
      <c r="CAY13" s="248"/>
      <c r="CAZ13" s="248"/>
      <c r="CBA13" s="248"/>
      <c r="CBB13" s="248"/>
      <c r="CBC13" s="248"/>
      <c r="CBD13" s="248"/>
      <c r="CBE13" s="248"/>
      <c r="CBF13" s="248"/>
      <c r="CBG13" s="248"/>
      <c r="CBH13" s="248"/>
      <c r="CBI13" s="248"/>
      <c r="CBJ13" s="248"/>
      <c r="CBK13" s="248"/>
      <c r="CBL13" s="248"/>
      <c r="CBM13" s="248"/>
      <c r="CBN13" s="248"/>
      <c r="CBO13" s="248"/>
      <c r="CBP13" s="248"/>
      <c r="CBQ13" s="248"/>
      <c r="CBR13" s="248"/>
      <c r="CBS13" s="248"/>
      <c r="CBT13" s="248"/>
      <c r="CBU13" s="248"/>
      <c r="CBV13" s="248"/>
      <c r="CBW13" s="248"/>
      <c r="CBX13" s="248"/>
      <c r="CBY13" s="248"/>
      <c r="CBZ13" s="248"/>
      <c r="CCA13" s="248"/>
      <c r="CCB13" s="248"/>
      <c r="CCC13" s="248"/>
      <c r="CCD13" s="248"/>
      <c r="CCE13" s="248"/>
      <c r="CCF13" s="248"/>
      <c r="CCG13" s="248"/>
      <c r="CCH13" s="248"/>
      <c r="CCI13" s="248"/>
      <c r="CCJ13" s="248"/>
      <c r="CCK13" s="248"/>
      <c r="CCL13" s="248"/>
      <c r="CCM13" s="248"/>
      <c r="CCN13" s="248"/>
      <c r="CCO13" s="248"/>
      <c r="CCP13" s="248"/>
      <c r="CCQ13" s="248"/>
      <c r="CCR13" s="248"/>
      <c r="CCS13" s="248"/>
      <c r="CCT13" s="248"/>
      <c r="CCU13" s="248"/>
      <c r="CCV13" s="248"/>
      <c r="CCW13" s="248"/>
      <c r="VEX13" s="195"/>
      <c r="VST13" s="194"/>
      <c r="VTB13" s="194"/>
    </row>
    <row r="14" spans="1:2129 15008:15070 15386:15394" s="193" customFormat="1" ht="16.149999999999999" customHeight="1" x14ac:dyDescent="0.25">
      <c r="A14" s="221" t="s">
        <v>55</v>
      </c>
      <c r="B14" s="221">
        <v>7</v>
      </c>
      <c r="C14" s="221"/>
      <c r="D14" s="221"/>
      <c r="E14" s="221"/>
      <c r="F14" s="221"/>
      <c r="G14" s="222" t="s">
        <v>204</v>
      </c>
      <c r="H14" s="223" t="s">
        <v>222</v>
      </c>
      <c r="I14" s="223"/>
      <c r="J14" s="224"/>
      <c r="K14" s="225"/>
      <c r="L14" s="225"/>
      <c r="M14" s="226"/>
      <c r="N14" s="225">
        <v>43017</v>
      </c>
      <c r="O14" s="225">
        <v>43047</v>
      </c>
      <c r="P14" s="226">
        <v>27</v>
      </c>
      <c r="Q14" s="227">
        <v>0</v>
      </c>
      <c r="R14" s="225"/>
      <c r="S14" s="225"/>
      <c r="T14" s="226"/>
      <c r="U14" s="228"/>
      <c r="V14" s="228"/>
      <c r="W14" s="228"/>
      <c r="X14" s="229"/>
      <c r="Y14" s="230"/>
      <c r="Z14" s="230"/>
      <c r="AA14" s="231"/>
      <c r="AB14" s="230"/>
      <c r="AC14" s="232"/>
      <c r="AD14" s="232"/>
      <c r="AE14" s="232"/>
      <c r="AF14" s="232"/>
      <c r="AG14" s="232"/>
      <c r="AH14" s="232"/>
      <c r="AI14" s="232"/>
      <c r="AJ14" s="232"/>
      <c r="AK14" s="232"/>
      <c r="AL14" s="232"/>
      <c r="AM14" s="232"/>
      <c r="AN14" s="232"/>
      <c r="AO14" s="232"/>
      <c r="AP14" s="232"/>
      <c r="AQ14" s="232"/>
      <c r="AR14" s="232"/>
      <c r="AS14" s="232"/>
      <c r="AT14" s="232"/>
      <c r="AU14" s="232"/>
      <c r="AV14" s="268"/>
      <c r="AW14" s="268"/>
      <c r="AX14" s="268"/>
      <c r="AY14" s="268"/>
      <c r="AZ14" s="268"/>
      <c r="BA14" s="268"/>
      <c r="BB14" s="268"/>
      <c r="BC14" s="268"/>
      <c r="BD14" s="268"/>
      <c r="BE14" s="268"/>
      <c r="BF14" s="268"/>
      <c r="BG14" s="268"/>
      <c r="BH14" s="268"/>
      <c r="BI14" s="268"/>
      <c r="BJ14" s="268"/>
      <c r="BK14" s="268"/>
      <c r="BL14" s="268"/>
      <c r="BM14" s="268"/>
      <c r="BN14" s="268"/>
      <c r="BO14" s="268"/>
      <c r="BP14" s="268"/>
      <c r="BQ14" s="268"/>
      <c r="BR14" s="268"/>
      <c r="BS14" s="268"/>
      <c r="BT14" s="268"/>
      <c r="BU14" s="268"/>
      <c r="BV14" s="268"/>
      <c r="BW14" s="268"/>
      <c r="BX14" s="268"/>
      <c r="BY14" s="268"/>
      <c r="BZ14" s="232"/>
      <c r="CA14" s="232"/>
      <c r="CB14" s="232"/>
      <c r="CC14" s="232"/>
      <c r="CD14" s="232"/>
      <c r="CE14" s="232"/>
      <c r="CF14" s="232"/>
      <c r="CG14" s="233"/>
      <c r="CH14" s="233"/>
      <c r="CI14" s="233"/>
      <c r="CJ14" s="233"/>
      <c r="CK14" s="233"/>
      <c r="CL14" s="233"/>
      <c r="CM14" s="233"/>
      <c r="CN14" s="233"/>
      <c r="CO14" s="233"/>
      <c r="CP14" s="233"/>
      <c r="CQ14" s="233"/>
      <c r="CR14" s="233"/>
      <c r="CS14" s="233"/>
      <c r="CT14" s="233"/>
      <c r="CU14" s="233"/>
      <c r="CV14" s="233"/>
      <c r="CW14" s="233"/>
      <c r="CX14" s="233"/>
      <c r="CY14" s="233"/>
      <c r="CZ14" s="233"/>
      <c r="DA14" s="233"/>
      <c r="DB14" s="233"/>
      <c r="DC14" s="233"/>
      <c r="DD14" s="233"/>
      <c r="DE14" s="233"/>
      <c r="DF14" s="233"/>
      <c r="DG14" s="233"/>
      <c r="DH14" s="233"/>
      <c r="DI14" s="233"/>
      <c r="DJ14" s="233"/>
      <c r="DK14" s="233"/>
      <c r="DL14" s="233"/>
      <c r="DM14" s="233"/>
      <c r="DN14" s="233"/>
      <c r="DO14" s="233"/>
      <c r="DP14" s="233"/>
      <c r="DQ14" s="233"/>
      <c r="DR14" s="233"/>
      <c r="DS14" s="233"/>
      <c r="DT14" s="233"/>
      <c r="DU14" s="233"/>
      <c r="DV14" s="233"/>
      <c r="DW14" s="233"/>
      <c r="DX14" s="233"/>
      <c r="DY14" s="233"/>
      <c r="DZ14" s="233"/>
      <c r="EA14" s="233"/>
      <c r="EB14" s="233"/>
      <c r="EC14" s="233"/>
      <c r="ED14" s="233"/>
      <c r="EE14" s="233"/>
      <c r="EF14" s="233"/>
      <c r="EG14" s="233"/>
      <c r="EH14" s="233"/>
      <c r="EI14" s="233"/>
      <c r="EJ14" s="233"/>
      <c r="EK14" s="233"/>
      <c r="EL14" s="233"/>
      <c r="EM14" s="233"/>
      <c r="EN14" s="233"/>
      <c r="EO14" s="233"/>
      <c r="EP14" s="233"/>
      <c r="EQ14" s="233"/>
      <c r="ER14" s="233"/>
      <c r="ES14" s="233"/>
      <c r="ET14" s="233"/>
      <c r="EU14" s="233"/>
      <c r="EV14" s="233"/>
      <c r="EW14" s="233"/>
      <c r="EX14" s="233"/>
      <c r="EY14" s="233"/>
      <c r="EZ14" s="233"/>
      <c r="FA14" s="233"/>
      <c r="FB14" s="233"/>
      <c r="FC14" s="233"/>
      <c r="FD14" s="233"/>
      <c r="FE14" s="233"/>
      <c r="FF14" s="233"/>
      <c r="FG14" s="233"/>
      <c r="FH14" s="233"/>
      <c r="FI14" s="233"/>
      <c r="FJ14" s="233"/>
      <c r="FK14" s="233"/>
      <c r="FL14" s="233"/>
      <c r="FM14" s="233"/>
      <c r="FN14" s="233"/>
      <c r="FO14" s="233"/>
      <c r="FP14" s="233"/>
      <c r="FQ14" s="233"/>
      <c r="FR14" s="233"/>
      <c r="FS14" s="233"/>
      <c r="FT14" s="233"/>
      <c r="FU14" s="233"/>
      <c r="FV14" s="233"/>
      <c r="FW14" s="233"/>
      <c r="FX14" s="233"/>
      <c r="FY14" s="233"/>
      <c r="FZ14" s="233"/>
      <c r="GA14" s="233"/>
      <c r="GB14" s="233"/>
      <c r="GC14" s="233"/>
      <c r="GD14" s="233"/>
      <c r="GE14" s="233"/>
      <c r="GF14" s="233"/>
      <c r="GG14" s="233"/>
      <c r="GH14" s="233"/>
      <c r="GI14" s="233"/>
      <c r="GJ14" s="233"/>
      <c r="GK14" s="233"/>
      <c r="GL14" s="233"/>
      <c r="GM14" s="233"/>
      <c r="GN14" s="233"/>
      <c r="GO14" s="233"/>
      <c r="GP14" s="233"/>
      <c r="GQ14" s="233"/>
      <c r="GR14" s="233"/>
      <c r="GS14" s="233"/>
      <c r="GT14" s="233"/>
      <c r="GU14" s="233"/>
      <c r="GV14" s="233"/>
      <c r="GW14" s="233"/>
      <c r="GX14" s="233"/>
      <c r="GY14" s="233"/>
      <c r="GZ14" s="233"/>
      <c r="HA14" s="233"/>
      <c r="HB14" s="233"/>
      <c r="HC14" s="233"/>
      <c r="HD14" s="233"/>
      <c r="HE14" s="233"/>
      <c r="HF14" s="233"/>
      <c r="HG14" s="233"/>
      <c r="HH14" s="233"/>
      <c r="HI14" s="233"/>
      <c r="HJ14" s="233"/>
      <c r="HK14" s="233"/>
      <c r="HL14" s="233"/>
      <c r="HM14" s="233"/>
      <c r="HN14" s="233"/>
      <c r="HO14" s="233"/>
      <c r="HP14" s="233"/>
      <c r="HQ14" s="233"/>
      <c r="HR14" s="233"/>
      <c r="HS14" s="233"/>
      <c r="HT14" s="233"/>
      <c r="HU14" s="233"/>
      <c r="HV14" s="233"/>
      <c r="HW14" s="233"/>
      <c r="HX14" s="233"/>
      <c r="HY14" s="233"/>
      <c r="HZ14" s="233"/>
      <c r="IA14" s="233"/>
      <c r="IB14" s="233"/>
      <c r="IC14" s="233"/>
      <c r="ID14" s="233"/>
      <c r="IE14" s="233"/>
      <c r="IF14" s="233"/>
      <c r="IG14" s="233"/>
      <c r="IH14" s="233"/>
      <c r="II14" s="233"/>
      <c r="IJ14" s="233"/>
      <c r="IK14" s="233"/>
      <c r="IL14" s="233"/>
      <c r="IM14" s="233"/>
      <c r="IN14" s="233"/>
      <c r="IO14" s="233"/>
      <c r="IP14" s="233"/>
      <c r="IQ14" s="233"/>
      <c r="IR14" s="233"/>
      <c r="IS14" s="233"/>
      <c r="IT14" s="233"/>
      <c r="IU14" s="233"/>
      <c r="IV14" s="233"/>
      <c r="IW14" s="233"/>
      <c r="IX14" s="233"/>
      <c r="IY14" s="233"/>
      <c r="IZ14" s="233"/>
      <c r="JA14" s="233"/>
      <c r="JB14" s="233"/>
      <c r="JC14" s="233"/>
      <c r="JD14" s="233"/>
      <c r="JE14" s="233"/>
      <c r="JF14" s="233"/>
      <c r="JG14" s="233"/>
      <c r="JH14" s="233"/>
      <c r="JI14" s="233"/>
      <c r="JJ14" s="233"/>
      <c r="JK14" s="233"/>
      <c r="JL14" s="233"/>
      <c r="JM14" s="233"/>
      <c r="JN14" s="233"/>
      <c r="JO14" s="233"/>
      <c r="JP14" s="233"/>
      <c r="JQ14" s="233"/>
      <c r="JR14" s="233"/>
      <c r="JS14" s="233"/>
      <c r="JT14" s="233"/>
      <c r="JU14" s="233"/>
      <c r="JV14" s="233"/>
      <c r="JW14" s="233"/>
      <c r="JX14" s="233"/>
      <c r="JY14" s="233"/>
      <c r="JZ14" s="233"/>
      <c r="KA14" s="233"/>
      <c r="KB14" s="233"/>
      <c r="KC14" s="233"/>
      <c r="KD14" s="233"/>
      <c r="KE14" s="233"/>
      <c r="KF14" s="233"/>
      <c r="KG14" s="233"/>
      <c r="KH14" s="233"/>
      <c r="KI14" s="233"/>
      <c r="KJ14" s="233"/>
      <c r="KK14" s="233"/>
      <c r="KL14" s="233"/>
      <c r="KM14" s="233"/>
      <c r="KN14" s="233"/>
      <c r="KO14" s="233"/>
      <c r="KP14" s="233"/>
      <c r="KQ14" s="233"/>
      <c r="KR14" s="233"/>
      <c r="KS14" s="233"/>
      <c r="KT14" s="233"/>
      <c r="KU14" s="233"/>
      <c r="KV14" s="233"/>
      <c r="KW14" s="233"/>
      <c r="KX14" s="233"/>
      <c r="KY14" s="233"/>
      <c r="KZ14" s="233"/>
      <c r="LA14" s="233"/>
      <c r="LB14" s="233"/>
      <c r="LC14" s="233"/>
      <c r="LD14" s="233"/>
      <c r="LE14" s="233"/>
      <c r="LF14" s="233"/>
      <c r="LG14" s="233"/>
      <c r="LH14" s="233"/>
      <c r="LI14" s="233"/>
      <c r="LJ14" s="233"/>
      <c r="LK14" s="233"/>
      <c r="LL14" s="233"/>
      <c r="LM14" s="233"/>
      <c r="LN14" s="233"/>
      <c r="LO14" s="233"/>
      <c r="LP14" s="233"/>
      <c r="LQ14" s="233"/>
      <c r="LR14" s="233"/>
      <c r="LS14" s="233"/>
      <c r="LT14" s="233"/>
      <c r="LU14" s="233"/>
      <c r="LV14" s="233"/>
      <c r="LW14" s="233"/>
      <c r="LX14" s="233"/>
      <c r="LY14" s="233"/>
      <c r="LZ14" s="233"/>
      <c r="MA14" s="233"/>
      <c r="MB14" s="233"/>
      <c r="MC14" s="233"/>
      <c r="MD14" s="233"/>
      <c r="ME14" s="233"/>
      <c r="MF14" s="233"/>
      <c r="MG14" s="233"/>
      <c r="MH14" s="233"/>
      <c r="MI14" s="233"/>
      <c r="MJ14" s="233"/>
      <c r="MK14" s="233"/>
      <c r="ML14" s="233"/>
      <c r="MM14" s="233"/>
      <c r="MN14" s="233"/>
      <c r="MO14" s="233"/>
      <c r="MP14" s="233"/>
      <c r="MQ14" s="233"/>
      <c r="MR14" s="233"/>
      <c r="MS14" s="233"/>
      <c r="MT14" s="233"/>
      <c r="MU14" s="233"/>
      <c r="MV14" s="234"/>
      <c r="MW14" s="233"/>
      <c r="MX14" s="233"/>
      <c r="MY14" s="233"/>
      <c r="MZ14" s="233"/>
      <c r="NA14" s="233"/>
      <c r="NB14" s="233"/>
      <c r="NC14" s="233"/>
      <c r="ND14" s="233"/>
      <c r="NE14" s="233"/>
      <c r="NF14" s="233"/>
      <c r="NG14" s="233"/>
      <c r="NH14" s="233"/>
      <c r="NI14" s="233"/>
      <c r="NJ14" s="233"/>
      <c r="NK14" s="233"/>
      <c r="NL14" s="233"/>
      <c r="NM14" s="233"/>
      <c r="NN14" s="233"/>
      <c r="NO14" s="233"/>
      <c r="NP14" s="233"/>
      <c r="NQ14" s="233"/>
      <c r="NR14" s="233"/>
      <c r="NS14" s="233"/>
      <c r="NT14" s="233"/>
      <c r="NU14" s="233"/>
      <c r="NV14" s="233"/>
      <c r="NW14" s="233"/>
      <c r="NX14" s="233"/>
      <c r="NY14" s="233"/>
      <c r="NZ14" s="233"/>
      <c r="OA14" s="233"/>
      <c r="OB14" s="233"/>
      <c r="OC14" s="233"/>
      <c r="OD14" s="233"/>
      <c r="OE14" s="233"/>
      <c r="OF14" s="233"/>
      <c r="OG14" s="233"/>
      <c r="OH14" s="233"/>
      <c r="OI14" s="233"/>
      <c r="OJ14" s="233"/>
      <c r="OK14" s="233"/>
      <c r="OL14" s="233"/>
      <c r="OM14" s="233"/>
      <c r="ON14" s="233"/>
      <c r="OO14" s="233"/>
      <c r="OP14" s="233"/>
      <c r="OQ14" s="233"/>
      <c r="OR14" s="233"/>
      <c r="OS14" s="233"/>
      <c r="OT14" s="233"/>
      <c r="OU14" s="233"/>
      <c r="OV14" s="233"/>
      <c r="OW14" s="233"/>
      <c r="OX14" s="233"/>
      <c r="OY14" s="233"/>
      <c r="OZ14" s="233"/>
      <c r="PA14" s="233"/>
      <c r="PB14" s="233"/>
      <c r="PC14" s="233"/>
      <c r="PD14" s="233"/>
      <c r="PE14" s="233"/>
      <c r="PF14" s="233"/>
      <c r="PG14" s="233"/>
      <c r="PH14" s="233"/>
      <c r="PI14" s="233"/>
      <c r="PJ14" s="233"/>
      <c r="PK14" s="233"/>
      <c r="PL14" s="233"/>
      <c r="PM14" s="233"/>
      <c r="PN14" s="233"/>
      <c r="PO14" s="233"/>
      <c r="PP14" s="233"/>
      <c r="PQ14" s="233"/>
      <c r="PR14" s="233"/>
      <c r="PS14" s="233"/>
      <c r="PT14" s="233"/>
      <c r="PU14" s="233"/>
      <c r="PV14" s="233"/>
      <c r="PW14" s="233"/>
      <c r="PX14" s="233"/>
      <c r="PY14" s="233"/>
      <c r="PZ14" s="233"/>
      <c r="QA14" s="233"/>
      <c r="QB14" s="233"/>
      <c r="QC14" s="233"/>
      <c r="QD14" s="233"/>
      <c r="QE14" s="233"/>
      <c r="QF14" s="233"/>
      <c r="QG14" s="233"/>
      <c r="QH14" s="233"/>
      <c r="QI14" s="233"/>
      <c r="QJ14" s="233"/>
      <c r="QK14" s="233"/>
      <c r="QL14" s="233"/>
      <c r="QM14" s="233"/>
      <c r="QN14" s="233"/>
      <c r="QO14" s="233"/>
      <c r="QP14" s="233"/>
      <c r="QQ14" s="233"/>
      <c r="QR14" s="233"/>
      <c r="QS14" s="233"/>
      <c r="QT14" s="233"/>
      <c r="QU14" s="233"/>
      <c r="QV14" s="233"/>
      <c r="QW14" s="233"/>
      <c r="QX14" s="233"/>
      <c r="QY14" s="233"/>
      <c r="QZ14" s="233"/>
      <c r="RA14" s="233"/>
      <c r="RB14" s="233"/>
      <c r="RC14" s="233"/>
      <c r="RD14" s="233"/>
      <c r="RE14" s="233"/>
      <c r="RF14" s="233"/>
      <c r="RG14" s="233"/>
      <c r="RH14" s="233"/>
      <c r="RI14" s="233"/>
      <c r="RJ14" s="233"/>
      <c r="RK14" s="233"/>
      <c r="RL14" s="233"/>
      <c r="RM14" s="233"/>
      <c r="RN14" s="233"/>
      <c r="RO14" s="233"/>
      <c r="RP14" s="233"/>
      <c r="RQ14" s="233"/>
      <c r="RR14" s="233"/>
      <c r="RS14" s="233"/>
      <c r="RT14" s="233"/>
      <c r="RU14" s="233"/>
      <c r="RV14" s="233"/>
      <c r="RW14" s="233"/>
      <c r="RX14" s="233"/>
      <c r="RY14" s="233"/>
      <c r="RZ14" s="233"/>
      <c r="SA14" s="233"/>
      <c r="SB14" s="233"/>
      <c r="SC14" s="233"/>
      <c r="SD14" s="233"/>
      <c r="SE14" s="233"/>
      <c r="SF14" s="233"/>
      <c r="SG14" s="233"/>
      <c r="SH14" s="233"/>
      <c r="SI14" s="233"/>
      <c r="SJ14" s="233"/>
      <c r="SK14" s="233"/>
      <c r="SL14" s="233"/>
      <c r="SM14" s="233"/>
      <c r="SN14" s="233"/>
      <c r="SO14" s="233"/>
      <c r="SP14" s="233"/>
      <c r="SQ14" s="233"/>
      <c r="SR14" s="233"/>
      <c r="SS14" s="233"/>
      <c r="ST14" s="233"/>
      <c r="SU14" s="233"/>
      <c r="SV14" s="233"/>
      <c r="SW14" s="233"/>
      <c r="SX14" s="233"/>
      <c r="SY14" s="233"/>
      <c r="SZ14" s="233"/>
      <c r="TA14" s="233"/>
      <c r="TB14" s="233"/>
      <c r="TC14" s="233"/>
      <c r="TD14" s="233"/>
      <c r="TE14" s="233"/>
      <c r="TF14" s="233"/>
      <c r="TG14" s="233"/>
      <c r="TH14" s="233"/>
      <c r="TI14" s="233"/>
      <c r="TJ14" s="233"/>
      <c r="TK14" s="233"/>
      <c r="TL14" s="233"/>
      <c r="TM14" s="233"/>
      <c r="TN14" s="233"/>
      <c r="TO14" s="233"/>
      <c r="TP14" s="233"/>
      <c r="TQ14" s="233"/>
      <c r="TR14" s="233"/>
      <c r="TS14" s="233"/>
      <c r="TT14" s="233"/>
      <c r="TU14" s="233"/>
      <c r="TV14" s="233"/>
      <c r="TW14" s="233"/>
      <c r="TX14" s="233"/>
      <c r="TY14" s="233"/>
      <c r="TZ14" s="233"/>
      <c r="UA14" s="233"/>
      <c r="UB14" s="233"/>
      <c r="UC14" s="233"/>
      <c r="UD14" s="233"/>
      <c r="UE14" s="233"/>
      <c r="UF14" s="233"/>
      <c r="UG14" s="233"/>
      <c r="UH14" s="233"/>
      <c r="UI14" s="233"/>
      <c r="UJ14" s="233"/>
      <c r="UK14" s="233"/>
      <c r="UL14" s="233"/>
      <c r="UM14" s="233"/>
      <c r="UN14" s="233"/>
      <c r="UO14" s="233"/>
      <c r="UP14" s="233"/>
      <c r="UQ14" s="233"/>
      <c r="UR14" s="233"/>
      <c r="US14" s="233"/>
      <c r="UT14" s="233"/>
      <c r="UU14" s="233"/>
      <c r="UV14" s="233"/>
      <c r="UW14" s="233"/>
      <c r="UX14" s="233"/>
      <c r="UY14" s="233"/>
      <c r="UZ14" s="233"/>
      <c r="VA14" s="233"/>
      <c r="VB14" s="233"/>
      <c r="VC14" s="233"/>
      <c r="VD14" s="233"/>
      <c r="VE14" s="233"/>
      <c r="VF14" s="233"/>
      <c r="VG14" s="233"/>
      <c r="VH14" s="233"/>
      <c r="VI14" s="233"/>
      <c r="VJ14" s="233"/>
      <c r="VK14" s="233"/>
      <c r="VL14" s="233"/>
      <c r="VM14" s="233"/>
      <c r="VN14" s="233"/>
      <c r="VO14" s="233"/>
      <c r="VP14" s="233"/>
      <c r="VQ14" s="233"/>
      <c r="VR14" s="233"/>
      <c r="VS14" s="233"/>
      <c r="VT14" s="233"/>
      <c r="VU14" s="233"/>
      <c r="VV14" s="233"/>
      <c r="VW14" s="233"/>
      <c r="VX14" s="233"/>
      <c r="VY14" s="233"/>
      <c r="VZ14" s="233"/>
      <c r="WA14" s="233"/>
      <c r="WB14" s="233"/>
      <c r="WC14" s="233"/>
      <c r="WD14" s="233"/>
      <c r="WE14" s="233"/>
      <c r="WF14" s="233"/>
      <c r="WG14" s="233"/>
      <c r="WH14" s="233"/>
      <c r="WI14" s="233"/>
      <c r="WJ14" s="233"/>
      <c r="WK14" s="233"/>
      <c r="WL14" s="233"/>
      <c r="WM14" s="233"/>
      <c r="WN14" s="233"/>
      <c r="WO14" s="233"/>
      <c r="WP14" s="233"/>
      <c r="WQ14" s="233"/>
      <c r="WR14" s="233"/>
      <c r="WS14" s="233"/>
      <c r="WT14" s="233"/>
      <c r="WU14" s="233"/>
      <c r="WV14" s="233"/>
      <c r="WW14" s="233"/>
      <c r="WX14" s="233"/>
      <c r="WY14" s="233"/>
      <c r="WZ14" s="233"/>
      <c r="XA14" s="233"/>
      <c r="XB14" s="233"/>
      <c r="XC14" s="233"/>
      <c r="XD14" s="233"/>
      <c r="XE14" s="233"/>
      <c r="XF14" s="233"/>
      <c r="XG14" s="233"/>
      <c r="XH14" s="233"/>
      <c r="XI14" s="233"/>
      <c r="XJ14" s="233"/>
      <c r="XK14" s="233"/>
      <c r="XL14" s="233"/>
      <c r="XM14" s="233"/>
      <c r="XN14" s="233"/>
      <c r="XO14" s="233"/>
      <c r="XP14" s="233"/>
      <c r="XQ14" s="233"/>
      <c r="XR14" s="233"/>
      <c r="XS14" s="233"/>
      <c r="XT14" s="233"/>
      <c r="XU14" s="233"/>
      <c r="XV14" s="233"/>
      <c r="XW14" s="233"/>
      <c r="XX14" s="233"/>
      <c r="XY14" s="233"/>
      <c r="XZ14" s="233"/>
      <c r="YA14" s="233"/>
      <c r="YB14" s="233"/>
      <c r="YC14" s="233"/>
      <c r="YD14" s="233"/>
      <c r="YE14" s="233"/>
      <c r="YF14" s="233"/>
      <c r="YG14" s="233"/>
      <c r="YH14" s="233"/>
      <c r="YI14" s="233"/>
      <c r="YJ14" s="233"/>
      <c r="YK14" s="233"/>
      <c r="YL14" s="233"/>
      <c r="YM14" s="233"/>
      <c r="YN14" s="233"/>
      <c r="YO14" s="233"/>
      <c r="YP14" s="233"/>
      <c r="YQ14" s="233"/>
      <c r="YR14" s="233"/>
      <c r="YS14" s="233"/>
      <c r="YT14" s="233"/>
      <c r="YU14" s="233"/>
      <c r="YV14" s="233"/>
      <c r="YW14" s="233"/>
      <c r="YX14" s="233"/>
      <c r="YY14" s="233"/>
      <c r="YZ14" s="233"/>
      <c r="ZA14" s="233"/>
      <c r="ZB14" s="233"/>
      <c r="ZC14" s="233"/>
      <c r="ZD14" s="233"/>
      <c r="ZE14" s="233"/>
      <c r="ZF14" s="233"/>
      <c r="ZG14" s="233"/>
      <c r="ZH14" s="233"/>
      <c r="ZI14" s="233"/>
      <c r="ZJ14" s="233"/>
      <c r="ZK14" s="233"/>
      <c r="ZL14" s="233"/>
      <c r="ZM14" s="233"/>
      <c r="ZN14" s="233"/>
      <c r="ZO14" s="233"/>
      <c r="ZP14" s="233"/>
      <c r="ZQ14" s="233"/>
      <c r="ZR14" s="233"/>
      <c r="ZS14" s="233"/>
      <c r="ZT14" s="233"/>
      <c r="ZU14" s="233"/>
      <c r="ZV14" s="233"/>
      <c r="ZW14" s="233"/>
      <c r="ZX14" s="233"/>
      <c r="ZY14" s="233"/>
      <c r="ZZ14" s="233"/>
      <c r="AAA14" s="233"/>
      <c r="AAB14" s="233"/>
      <c r="AAC14" s="233"/>
      <c r="AAD14" s="233"/>
      <c r="AAE14" s="233"/>
      <c r="AAF14" s="233"/>
      <c r="AAG14" s="233"/>
      <c r="AAH14" s="233"/>
      <c r="AAI14" s="233"/>
      <c r="AAJ14" s="233"/>
      <c r="AAK14" s="233"/>
      <c r="AAL14" s="233"/>
      <c r="AAM14" s="233"/>
      <c r="AAN14" s="233"/>
      <c r="AAO14" s="233"/>
      <c r="AAP14" s="233"/>
      <c r="AAQ14" s="233"/>
      <c r="AAR14" s="233"/>
      <c r="AAS14" s="233"/>
      <c r="AAT14" s="233"/>
      <c r="AAU14" s="233"/>
      <c r="AAV14" s="233"/>
      <c r="AAW14" s="233"/>
      <c r="AAX14" s="233"/>
      <c r="AAY14" s="233"/>
      <c r="AAZ14" s="233"/>
      <c r="ABA14" s="233"/>
      <c r="ABB14" s="233"/>
      <c r="ABC14" s="233"/>
      <c r="ABD14" s="233"/>
      <c r="ABE14" s="233"/>
      <c r="ABF14" s="233"/>
      <c r="ABG14" s="233"/>
      <c r="ABH14" s="233"/>
      <c r="ABI14" s="233"/>
      <c r="ABJ14" s="233"/>
      <c r="ABK14" s="233"/>
      <c r="ABL14" s="233"/>
      <c r="ABM14" s="233"/>
      <c r="ABN14" s="233"/>
      <c r="ABO14" s="233"/>
      <c r="ABP14" s="233"/>
      <c r="ABQ14" s="233"/>
      <c r="ABR14" s="233"/>
      <c r="ABS14" s="233"/>
      <c r="ABT14" s="233"/>
      <c r="ABU14" s="233"/>
      <c r="ABV14" s="233"/>
      <c r="ABW14" s="233"/>
      <c r="ABX14" s="233"/>
      <c r="ABY14" s="233"/>
      <c r="ABZ14" s="233"/>
      <c r="ACA14" s="233"/>
      <c r="ACB14" s="233"/>
      <c r="ACC14" s="233"/>
      <c r="ACD14" s="233"/>
      <c r="ACE14" s="233"/>
      <c r="ACF14" s="233"/>
      <c r="ACG14" s="233"/>
      <c r="ACH14" s="233"/>
      <c r="ACI14" s="233"/>
      <c r="ACJ14" s="233"/>
      <c r="ACK14" s="233"/>
      <c r="ACL14" s="233"/>
      <c r="ACM14" s="233"/>
      <c r="ACN14" s="233"/>
      <c r="ACO14" s="233"/>
      <c r="ACP14" s="233"/>
      <c r="ACQ14" s="233"/>
      <c r="ACR14" s="233"/>
      <c r="ACS14" s="233"/>
      <c r="ACT14" s="233"/>
      <c r="ACU14" s="233"/>
      <c r="ACV14" s="233"/>
      <c r="ACW14" s="233"/>
      <c r="ACX14" s="233"/>
      <c r="ACY14" s="233"/>
      <c r="ACZ14" s="233"/>
      <c r="ADA14" s="233"/>
      <c r="ADB14" s="233"/>
      <c r="ADC14" s="233"/>
      <c r="ADD14" s="233"/>
      <c r="ADE14" s="233"/>
      <c r="ADF14" s="233"/>
      <c r="ADG14" s="233"/>
      <c r="ADH14" s="233"/>
      <c r="ADI14" s="233"/>
      <c r="ADJ14" s="233"/>
      <c r="ADK14" s="233"/>
      <c r="ADL14" s="233"/>
      <c r="ADM14" s="233"/>
      <c r="ADN14" s="233"/>
      <c r="ADO14" s="233"/>
      <c r="ADP14" s="233"/>
      <c r="ADQ14" s="233"/>
      <c r="ADR14" s="233"/>
      <c r="ADS14" s="233"/>
      <c r="ADT14" s="233"/>
      <c r="ADU14" s="233"/>
      <c r="ADV14" s="233"/>
      <c r="ADW14" s="233"/>
      <c r="ADX14" s="233"/>
      <c r="ADY14" s="233"/>
      <c r="ADZ14" s="233"/>
      <c r="AEA14" s="233"/>
      <c r="AEB14" s="233"/>
      <c r="AEC14" s="233"/>
      <c r="AED14" s="233"/>
      <c r="AEE14" s="233"/>
      <c r="AEF14" s="233"/>
      <c r="AEG14" s="233"/>
      <c r="AEH14" s="233"/>
      <c r="AEI14" s="233"/>
      <c r="AEJ14" s="233"/>
      <c r="AEK14" s="233"/>
      <c r="AEL14" s="233"/>
      <c r="AEM14" s="233"/>
      <c r="AEN14" s="233"/>
      <c r="AEO14" s="233"/>
      <c r="AEP14" s="233"/>
      <c r="AEQ14" s="233"/>
      <c r="AER14" s="233"/>
      <c r="AES14" s="233"/>
      <c r="AET14" s="233"/>
      <c r="AEU14" s="233"/>
      <c r="AEV14" s="233"/>
      <c r="AEW14" s="233"/>
      <c r="AEX14" s="233"/>
      <c r="AEY14" s="233"/>
      <c r="AEZ14" s="233"/>
      <c r="AFA14" s="233"/>
      <c r="AFB14" s="233"/>
      <c r="AFC14" s="233"/>
      <c r="AFD14" s="233"/>
      <c r="AFE14" s="233"/>
      <c r="AFF14" s="233"/>
      <c r="AFG14" s="233"/>
      <c r="AFH14" s="233"/>
      <c r="AFI14" s="233"/>
      <c r="AFJ14" s="233"/>
      <c r="AFK14" s="233"/>
      <c r="AFL14" s="233"/>
      <c r="AFM14" s="233"/>
      <c r="AFN14" s="233"/>
      <c r="AFO14" s="233"/>
      <c r="AFP14" s="233"/>
      <c r="AFQ14" s="233"/>
      <c r="AFR14" s="233"/>
      <c r="AFS14" s="233"/>
      <c r="AFT14" s="233"/>
      <c r="AFU14" s="233"/>
      <c r="AFV14" s="233"/>
      <c r="AFW14" s="233"/>
      <c r="AFX14" s="233"/>
      <c r="AFY14" s="233"/>
      <c r="AFZ14" s="233"/>
      <c r="AGA14" s="233"/>
      <c r="AGB14" s="233"/>
      <c r="AGC14" s="233"/>
      <c r="AGD14" s="233"/>
      <c r="AGE14" s="233"/>
      <c r="AGF14" s="233"/>
      <c r="AGG14" s="233"/>
      <c r="AGH14" s="233"/>
      <c r="AGI14" s="233"/>
      <c r="AGJ14" s="233"/>
      <c r="AGK14" s="233"/>
      <c r="AGL14" s="233"/>
      <c r="AGM14" s="233"/>
      <c r="AGN14" s="233"/>
      <c r="AGO14" s="233"/>
      <c r="AGP14" s="233"/>
      <c r="AGQ14" s="233"/>
      <c r="AGR14" s="233"/>
      <c r="AGS14" s="233"/>
      <c r="AGT14" s="233"/>
      <c r="AGU14" s="233"/>
      <c r="AGV14" s="233"/>
      <c r="AGW14" s="233"/>
      <c r="AGX14" s="233"/>
      <c r="AGY14" s="233"/>
      <c r="AGZ14" s="233"/>
      <c r="AHA14" s="233"/>
      <c r="AHB14" s="233"/>
      <c r="AHC14" s="233"/>
      <c r="AHD14" s="233"/>
      <c r="AHE14" s="233"/>
      <c r="AHF14" s="233"/>
      <c r="AHG14" s="233"/>
      <c r="AHH14" s="233"/>
      <c r="AHI14" s="233"/>
      <c r="AHJ14" s="233"/>
      <c r="AHK14" s="233"/>
      <c r="AHL14" s="233"/>
      <c r="AHM14" s="233"/>
      <c r="AHN14" s="233"/>
      <c r="AHO14" s="233"/>
      <c r="AHP14" s="233"/>
      <c r="AHQ14" s="233"/>
      <c r="AHR14" s="233"/>
      <c r="AHS14" s="233"/>
      <c r="AHT14" s="233"/>
      <c r="AHU14" s="233"/>
      <c r="AHV14" s="233"/>
      <c r="AHW14" s="233"/>
      <c r="AHX14" s="233"/>
      <c r="AHY14" s="233"/>
      <c r="AHZ14" s="233"/>
      <c r="AIA14" s="233"/>
      <c r="AIB14" s="233"/>
      <c r="AIC14" s="233"/>
      <c r="AID14" s="233"/>
      <c r="AIE14" s="233"/>
      <c r="AIF14" s="233"/>
      <c r="AIG14" s="233"/>
      <c r="AIH14" s="233"/>
      <c r="AII14" s="233"/>
      <c r="AIJ14" s="233"/>
      <c r="AIK14" s="233"/>
      <c r="AIL14" s="233"/>
      <c r="AIM14" s="233"/>
      <c r="AIN14" s="233"/>
      <c r="AIO14" s="233"/>
      <c r="AIP14" s="233"/>
      <c r="AIQ14" s="233"/>
      <c r="AIR14" s="233"/>
      <c r="AIS14" s="233"/>
      <c r="AIT14" s="233"/>
      <c r="AIU14" s="233"/>
      <c r="AIV14" s="233"/>
      <c r="AIW14" s="233"/>
      <c r="AIX14" s="233"/>
      <c r="AIY14" s="233"/>
      <c r="AIZ14" s="233"/>
      <c r="AJA14" s="233"/>
      <c r="AJB14" s="233"/>
      <c r="AJC14" s="233"/>
      <c r="AJD14" s="233"/>
      <c r="AJE14" s="233"/>
      <c r="AJF14" s="233"/>
      <c r="AJG14" s="233"/>
      <c r="AJH14" s="233"/>
      <c r="AJI14" s="233"/>
      <c r="AJJ14" s="233"/>
      <c r="AJK14" s="233"/>
      <c r="AJL14" s="233"/>
      <c r="AJM14" s="233"/>
      <c r="AJN14" s="233"/>
      <c r="AJO14" s="233"/>
      <c r="AJP14" s="233"/>
      <c r="AJQ14" s="233"/>
      <c r="AJR14" s="233"/>
      <c r="AJS14" s="233"/>
      <c r="AJT14" s="233"/>
      <c r="AJU14" s="233"/>
      <c r="AJV14" s="233"/>
      <c r="AJW14" s="233"/>
      <c r="AJX14" s="233"/>
      <c r="AJY14" s="233"/>
      <c r="AJZ14" s="233"/>
      <c r="AKA14" s="233"/>
      <c r="AKB14" s="233"/>
      <c r="AKC14" s="233"/>
      <c r="AKD14" s="233"/>
      <c r="AKE14" s="233"/>
      <c r="AKF14" s="233"/>
      <c r="AKG14" s="233"/>
      <c r="AKH14" s="233"/>
      <c r="AKI14" s="233"/>
      <c r="AKJ14" s="233"/>
      <c r="AKK14" s="233"/>
      <c r="AKL14" s="233"/>
      <c r="AKM14" s="233"/>
      <c r="AKN14" s="233"/>
      <c r="AKO14" s="233"/>
      <c r="AKP14" s="233"/>
      <c r="AKQ14" s="233"/>
      <c r="AKR14" s="233"/>
      <c r="AKS14" s="233"/>
      <c r="AKT14" s="233"/>
      <c r="AKU14" s="233"/>
      <c r="AKV14" s="233"/>
      <c r="AKW14" s="233"/>
      <c r="AKX14" s="233"/>
      <c r="AKY14" s="233"/>
      <c r="AKZ14" s="233"/>
      <c r="ALA14" s="233"/>
      <c r="ALB14" s="233"/>
      <c r="ALC14" s="233"/>
      <c r="ALD14" s="233"/>
      <c r="ALE14" s="233"/>
      <c r="ALF14" s="233"/>
      <c r="ALG14" s="233"/>
      <c r="ALH14" s="233"/>
      <c r="ALI14" s="233"/>
      <c r="ALJ14" s="233"/>
      <c r="ALK14" s="233"/>
      <c r="ALL14" s="233"/>
      <c r="ALM14" s="233"/>
      <c r="ALN14" s="233"/>
      <c r="ALO14" s="233"/>
      <c r="ALP14" s="233"/>
      <c r="ALQ14" s="233"/>
      <c r="ALR14" s="233"/>
      <c r="ALS14" s="233"/>
      <c r="ALT14" s="233"/>
      <c r="ALU14" s="233"/>
      <c r="ALV14" s="233"/>
      <c r="ALW14" s="233"/>
      <c r="ALX14" s="233"/>
      <c r="ALY14" s="233"/>
      <c r="ALZ14" s="233"/>
      <c r="AMA14" s="233"/>
      <c r="AMB14" s="233"/>
      <c r="AMC14" s="233"/>
      <c r="AMD14" s="233"/>
      <c r="AME14" s="233"/>
      <c r="AMF14" s="233"/>
      <c r="AMG14" s="233"/>
      <c r="AMH14" s="233"/>
      <c r="AMI14" s="233"/>
      <c r="AMJ14" s="233"/>
      <c r="AMK14" s="233"/>
      <c r="AML14" s="233"/>
      <c r="AMM14" s="233"/>
      <c r="AMN14" s="233"/>
      <c r="AMO14" s="233"/>
      <c r="AMP14" s="233"/>
      <c r="AMQ14" s="233"/>
      <c r="AMR14" s="233"/>
      <c r="AMS14" s="233"/>
      <c r="AMT14" s="233"/>
      <c r="AMU14" s="233"/>
      <c r="AMV14" s="233"/>
      <c r="AMW14" s="233"/>
      <c r="AMX14" s="233"/>
      <c r="AMY14" s="233"/>
      <c r="AMZ14" s="233"/>
      <c r="ANA14" s="233"/>
      <c r="ANB14" s="233"/>
      <c r="ANC14" s="233"/>
      <c r="AND14" s="233"/>
      <c r="ANE14" s="233"/>
      <c r="ANF14" s="233"/>
      <c r="ANG14" s="233"/>
      <c r="ANH14" s="233"/>
      <c r="ANI14" s="233"/>
      <c r="ANJ14" s="233"/>
      <c r="ANK14" s="233"/>
      <c r="ANL14" s="233"/>
      <c r="ANM14" s="233"/>
      <c r="ANN14" s="233"/>
      <c r="ANO14" s="233"/>
      <c r="ANP14" s="233"/>
      <c r="ANQ14" s="233"/>
      <c r="ANR14" s="233"/>
      <c r="ANS14" s="233"/>
      <c r="ANT14" s="233"/>
      <c r="ANU14" s="233"/>
      <c r="ANV14" s="233"/>
      <c r="ANW14" s="233"/>
      <c r="ANX14" s="233"/>
      <c r="ANY14" s="233"/>
      <c r="ANZ14" s="233"/>
      <c r="AOA14" s="233"/>
      <c r="AOB14" s="233"/>
      <c r="AOC14" s="233"/>
      <c r="AOD14" s="233"/>
      <c r="AOE14" s="233"/>
      <c r="AOF14" s="233"/>
      <c r="AOG14" s="233"/>
      <c r="AOH14" s="233"/>
      <c r="AOI14" s="233"/>
      <c r="AOJ14" s="233"/>
      <c r="AOK14" s="233"/>
      <c r="AOL14" s="233"/>
      <c r="AOM14" s="233"/>
      <c r="AON14" s="233"/>
      <c r="AOO14" s="233"/>
      <c r="AOP14" s="233"/>
      <c r="AOQ14" s="233"/>
      <c r="AOR14" s="233"/>
      <c r="AOS14" s="233"/>
      <c r="AOT14" s="233"/>
      <c r="AOU14" s="233"/>
      <c r="AOV14" s="233"/>
      <c r="AOW14" s="233"/>
      <c r="AOX14" s="233"/>
      <c r="AOY14" s="233"/>
      <c r="AOZ14" s="233"/>
      <c r="APA14" s="233"/>
      <c r="APB14" s="233"/>
      <c r="APC14" s="233"/>
      <c r="APD14" s="233"/>
      <c r="APE14" s="233"/>
      <c r="APF14" s="233"/>
      <c r="APG14" s="233"/>
      <c r="APH14" s="233"/>
      <c r="API14" s="233"/>
      <c r="APJ14" s="233"/>
      <c r="APK14" s="233"/>
      <c r="APL14" s="233"/>
      <c r="APM14" s="233"/>
      <c r="APN14" s="233"/>
      <c r="APO14" s="233"/>
      <c r="APP14" s="233"/>
      <c r="APQ14" s="233"/>
      <c r="APR14" s="233"/>
      <c r="APS14" s="233"/>
      <c r="APT14" s="233"/>
      <c r="APU14" s="233"/>
      <c r="APV14" s="233"/>
      <c r="APW14" s="233"/>
      <c r="APX14" s="233"/>
      <c r="APY14" s="233"/>
      <c r="APZ14" s="233"/>
      <c r="AQA14" s="233"/>
      <c r="AQB14" s="233"/>
      <c r="AQC14" s="233"/>
      <c r="AQD14" s="233"/>
      <c r="AQE14" s="233"/>
      <c r="AQF14" s="233"/>
      <c r="AQG14" s="233"/>
      <c r="AQH14" s="233"/>
      <c r="AQI14" s="233"/>
      <c r="AQJ14" s="233"/>
      <c r="AQK14" s="233"/>
      <c r="AQL14" s="233"/>
      <c r="AQM14" s="233"/>
      <c r="AQN14" s="233"/>
      <c r="AQO14" s="233"/>
      <c r="AQP14" s="233"/>
      <c r="AQQ14" s="233"/>
      <c r="AQR14" s="233"/>
      <c r="AQS14" s="233"/>
      <c r="AQT14" s="233"/>
      <c r="AQU14" s="233"/>
      <c r="AQV14" s="233"/>
      <c r="AQW14" s="233"/>
      <c r="AQX14" s="233"/>
      <c r="AQY14" s="233"/>
      <c r="AQZ14" s="233"/>
      <c r="ARA14" s="233"/>
      <c r="ARB14" s="233"/>
      <c r="ARC14" s="233"/>
      <c r="ARD14" s="233"/>
      <c r="ARE14" s="233"/>
      <c r="ARF14" s="233"/>
      <c r="ARG14" s="233"/>
      <c r="ARH14" s="233"/>
      <c r="ARI14" s="233"/>
      <c r="ARJ14" s="233"/>
      <c r="ARK14" s="233"/>
      <c r="ARL14" s="233"/>
      <c r="ARM14" s="233"/>
      <c r="ARN14" s="233"/>
      <c r="ARO14" s="233"/>
      <c r="ARP14" s="233"/>
      <c r="ARQ14" s="233"/>
      <c r="ARR14" s="233"/>
      <c r="ARS14" s="233"/>
      <c r="ART14" s="233"/>
      <c r="ARU14" s="233"/>
      <c r="ARV14" s="233"/>
      <c r="ARW14" s="233"/>
      <c r="ARX14" s="233"/>
      <c r="ARY14" s="233"/>
      <c r="ARZ14" s="233"/>
      <c r="ASA14" s="233"/>
      <c r="ASB14" s="233"/>
      <c r="ASC14" s="233"/>
      <c r="ASD14" s="233"/>
      <c r="ASE14" s="233"/>
      <c r="ASF14" s="233"/>
      <c r="ASG14" s="233"/>
      <c r="ASH14" s="233"/>
      <c r="ASI14" s="233"/>
      <c r="ASJ14" s="233"/>
      <c r="ASK14" s="233"/>
      <c r="ASL14" s="233"/>
      <c r="ASM14" s="233"/>
      <c r="ASN14" s="233"/>
      <c r="ASO14" s="233"/>
      <c r="ASP14" s="233"/>
      <c r="ASQ14" s="233"/>
      <c r="ASR14" s="233"/>
      <c r="ASS14" s="233"/>
      <c r="AST14" s="233"/>
      <c r="ASU14" s="233"/>
      <c r="ASV14" s="233"/>
      <c r="ASW14" s="233"/>
      <c r="ASX14" s="233"/>
      <c r="ASY14" s="233"/>
      <c r="ASZ14" s="233"/>
      <c r="ATA14" s="233"/>
      <c r="ATB14" s="233"/>
      <c r="ATC14" s="233"/>
      <c r="ATD14" s="233"/>
      <c r="ATE14" s="233"/>
      <c r="ATF14" s="233"/>
      <c r="ATG14" s="233"/>
      <c r="ATH14" s="233"/>
      <c r="ATI14" s="233"/>
      <c r="ATJ14" s="233"/>
      <c r="ATK14" s="233"/>
      <c r="ATL14" s="233"/>
      <c r="ATM14" s="233"/>
      <c r="ATN14" s="233"/>
      <c r="ATO14" s="233"/>
      <c r="ATP14" s="233"/>
      <c r="ATQ14" s="233"/>
      <c r="ATR14" s="233"/>
      <c r="ATS14" s="233"/>
      <c r="ATT14" s="233"/>
      <c r="ATU14" s="233"/>
      <c r="ATV14" s="233"/>
      <c r="ATW14" s="233"/>
      <c r="ATX14" s="233"/>
      <c r="ATY14" s="233"/>
      <c r="ATZ14" s="233"/>
      <c r="AUA14" s="233"/>
      <c r="AUB14" s="233"/>
      <c r="AUC14" s="233"/>
      <c r="AUD14" s="233"/>
      <c r="AUE14" s="233"/>
      <c r="AUF14" s="233"/>
      <c r="AUG14" s="233"/>
      <c r="AUH14" s="233"/>
      <c r="AUI14" s="233"/>
      <c r="AUJ14" s="233"/>
      <c r="AUK14" s="233"/>
      <c r="AUL14" s="233"/>
      <c r="AUM14" s="233"/>
      <c r="AUN14" s="233"/>
      <c r="AUO14" s="233"/>
      <c r="AUP14" s="233"/>
      <c r="AUQ14" s="233"/>
      <c r="AUR14" s="233"/>
      <c r="AUS14" s="233"/>
      <c r="AUT14" s="233"/>
      <c r="AUU14" s="233"/>
      <c r="AUV14" s="233"/>
      <c r="AUW14" s="233"/>
      <c r="AUX14" s="233"/>
      <c r="AUY14" s="233"/>
      <c r="AUZ14" s="233"/>
      <c r="AVA14" s="233"/>
      <c r="AVB14" s="233"/>
      <c r="AVC14" s="233"/>
      <c r="AVD14" s="233"/>
      <c r="AVE14" s="233"/>
      <c r="AVF14" s="233"/>
      <c r="AVG14" s="233"/>
      <c r="AVH14" s="233"/>
      <c r="AVI14" s="233"/>
      <c r="AVJ14" s="233"/>
      <c r="AVK14" s="233"/>
      <c r="AVL14" s="233"/>
      <c r="AVM14" s="233"/>
      <c r="AVN14" s="233"/>
      <c r="AVO14" s="233"/>
      <c r="AVP14" s="233"/>
      <c r="AVQ14" s="233"/>
      <c r="AVR14" s="233"/>
      <c r="AVS14" s="233"/>
      <c r="AVT14" s="233"/>
      <c r="AVU14" s="233"/>
      <c r="AVV14" s="233"/>
      <c r="AVW14" s="233"/>
      <c r="AVX14" s="233"/>
      <c r="AVY14" s="233"/>
      <c r="AVZ14" s="233"/>
      <c r="AWA14" s="233"/>
      <c r="AWB14" s="233"/>
      <c r="AWC14" s="233"/>
      <c r="AWD14" s="233"/>
      <c r="AWE14" s="233"/>
      <c r="AWF14" s="233"/>
      <c r="AWG14" s="233"/>
      <c r="AWH14" s="233"/>
      <c r="AWI14" s="233"/>
      <c r="AWJ14" s="233"/>
      <c r="AWK14" s="233"/>
      <c r="AWL14" s="233"/>
      <c r="AWM14" s="233"/>
      <c r="AWN14" s="233"/>
      <c r="AWO14" s="233"/>
      <c r="AWP14" s="233"/>
      <c r="AWQ14" s="233"/>
      <c r="AWR14" s="233"/>
      <c r="AWS14" s="233"/>
      <c r="AWT14" s="233"/>
      <c r="AWU14" s="233"/>
      <c r="AWV14" s="233"/>
      <c r="AWW14" s="233"/>
      <c r="AWX14" s="233"/>
      <c r="AWY14" s="233"/>
      <c r="AWZ14" s="233"/>
      <c r="AXA14" s="233"/>
      <c r="AXB14" s="233"/>
      <c r="AXC14" s="233"/>
      <c r="AXD14" s="233"/>
      <c r="AXE14" s="233"/>
      <c r="AXF14" s="233"/>
      <c r="AXG14" s="233"/>
      <c r="AXH14" s="233"/>
      <c r="AXI14" s="233"/>
      <c r="AXJ14" s="233"/>
      <c r="AXK14" s="233"/>
      <c r="AXL14" s="233"/>
      <c r="AXM14" s="233"/>
      <c r="AXN14" s="233"/>
      <c r="AXO14" s="233"/>
      <c r="AXP14" s="233"/>
      <c r="AXQ14" s="233"/>
      <c r="AXR14" s="233"/>
      <c r="AXS14" s="233"/>
      <c r="AXT14" s="233"/>
      <c r="AXU14" s="233"/>
      <c r="AXV14" s="233"/>
      <c r="AXW14" s="233"/>
      <c r="AXX14" s="233"/>
      <c r="AXY14" s="233"/>
      <c r="AXZ14" s="233"/>
      <c r="AYA14" s="233"/>
      <c r="AYB14" s="233"/>
      <c r="AYC14" s="233"/>
      <c r="AYD14" s="233"/>
      <c r="AYE14" s="233"/>
      <c r="AYF14" s="233"/>
      <c r="AYG14" s="233"/>
      <c r="AYH14" s="233"/>
      <c r="AYI14" s="233"/>
      <c r="AYJ14" s="233"/>
      <c r="AYK14" s="233"/>
      <c r="AYL14" s="233"/>
      <c r="AYM14" s="233"/>
      <c r="AYN14" s="233"/>
      <c r="AYO14" s="233"/>
      <c r="AYP14" s="233"/>
      <c r="AYQ14" s="233"/>
      <c r="AYR14" s="233"/>
      <c r="AYS14" s="233"/>
      <c r="AYT14" s="233"/>
      <c r="AYU14" s="233"/>
      <c r="AYV14" s="233"/>
      <c r="AYW14" s="233"/>
      <c r="AYX14" s="233"/>
      <c r="AYY14" s="233"/>
      <c r="AYZ14" s="233"/>
      <c r="AZA14" s="233"/>
      <c r="AZB14" s="233"/>
      <c r="AZC14" s="233"/>
      <c r="AZD14" s="233"/>
      <c r="AZE14" s="233"/>
      <c r="AZF14" s="233"/>
      <c r="AZG14" s="233"/>
      <c r="AZH14" s="233"/>
      <c r="AZI14" s="233"/>
      <c r="AZJ14" s="233"/>
      <c r="AZK14" s="233"/>
      <c r="AZL14" s="233"/>
      <c r="AZM14" s="233"/>
      <c r="AZN14" s="233"/>
      <c r="AZO14" s="233"/>
      <c r="AZP14" s="233"/>
      <c r="AZQ14" s="233"/>
      <c r="AZR14" s="233"/>
      <c r="AZS14" s="233"/>
      <c r="AZT14" s="233"/>
      <c r="AZU14" s="233"/>
      <c r="AZV14" s="233"/>
      <c r="AZW14" s="233"/>
      <c r="AZX14" s="233"/>
      <c r="AZY14" s="233"/>
      <c r="AZZ14" s="233"/>
      <c r="BAA14" s="233"/>
      <c r="BAB14" s="233"/>
      <c r="BAC14" s="233"/>
      <c r="BAD14" s="233"/>
      <c r="BAE14" s="233"/>
      <c r="BAF14" s="233"/>
      <c r="BAG14" s="233"/>
      <c r="BAH14" s="233"/>
      <c r="BAI14" s="233"/>
      <c r="BAJ14" s="233"/>
      <c r="BAK14" s="233"/>
      <c r="BAL14" s="233"/>
      <c r="BAM14" s="233"/>
      <c r="BAN14" s="233"/>
      <c r="BAO14" s="233"/>
      <c r="BAP14" s="233"/>
      <c r="BAQ14" s="233"/>
      <c r="BAR14" s="233"/>
      <c r="BAS14" s="233"/>
      <c r="BAT14" s="233"/>
      <c r="BAU14" s="233"/>
      <c r="BAV14" s="233"/>
      <c r="BAW14" s="233"/>
      <c r="BAX14" s="233"/>
      <c r="BAY14" s="233"/>
      <c r="BAZ14" s="233"/>
      <c r="BBA14" s="233"/>
      <c r="BBB14" s="233"/>
      <c r="BBC14" s="233"/>
      <c r="BBD14" s="233"/>
      <c r="BBE14" s="233"/>
      <c r="BBF14" s="233"/>
      <c r="BBG14" s="233"/>
      <c r="BBH14" s="233"/>
      <c r="BBI14" s="233"/>
      <c r="BBJ14" s="233"/>
      <c r="BBK14" s="233"/>
      <c r="BBL14" s="233"/>
      <c r="BBM14" s="233"/>
      <c r="BBN14" s="233"/>
      <c r="BBO14" s="233"/>
      <c r="BBP14" s="233"/>
      <c r="BBQ14" s="233"/>
      <c r="BBR14" s="233"/>
      <c r="BBS14" s="233"/>
      <c r="BBT14" s="233"/>
      <c r="BBU14" s="233"/>
      <c r="BBV14" s="233"/>
      <c r="BBW14" s="233"/>
      <c r="BBX14" s="233"/>
      <c r="BBY14" s="233"/>
      <c r="BBZ14" s="233"/>
      <c r="BCA14" s="233"/>
      <c r="BCB14" s="233"/>
      <c r="BCC14" s="233"/>
      <c r="BCD14" s="233"/>
      <c r="BCE14" s="233"/>
      <c r="BCF14" s="233"/>
      <c r="BCG14" s="233"/>
      <c r="BCH14" s="233"/>
      <c r="BCI14" s="233"/>
      <c r="BCJ14" s="233"/>
      <c r="BCK14" s="233"/>
      <c r="BCL14" s="233"/>
      <c r="BCM14" s="233"/>
      <c r="BCN14" s="233"/>
      <c r="BCO14" s="233"/>
      <c r="BCP14" s="233"/>
      <c r="BCQ14" s="233"/>
      <c r="BCR14" s="233"/>
      <c r="BCS14" s="233"/>
      <c r="BCT14" s="233"/>
      <c r="BCU14" s="233"/>
      <c r="BCV14" s="233"/>
      <c r="BCW14" s="233"/>
      <c r="BCX14" s="233"/>
      <c r="BCY14" s="233"/>
      <c r="BCZ14" s="233"/>
      <c r="BDA14" s="233"/>
      <c r="BDB14" s="233"/>
      <c r="BDC14" s="233"/>
      <c r="BDD14" s="233"/>
      <c r="BDE14" s="233"/>
      <c r="BDF14" s="233"/>
      <c r="BDG14" s="233"/>
      <c r="BDH14" s="233"/>
      <c r="BDI14" s="233"/>
      <c r="BDJ14" s="233"/>
      <c r="BDK14" s="233"/>
      <c r="BDL14" s="233"/>
      <c r="BDM14" s="233"/>
      <c r="BDN14" s="233"/>
      <c r="BDO14" s="233"/>
      <c r="BDP14" s="233"/>
      <c r="BDQ14" s="233"/>
      <c r="BDR14" s="233"/>
      <c r="BDS14" s="233"/>
      <c r="BDT14" s="233"/>
      <c r="BDU14" s="233"/>
      <c r="BDV14" s="233"/>
      <c r="BDW14" s="233"/>
      <c r="BDX14" s="233"/>
      <c r="BDY14" s="233"/>
      <c r="BDZ14" s="233"/>
      <c r="BEA14" s="233"/>
      <c r="BEB14" s="233"/>
      <c r="BEC14" s="233"/>
      <c r="BED14" s="233"/>
      <c r="BEE14" s="233"/>
      <c r="BEF14" s="233"/>
      <c r="BEG14" s="233"/>
      <c r="BEH14" s="233"/>
      <c r="BEI14" s="233"/>
      <c r="BEJ14" s="233"/>
      <c r="BEK14" s="233"/>
      <c r="BEL14" s="233"/>
      <c r="BEM14" s="233"/>
      <c r="BEN14" s="233"/>
      <c r="BEO14" s="233"/>
      <c r="BEP14" s="233"/>
      <c r="BEQ14" s="233"/>
      <c r="BER14" s="233"/>
      <c r="BES14" s="233"/>
      <c r="BET14" s="233"/>
      <c r="BEU14" s="233"/>
      <c r="BEV14" s="233"/>
      <c r="BEW14" s="233"/>
      <c r="BEX14" s="233"/>
      <c r="BEY14" s="233"/>
      <c r="BEZ14" s="233"/>
      <c r="BFA14" s="233"/>
      <c r="BFB14" s="233"/>
      <c r="BFC14" s="233"/>
      <c r="BFD14" s="233"/>
      <c r="BFE14" s="233"/>
      <c r="BFF14" s="233"/>
      <c r="BFG14" s="233"/>
      <c r="BFH14" s="233"/>
      <c r="BFI14" s="233"/>
      <c r="BFJ14" s="233"/>
      <c r="BFK14" s="233"/>
      <c r="BFL14" s="233"/>
      <c r="BFM14" s="233"/>
      <c r="BFN14" s="233"/>
      <c r="BFO14" s="233"/>
      <c r="BFP14" s="233"/>
      <c r="BFQ14" s="233"/>
      <c r="BFR14" s="233"/>
      <c r="BFS14" s="233"/>
      <c r="BFT14" s="233"/>
      <c r="BFU14" s="233"/>
      <c r="BFV14" s="233"/>
      <c r="BFW14" s="233"/>
      <c r="BFX14" s="233"/>
      <c r="BFY14" s="233"/>
      <c r="BFZ14" s="233"/>
      <c r="BGA14" s="233"/>
      <c r="BGB14" s="233"/>
      <c r="BGC14" s="233"/>
      <c r="BGD14" s="233"/>
      <c r="BGE14" s="233"/>
      <c r="BGF14" s="233"/>
      <c r="BGG14" s="233"/>
      <c r="BGH14" s="233"/>
      <c r="BGI14" s="233"/>
      <c r="BGJ14" s="233"/>
      <c r="BGK14" s="233"/>
      <c r="BGL14" s="233"/>
      <c r="BGM14" s="233"/>
      <c r="BGN14" s="233"/>
      <c r="BGO14" s="233"/>
      <c r="BGP14" s="233"/>
      <c r="BGQ14" s="233"/>
      <c r="BGR14" s="233"/>
      <c r="BGS14" s="233"/>
      <c r="BGT14" s="233"/>
      <c r="BGU14" s="233"/>
      <c r="BGV14" s="233"/>
      <c r="BGW14" s="233"/>
      <c r="BGX14" s="233"/>
      <c r="BGY14" s="233"/>
      <c r="BGZ14" s="233"/>
      <c r="BHA14" s="233"/>
      <c r="BHB14" s="233"/>
      <c r="BHC14" s="233"/>
      <c r="BHD14" s="233"/>
      <c r="BHE14" s="233"/>
      <c r="BHF14" s="233"/>
      <c r="BHG14" s="233"/>
      <c r="BHH14" s="233"/>
      <c r="BHI14" s="233"/>
      <c r="BHJ14" s="233"/>
      <c r="BHK14" s="233"/>
      <c r="BHL14" s="233"/>
      <c r="BHM14" s="233"/>
      <c r="BHN14" s="233"/>
      <c r="BHO14" s="233"/>
      <c r="BHP14" s="233"/>
      <c r="BHQ14" s="233"/>
      <c r="BHR14" s="233"/>
      <c r="BHS14" s="233"/>
      <c r="BHT14" s="233"/>
      <c r="BHU14" s="233"/>
      <c r="BHV14" s="233"/>
      <c r="BHW14" s="233"/>
      <c r="BHX14" s="233"/>
      <c r="BHY14" s="233"/>
      <c r="BHZ14" s="233"/>
      <c r="BIA14" s="233"/>
      <c r="BIB14" s="233"/>
      <c r="BIC14" s="233"/>
      <c r="BID14" s="233"/>
      <c r="BIE14" s="233"/>
      <c r="BIF14" s="233"/>
      <c r="BIG14" s="233"/>
      <c r="BIH14" s="233"/>
      <c r="BII14" s="233"/>
      <c r="BIJ14" s="233"/>
      <c r="BIK14" s="233"/>
      <c r="BIL14" s="233"/>
      <c r="BIM14" s="233"/>
      <c r="BIN14" s="233"/>
      <c r="BIO14" s="233"/>
      <c r="BIP14" s="233"/>
      <c r="BIQ14" s="233"/>
      <c r="BIR14" s="233"/>
      <c r="BIS14" s="233"/>
      <c r="BIT14" s="233"/>
      <c r="BIU14" s="233"/>
      <c r="BIV14" s="233"/>
      <c r="BIW14" s="233"/>
      <c r="BIX14" s="233"/>
      <c r="BIY14" s="233"/>
      <c r="BIZ14" s="233"/>
      <c r="BJA14" s="233"/>
      <c r="BJB14" s="233"/>
      <c r="BJC14" s="233"/>
      <c r="BJD14" s="233"/>
      <c r="BJE14" s="233"/>
      <c r="BJF14" s="233"/>
      <c r="BJG14" s="233"/>
      <c r="BJH14" s="233"/>
      <c r="BJI14" s="233"/>
      <c r="BJJ14" s="233"/>
      <c r="BJK14" s="233"/>
      <c r="BJL14" s="233"/>
      <c r="BJM14" s="233"/>
      <c r="BJN14" s="233"/>
      <c r="BJO14" s="233"/>
      <c r="BJP14" s="233"/>
      <c r="BJQ14" s="233"/>
      <c r="BJR14" s="233"/>
      <c r="BJS14" s="233"/>
      <c r="BJT14" s="233"/>
      <c r="BJU14" s="233"/>
      <c r="BJV14" s="233"/>
      <c r="BJW14" s="233"/>
      <c r="BJX14" s="233"/>
      <c r="BJY14" s="233"/>
      <c r="BJZ14" s="233"/>
      <c r="BKA14" s="233"/>
      <c r="BKB14" s="233"/>
      <c r="BKC14" s="233"/>
      <c r="BKD14" s="233"/>
      <c r="BKE14" s="233"/>
      <c r="BKF14" s="233"/>
      <c r="BKG14" s="233"/>
      <c r="BKH14" s="233"/>
      <c r="BKI14" s="233"/>
      <c r="BKJ14" s="233"/>
      <c r="BKK14" s="233"/>
      <c r="BKL14" s="233"/>
      <c r="BKM14" s="233"/>
      <c r="BKN14" s="233"/>
      <c r="BKO14" s="233"/>
      <c r="BKP14" s="233"/>
      <c r="BKQ14" s="233"/>
      <c r="BKR14" s="233"/>
      <c r="BKS14" s="233"/>
      <c r="BKT14" s="233"/>
      <c r="BKU14" s="233"/>
      <c r="BKV14" s="233"/>
      <c r="BKW14" s="233"/>
      <c r="BKX14" s="233"/>
      <c r="BKY14" s="233"/>
      <c r="BKZ14" s="233"/>
      <c r="BLA14" s="233"/>
      <c r="BLB14" s="233"/>
      <c r="BLC14" s="233"/>
      <c r="BLD14" s="233"/>
      <c r="BLE14" s="233"/>
      <c r="BLF14" s="233"/>
      <c r="BLG14" s="233"/>
      <c r="BLH14" s="233"/>
      <c r="BLI14" s="233"/>
      <c r="BLJ14" s="233"/>
      <c r="BLK14" s="233"/>
      <c r="BLL14" s="233"/>
      <c r="BLM14" s="233"/>
      <c r="BLN14" s="233"/>
      <c r="BLO14" s="233"/>
      <c r="BLP14" s="233"/>
      <c r="BLQ14" s="233"/>
      <c r="BLR14" s="233"/>
      <c r="BLS14" s="233"/>
      <c r="BLT14" s="233"/>
      <c r="BLU14" s="233"/>
      <c r="BLV14" s="233"/>
      <c r="BLW14" s="233"/>
      <c r="BLX14" s="233"/>
      <c r="BLY14" s="233"/>
      <c r="BLZ14" s="233"/>
      <c r="BMA14" s="233"/>
      <c r="BMB14" s="233"/>
      <c r="BMC14" s="233"/>
      <c r="BMD14" s="233"/>
      <c r="BME14" s="233"/>
      <c r="BMF14" s="233"/>
      <c r="BMG14" s="233"/>
      <c r="BMH14" s="233"/>
      <c r="BMI14" s="233"/>
      <c r="BMJ14" s="233"/>
      <c r="BMK14" s="233"/>
      <c r="BML14" s="233"/>
      <c r="BMM14" s="233"/>
      <c r="BMN14" s="233"/>
      <c r="BMO14" s="233"/>
      <c r="BMP14" s="233"/>
      <c r="BMQ14" s="233"/>
      <c r="BMR14" s="233"/>
      <c r="BMS14" s="233"/>
      <c r="BMT14" s="233"/>
      <c r="BMU14" s="233"/>
      <c r="BMV14" s="233"/>
      <c r="BMW14" s="233"/>
      <c r="BMX14" s="233"/>
      <c r="BMY14" s="233"/>
      <c r="BMZ14" s="233"/>
      <c r="BNA14" s="233"/>
      <c r="BNB14" s="233"/>
      <c r="BNC14" s="233"/>
      <c r="BND14" s="233"/>
      <c r="BNE14" s="233"/>
      <c r="BNF14" s="233"/>
      <c r="BNG14" s="233"/>
      <c r="BNH14" s="233"/>
      <c r="BNI14" s="233"/>
      <c r="BNJ14" s="233"/>
      <c r="BNK14" s="233"/>
      <c r="BNL14" s="233"/>
      <c r="BNM14" s="233"/>
      <c r="BNN14" s="233"/>
      <c r="BNO14" s="233"/>
      <c r="BNP14" s="233"/>
      <c r="BNQ14" s="233"/>
      <c r="BNR14" s="233"/>
      <c r="BNS14" s="233"/>
      <c r="BNT14" s="233"/>
      <c r="BNU14" s="233"/>
      <c r="BNV14" s="233"/>
      <c r="BNW14" s="233"/>
      <c r="BNX14" s="233"/>
      <c r="BNY14" s="233"/>
      <c r="BNZ14" s="233"/>
      <c r="BOA14" s="233"/>
      <c r="BOB14" s="233"/>
      <c r="BOC14" s="233"/>
      <c r="BOD14" s="233"/>
      <c r="BOE14" s="233"/>
      <c r="BOF14" s="233"/>
      <c r="BOG14" s="233"/>
      <c r="BOH14" s="233"/>
      <c r="BOI14" s="233"/>
      <c r="BOJ14" s="233"/>
      <c r="BOK14" s="233"/>
      <c r="BOL14" s="233"/>
      <c r="BOM14" s="233"/>
      <c r="BON14" s="233"/>
      <c r="BOO14" s="233"/>
      <c r="BOP14" s="233"/>
      <c r="BOQ14" s="233"/>
      <c r="BOR14" s="233"/>
      <c r="BOS14" s="233"/>
      <c r="BOT14" s="233"/>
      <c r="BOU14" s="233"/>
      <c r="BOV14" s="233"/>
      <c r="BOW14" s="233"/>
      <c r="BOX14" s="233"/>
      <c r="BOY14" s="233"/>
      <c r="BOZ14" s="233"/>
      <c r="BPA14" s="233"/>
      <c r="BPB14" s="233"/>
      <c r="BPC14" s="233"/>
      <c r="BPD14" s="233"/>
      <c r="BPE14" s="233"/>
      <c r="BPF14" s="233"/>
      <c r="BPG14" s="233"/>
      <c r="BPH14" s="233"/>
      <c r="BPI14" s="233"/>
      <c r="BPJ14" s="233"/>
      <c r="BPK14" s="233"/>
      <c r="BPL14" s="233"/>
      <c r="BPM14" s="233"/>
      <c r="BPN14" s="233"/>
      <c r="BPO14" s="233"/>
      <c r="BPP14" s="233"/>
      <c r="BPQ14" s="233"/>
      <c r="BPR14" s="233"/>
      <c r="BPS14" s="233"/>
      <c r="BPT14" s="233"/>
      <c r="BPU14" s="233"/>
      <c r="BPV14" s="233"/>
      <c r="BPW14" s="233"/>
      <c r="BPX14" s="233"/>
      <c r="BPY14" s="233"/>
      <c r="BPZ14" s="233"/>
      <c r="BQA14" s="233"/>
      <c r="BQB14" s="233"/>
      <c r="BQC14" s="233"/>
      <c r="BQD14" s="233"/>
      <c r="BQE14" s="233"/>
      <c r="BQF14" s="233"/>
      <c r="BQG14" s="233"/>
      <c r="BQH14" s="233"/>
      <c r="BQI14" s="233"/>
      <c r="BQJ14" s="233"/>
      <c r="BQK14" s="233"/>
      <c r="BQL14" s="233"/>
      <c r="BQM14" s="233"/>
      <c r="BQN14" s="233"/>
      <c r="BQO14" s="233"/>
      <c r="BQP14" s="233"/>
      <c r="BQQ14" s="233"/>
      <c r="BQR14" s="233"/>
      <c r="BQS14" s="233"/>
      <c r="BQT14" s="233"/>
      <c r="BQU14" s="233"/>
      <c r="BQV14" s="233"/>
      <c r="BQW14" s="233"/>
      <c r="BQX14" s="233"/>
      <c r="BQY14" s="233"/>
      <c r="BQZ14" s="233"/>
      <c r="BRA14" s="233"/>
      <c r="BRB14" s="233"/>
      <c r="BRC14" s="233"/>
      <c r="BRD14" s="233"/>
      <c r="BRE14" s="233"/>
      <c r="BRF14" s="233"/>
      <c r="BRG14" s="233"/>
      <c r="BRH14" s="233"/>
      <c r="BRI14" s="233"/>
      <c r="BRJ14" s="233"/>
      <c r="BRK14" s="233"/>
      <c r="BRL14" s="233"/>
      <c r="BRM14" s="233"/>
      <c r="BRN14" s="233"/>
      <c r="BRO14" s="233"/>
      <c r="BRP14" s="233"/>
      <c r="BRQ14" s="233"/>
      <c r="BRR14" s="233"/>
      <c r="BRS14" s="233"/>
      <c r="BRT14" s="233"/>
      <c r="BRU14" s="233"/>
      <c r="BRV14" s="233"/>
      <c r="BRW14" s="233"/>
      <c r="BRX14" s="233"/>
      <c r="BRY14" s="233"/>
      <c r="BRZ14" s="233"/>
      <c r="BSA14" s="233"/>
      <c r="BSB14" s="233"/>
      <c r="BSC14" s="233"/>
      <c r="BSD14" s="233"/>
      <c r="BSE14" s="233"/>
      <c r="BSF14" s="233"/>
      <c r="BSG14" s="233"/>
      <c r="BSH14" s="233"/>
      <c r="BSI14" s="233"/>
      <c r="BSJ14" s="233"/>
      <c r="BSK14" s="233"/>
      <c r="BSL14" s="233"/>
      <c r="BSM14" s="233"/>
      <c r="BSN14" s="233"/>
      <c r="BSO14" s="233"/>
      <c r="BSP14" s="233"/>
      <c r="BSQ14" s="233"/>
      <c r="BSR14" s="233"/>
      <c r="BSS14" s="233"/>
      <c r="BST14" s="233"/>
      <c r="BSU14" s="233"/>
      <c r="BSV14" s="233"/>
      <c r="BSW14" s="233"/>
      <c r="BSX14" s="233"/>
      <c r="BSY14" s="233"/>
      <c r="BSZ14" s="233"/>
      <c r="BTA14" s="233"/>
      <c r="BTB14" s="233"/>
      <c r="BTC14" s="233"/>
      <c r="BTD14" s="233"/>
      <c r="BTE14" s="233"/>
      <c r="BTF14" s="233"/>
      <c r="BTG14" s="233"/>
      <c r="BTH14" s="233"/>
      <c r="BTI14" s="233"/>
      <c r="BTJ14" s="233"/>
      <c r="BTK14" s="233"/>
      <c r="BTL14" s="233"/>
      <c r="BTM14" s="233"/>
      <c r="BTN14" s="233"/>
      <c r="BTO14" s="233"/>
      <c r="BTP14" s="233"/>
      <c r="BTQ14" s="233"/>
      <c r="BTR14" s="233"/>
      <c r="BTS14" s="233"/>
      <c r="BTT14" s="233"/>
      <c r="BTU14" s="233"/>
      <c r="BTV14" s="233"/>
      <c r="BTW14" s="233"/>
      <c r="BTX14" s="233"/>
      <c r="BTY14" s="233"/>
      <c r="BTZ14" s="233"/>
      <c r="BUA14" s="233"/>
      <c r="BUB14" s="233"/>
      <c r="BUC14" s="233"/>
      <c r="BUD14" s="233"/>
      <c r="BUE14" s="233"/>
      <c r="BUF14" s="233"/>
      <c r="BUG14" s="233"/>
      <c r="BUH14" s="233"/>
      <c r="BUI14" s="233"/>
      <c r="BUJ14" s="233"/>
      <c r="BUK14" s="233"/>
      <c r="BUL14" s="233"/>
      <c r="BUM14" s="233"/>
      <c r="BUN14" s="233"/>
      <c r="BUO14" s="233"/>
      <c r="BUP14" s="233"/>
      <c r="BUQ14" s="233"/>
      <c r="BUR14" s="233"/>
      <c r="BUS14" s="233"/>
      <c r="BUT14" s="233"/>
      <c r="BUU14" s="233"/>
      <c r="BUV14" s="233"/>
      <c r="BUW14" s="233"/>
      <c r="BUX14" s="233"/>
      <c r="BUY14" s="233"/>
      <c r="BUZ14" s="233"/>
      <c r="BVA14" s="233"/>
      <c r="BVB14" s="233"/>
      <c r="BVC14" s="233"/>
      <c r="BVD14" s="233"/>
      <c r="BVE14" s="233"/>
      <c r="BVF14" s="233"/>
      <c r="BVG14" s="233"/>
      <c r="BVH14" s="233"/>
      <c r="BVI14" s="233"/>
      <c r="BVJ14" s="233"/>
      <c r="BVK14" s="233"/>
      <c r="BVL14" s="233"/>
      <c r="BVM14" s="233"/>
      <c r="BVN14" s="233"/>
      <c r="BVO14" s="233"/>
      <c r="BVP14" s="233"/>
      <c r="BVQ14" s="233"/>
      <c r="BVR14" s="233"/>
      <c r="BVS14" s="233"/>
      <c r="BVT14" s="233"/>
      <c r="BVU14" s="233"/>
      <c r="BVV14" s="233"/>
      <c r="BVW14" s="233"/>
      <c r="BVX14" s="233"/>
      <c r="BVY14" s="233"/>
      <c r="BVZ14" s="233"/>
      <c r="BWA14" s="233"/>
      <c r="BWB14" s="233"/>
      <c r="BWC14" s="233"/>
      <c r="BWD14" s="233"/>
      <c r="BWE14" s="233"/>
      <c r="BWF14" s="233"/>
      <c r="BWG14" s="233"/>
      <c r="BWH14" s="233"/>
      <c r="BWI14" s="233"/>
      <c r="BWJ14" s="233"/>
      <c r="BWK14" s="233"/>
      <c r="BWL14" s="233"/>
      <c r="BWM14" s="233"/>
      <c r="BWN14" s="233"/>
      <c r="BWO14" s="233"/>
      <c r="BWP14" s="233"/>
      <c r="BWQ14" s="233"/>
      <c r="BWR14" s="233"/>
      <c r="BWS14" s="233"/>
      <c r="BWT14" s="233"/>
      <c r="BWU14" s="233"/>
      <c r="BWV14" s="233"/>
      <c r="BWW14" s="233"/>
      <c r="BWX14" s="233"/>
      <c r="BWY14" s="233"/>
      <c r="BWZ14" s="233"/>
      <c r="BXA14" s="233"/>
      <c r="BXB14" s="233"/>
      <c r="BXC14" s="233"/>
      <c r="BXD14" s="233"/>
      <c r="BXE14" s="233"/>
      <c r="BXF14" s="233"/>
      <c r="BXG14" s="233"/>
      <c r="BXH14" s="233"/>
      <c r="BXI14" s="233"/>
      <c r="BXJ14" s="233"/>
      <c r="BXK14" s="233"/>
      <c r="BXL14" s="233"/>
      <c r="BXM14" s="233"/>
      <c r="BXN14" s="233"/>
      <c r="BXO14" s="233"/>
      <c r="BXP14" s="233"/>
      <c r="BXQ14" s="233"/>
      <c r="BXR14" s="233"/>
      <c r="BXS14" s="233"/>
      <c r="BXT14" s="233"/>
      <c r="BXU14" s="233"/>
      <c r="BXV14" s="233"/>
      <c r="BXW14" s="233"/>
      <c r="BXX14" s="233"/>
      <c r="BXY14" s="233"/>
      <c r="BXZ14" s="233"/>
      <c r="BYA14" s="233"/>
      <c r="BYB14" s="233"/>
      <c r="BYC14" s="233"/>
      <c r="BYD14" s="233"/>
      <c r="BYE14" s="233"/>
      <c r="BYF14" s="233"/>
      <c r="BYG14" s="233"/>
      <c r="BYH14" s="233"/>
      <c r="BYI14" s="233"/>
      <c r="BYJ14" s="233"/>
      <c r="BYK14" s="233"/>
      <c r="BYL14" s="233"/>
      <c r="BYM14" s="233"/>
      <c r="BYN14" s="233"/>
      <c r="BYO14" s="233"/>
      <c r="BYP14" s="233"/>
      <c r="BYQ14" s="233"/>
      <c r="BYR14" s="233"/>
      <c r="BYS14" s="233"/>
      <c r="BYT14" s="233"/>
      <c r="BYU14" s="233"/>
      <c r="BYV14" s="233"/>
      <c r="BYW14" s="233"/>
      <c r="BYX14" s="233"/>
      <c r="BYY14" s="233"/>
      <c r="BYZ14" s="233"/>
      <c r="BZA14" s="233"/>
      <c r="BZB14" s="233"/>
      <c r="BZC14" s="233"/>
      <c r="BZD14" s="233"/>
      <c r="BZE14" s="233"/>
      <c r="BZF14" s="233"/>
      <c r="BZG14" s="233"/>
      <c r="BZH14" s="233"/>
      <c r="BZI14" s="233"/>
      <c r="BZJ14" s="233"/>
      <c r="BZK14" s="233"/>
      <c r="BZL14" s="233"/>
      <c r="BZM14" s="233"/>
      <c r="BZN14" s="233"/>
      <c r="BZO14" s="233"/>
      <c r="BZP14" s="233"/>
      <c r="BZQ14" s="233"/>
      <c r="BZR14" s="233"/>
      <c r="BZS14" s="233"/>
      <c r="BZT14" s="233"/>
      <c r="BZU14" s="233"/>
      <c r="BZV14" s="233"/>
      <c r="BZW14" s="233"/>
      <c r="BZX14" s="233"/>
      <c r="BZY14" s="233"/>
      <c r="BZZ14" s="233"/>
      <c r="CAA14" s="233"/>
      <c r="CAB14" s="233"/>
      <c r="CAC14" s="233"/>
      <c r="CAD14" s="233"/>
      <c r="CAE14" s="233"/>
      <c r="CAF14" s="233"/>
      <c r="CAG14" s="233"/>
      <c r="CAH14" s="233"/>
      <c r="CAI14" s="233"/>
      <c r="CAJ14" s="233"/>
      <c r="CAK14" s="233"/>
      <c r="CAL14" s="233"/>
      <c r="CAM14" s="233"/>
      <c r="CAN14" s="233"/>
      <c r="CAO14" s="233"/>
      <c r="CAP14" s="233"/>
      <c r="CAQ14" s="233"/>
      <c r="CAR14" s="233"/>
      <c r="CAS14" s="233"/>
      <c r="CAT14" s="233"/>
      <c r="CAU14" s="233"/>
      <c r="CAV14" s="233"/>
      <c r="CAW14" s="233"/>
      <c r="CAX14" s="233"/>
      <c r="CAY14" s="233"/>
      <c r="CAZ14" s="233"/>
      <c r="CBA14" s="233"/>
      <c r="CBB14" s="233"/>
      <c r="CBC14" s="233"/>
      <c r="CBD14" s="233"/>
      <c r="CBE14" s="233"/>
      <c r="CBF14" s="233"/>
      <c r="CBG14" s="233"/>
      <c r="CBH14" s="233"/>
      <c r="CBI14" s="233"/>
      <c r="CBJ14" s="233"/>
      <c r="CBK14" s="233"/>
      <c r="CBL14" s="233"/>
      <c r="CBM14" s="233"/>
      <c r="CBN14" s="233"/>
      <c r="CBO14" s="233"/>
      <c r="CBP14" s="233"/>
      <c r="CBQ14" s="233"/>
      <c r="CBR14" s="233"/>
      <c r="CBS14" s="233"/>
      <c r="CBT14" s="233"/>
      <c r="CBU14" s="233"/>
      <c r="CBV14" s="233"/>
      <c r="CBW14" s="233"/>
      <c r="CBX14" s="233"/>
      <c r="CBY14" s="233"/>
      <c r="CBZ14" s="233"/>
      <c r="CCA14" s="233"/>
      <c r="CCB14" s="233"/>
      <c r="CCC14" s="233"/>
      <c r="CCD14" s="233"/>
      <c r="CCE14" s="233"/>
      <c r="CCF14" s="233"/>
      <c r="CCG14" s="233"/>
      <c r="CCH14" s="233"/>
      <c r="CCI14" s="233"/>
      <c r="CCJ14" s="233"/>
      <c r="CCK14" s="233"/>
      <c r="CCL14" s="233"/>
      <c r="CCM14" s="233"/>
      <c r="CCN14" s="233"/>
      <c r="CCO14" s="233"/>
      <c r="CCP14" s="233"/>
      <c r="CCQ14" s="233"/>
      <c r="CCR14" s="233"/>
      <c r="CCS14" s="233"/>
      <c r="CCT14" s="233"/>
      <c r="CCU14" s="233"/>
      <c r="CCV14" s="233"/>
      <c r="CCW14" s="233"/>
      <c r="VEX14" s="195"/>
      <c r="VST14" s="194"/>
      <c r="VTB14" s="194"/>
    </row>
    <row r="15" spans="1:2129 15008:15070 15386:15394" s="193" customFormat="1" ht="16.149999999999999" customHeight="1" x14ac:dyDescent="0.25">
      <c r="A15" s="182" t="s">
        <v>55</v>
      </c>
      <c r="B15" s="182">
        <v>4</v>
      </c>
      <c r="C15" s="182"/>
      <c r="D15" s="182"/>
      <c r="E15" s="182"/>
      <c r="F15" s="182"/>
      <c r="G15" s="183" t="s">
        <v>221</v>
      </c>
      <c r="H15" s="184" t="s">
        <v>203</v>
      </c>
      <c r="I15" s="184"/>
      <c r="J15" s="185"/>
      <c r="K15" s="186"/>
      <c r="L15" s="186"/>
      <c r="M15" s="187"/>
      <c r="N15" s="186">
        <v>43042</v>
      </c>
      <c r="O15" s="186">
        <v>43042</v>
      </c>
      <c r="P15" s="187">
        <v>1</v>
      </c>
      <c r="Q15" s="188">
        <v>0</v>
      </c>
      <c r="R15" s="186"/>
      <c r="S15" s="186"/>
      <c r="T15" s="187"/>
      <c r="U15" s="189"/>
      <c r="V15" s="189"/>
      <c r="W15" s="189"/>
      <c r="X15" s="190"/>
      <c r="Y15" s="191"/>
      <c r="Z15" s="191"/>
      <c r="AA15" s="198"/>
      <c r="AB15" s="191"/>
      <c r="AC15" s="192"/>
      <c r="AD15" s="192"/>
      <c r="AE15" s="192"/>
      <c r="AF15" s="192"/>
      <c r="AG15" s="192"/>
      <c r="AH15" s="192"/>
      <c r="AI15" s="192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2"/>
      <c r="AZ15" s="192"/>
      <c r="BA15" s="192"/>
      <c r="BB15" s="192"/>
      <c r="BC15" s="192"/>
      <c r="BD15" s="192"/>
      <c r="BE15" s="192"/>
      <c r="BF15" s="192"/>
      <c r="BG15" s="192"/>
      <c r="BH15" s="192"/>
      <c r="BI15" s="192"/>
      <c r="BJ15" s="192"/>
      <c r="BK15" s="192"/>
      <c r="BL15" s="192"/>
      <c r="BM15" s="192"/>
      <c r="BN15" s="192"/>
      <c r="BO15" s="192"/>
      <c r="BP15" s="192"/>
      <c r="BQ15" s="192"/>
      <c r="BR15" s="192"/>
      <c r="BS15" s="192"/>
      <c r="BT15" s="192"/>
      <c r="BU15" s="192"/>
      <c r="BV15" s="192"/>
      <c r="BW15" s="192"/>
      <c r="BX15" s="192"/>
      <c r="BY15" s="192"/>
      <c r="BZ15" s="192"/>
      <c r="CA15" s="192"/>
      <c r="CB15" s="192"/>
      <c r="CC15" s="192"/>
      <c r="CD15" s="192"/>
      <c r="CE15" s="192"/>
      <c r="CF15" s="192"/>
      <c r="CG15" s="196"/>
      <c r="CH15" s="196"/>
      <c r="CI15" s="196"/>
      <c r="CJ15" s="196"/>
      <c r="CK15" s="196"/>
      <c r="CL15" s="196"/>
      <c r="CM15" s="196"/>
      <c r="CN15" s="196"/>
      <c r="CO15" s="196"/>
      <c r="CP15" s="196"/>
      <c r="CQ15" s="196"/>
      <c r="CR15" s="196"/>
      <c r="CS15" s="196"/>
      <c r="CT15" s="196"/>
      <c r="CU15" s="196"/>
      <c r="CV15" s="196"/>
      <c r="CW15" s="196"/>
      <c r="CX15" s="196"/>
      <c r="CY15" s="196"/>
      <c r="CZ15" s="196"/>
      <c r="DA15" s="196"/>
      <c r="DB15" s="196"/>
      <c r="DC15" s="196"/>
      <c r="DD15" s="196"/>
      <c r="DE15" s="196"/>
      <c r="DF15" s="196"/>
      <c r="DG15" s="196"/>
      <c r="DH15" s="196"/>
      <c r="DI15" s="196"/>
      <c r="DJ15" s="196"/>
      <c r="DK15" s="196"/>
      <c r="DL15" s="196"/>
      <c r="DM15" s="196"/>
      <c r="DN15" s="196"/>
      <c r="DO15" s="196"/>
      <c r="DP15" s="196"/>
      <c r="DQ15" s="196"/>
      <c r="DR15" s="196"/>
      <c r="DS15" s="196"/>
      <c r="DT15" s="196"/>
      <c r="DU15" s="196"/>
      <c r="DV15" s="196"/>
      <c r="DW15" s="196"/>
      <c r="DX15" s="196"/>
      <c r="DY15" s="196"/>
      <c r="DZ15" s="196"/>
      <c r="EA15" s="196"/>
      <c r="EB15" s="196"/>
      <c r="EC15" s="196"/>
      <c r="ED15" s="196"/>
      <c r="EE15" s="196"/>
      <c r="EF15" s="196"/>
      <c r="EG15" s="196"/>
      <c r="EH15" s="196"/>
      <c r="EI15" s="196"/>
      <c r="EJ15" s="196"/>
      <c r="EK15" s="196"/>
      <c r="EL15" s="196"/>
      <c r="EM15" s="196"/>
      <c r="EN15" s="196"/>
      <c r="EO15" s="196"/>
      <c r="EP15" s="196"/>
      <c r="EQ15" s="196"/>
      <c r="ER15" s="196"/>
      <c r="ES15" s="196"/>
      <c r="ET15" s="196"/>
      <c r="EU15" s="196"/>
      <c r="EV15" s="196"/>
      <c r="EW15" s="196"/>
      <c r="EX15" s="196"/>
      <c r="EY15" s="196"/>
      <c r="EZ15" s="196"/>
      <c r="FA15" s="196"/>
      <c r="FB15" s="196"/>
      <c r="FC15" s="196"/>
      <c r="FD15" s="196"/>
      <c r="FE15" s="196"/>
      <c r="FF15" s="196"/>
      <c r="FG15" s="196"/>
      <c r="FH15" s="196"/>
      <c r="FI15" s="196"/>
      <c r="FJ15" s="196"/>
      <c r="FK15" s="196"/>
      <c r="FL15" s="196"/>
      <c r="FM15" s="196"/>
      <c r="FN15" s="196"/>
      <c r="FO15" s="196"/>
      <c r="FP15" s="196"/>
      <c r="FQ15" s="196"/>
      <c r="FR15" s="196"/>
      <c r="FS15" s="196"/>
      <c r="FT15" s="196"/>
      <c r="FU15" s="196"/>
      <c r="FV15" s="196"/>
      <c r="FW15" s="196"/>
      <c r="FX15" s="196"/>
      <c r="FY15" s="196"/>
      <c r="FZ15" s="196"/>
      <c r="GA15" s="196"/>
      <c r="GB15" s="196"/>
      <c r="GC15" s="196"/>
      <c r="GD15" s="196"/>
      <c r="GE15" s="196"/>
      <c r="GF15" s="196"/>
      <c r="GG15" s="196"/>
      <c r="GH15" s="196"/>
      <c r="GI15" s="196"/>
      <c r="GJ15" s="196"/>
      <c r="GK15" s="196"/>
      <c r="GL15" s="196"/>
      <c r="GM15" s="196"/>
      <c r="GN15" s="196"/>
      <c r="GO15" s="196"/>
      <c r="GP15" s="196"/>
      <c r="GQ15" s="196"/>
      <c r="GR15" s="196"/>
      <c r="GS15" s="196"/>
      <c r="GT15" s="196"/>
      <c r="GU15" s="196"/>
      <c r="GV15" s="196"/>
      <c r="GW15" s="196"/>
      <c r="GX15" s="196"/>
      <c r="GY15" s="196"/>
      <c r="GZ15" s="196"/>
      <c r="HA15" s="196"/>
      <c r="HB15" s="196"/>
      <c r="HC15" s="196"/>
      <c r="HD15" s="196"/>
      <c r="HE15" s="196"/>
      <c r="HF15" s="196"/>
      <c r="HG15" s="196"/>
      <c r="HH15" s="196"/>
      <c r="HI15" s="196"/>
      <c r="HJ15" s="196"/>
      <c r="HK15" s="196"/>
      <c r="HL15" s="196"/>
      <c r="HM15" s="196"/>
      <c r="HN15" s="196"/>
      <c r="HO15" s="196"/>
      <c r="HP15" s="196"/>
      <c r="HQ15" s="196"/>
      <c r="HR15" s="196"/>
      <c r="HS15" s="196"/>
      <c r="HT15" s="196"/>
      <c r="HU15" s="196"/>
      <c r="HV15" s="196"/>
      <c r="HW15" s="196"/>
      <c r="HX15" s="196"/>
      <c r="HY15" s="196"/>
      <c r="HZ15" s="196"/>
      <c r="IA15" s="196"/>
      <c r="IB15" s="196"/>
      <c r="IC15" s="196"/>
      <c r="ID15" s="196"/>
      <c r="IE15" s="196"/>
      <c r="IF15" s="196"/>
      <c r="IG15" s="196"/>
      <c r="IH15" s="196"/>
      <c r="II15" s="196"/>
      <c r="IJ15" s="196"/>
      <c r="IK15" s="196"/>
      <c r="IL15" s="196"/>
      <c r="IM15" s="196"/>
      <c r="IN15" s="196"/>
      <c r="IO15" s="196"/>
      <c r="IP15" s="196"/>
      <c r="IQ15" s="196"/>
      <c r="IR15" s="196"/>
      <c r="IS15" s="196"/>
      <c r="IT15" s="196"/>
      <c r="IU15" s="196"/>
      <c r="IV15" s="196"/>
      <c r="IW15" s="196"/>
      <c r="IX15" s="196"/>
      <c r="IY15" s="196"/>
      <c r="IZ15" s="196"/>
      <c r="JA15" s="196"/>
      <c r="JB15" s="196"/>
      <c r="JC15" s="196"/>
      <c r="JD15" s="196"/>
      <c r="JE15" s="196"/>
      <c r="JF15" s="196"/>
      <c r="JG15" s="196"/>
      <c r="JH15" s="196"/>
      <c r="JI15" s="196"/>
      <c r="JJ15" s="196"/>
      <c r="JK15" s="196"/>
      <c r="JL15" s="196"/>
      <c r="JM15" s="196"/>
      <c r="JN15" s="196"/>
      <c r="JO15" s="196"/>
      <c r="JP15" s="196"/>
      <c r="JQ15" s="196"/>
      <c r="JR15" s="196"/>
      <c r="JS15" s="196"/>
      <c r="JT15" s="196"/>
      <c r="JU15" s="196"/>
      <c r="JV15" s="196"/>
      <c r="JW15" s="196"/>
      <c r="JX15" s="196"/>
      <c r="JY15" s="196"/>
      <c r="JZ15" s="196"/>
      <c r="KA15" s="196"/>
      <c r="KB15" s="196"/>
      <c r="KC15" s="196"/>
      <c r="KD15" s="196"/>
      <c r="KE15" s="196"/>
      <c r="KF15" s="196"/>
      <c r="KG15" s="196"/>
      <c r="KH15" s="196"/>
      <c r="KI15" s="196"/>
      <c r="KJ15" s="196"/>
      <c r="KK15" s="196"/>
      <c r="KL15" s="196"/>
      <c r="KM15" s="196"/>
      <c r="KN15" s="196"/>
      <c r="KO15" s="196"/>
      <c r="KP15" s="196"/>
      <c r="KQ15" s="196"/>
      <c r="KR15" s="196"/>
      <c r="KS15" s="196"/>
      <c r="KT15" s="196"/>
      <c r="KU15" s="196"/>
      <c r="KV15" s="196"/>
      <c r="KW15" s="196"/>
      <c r="KX15" s="196"/>
      <c r="KY15" s="196"/>
      <c r="KZ15" s="196"/>
      <c r="LA15" s="196"/>
      <c r="LB15" s="196"/>
      <c r="LC15" s="196"/>
      <c r="LD15" s="196"/>
      <c r="LE15" s="196"/>
      <c r="LF15" s="196"/>
      <c r="LG15" s="196"/>
      <c r="LH15" s="196"/>
      <c r="LI15" s="196"/>
      <c r="LJ15" s="196"/>
      <c r="LK15" s="196"/>
      <c r="LL15" s="196"/>
      <c r="LM15" s="196"/>
      <c r="LN15" s="196"/>
      <c r="LO15" s="196"/>
      <c r="LP15" s="196"/>
      <c r="LQ15" s="196"/>
      <c r="LR15" s="196"/>
      <c r="LS15" s="196"/>
      <c r="LT15" s="196"/>
      <c r="LU15" s="196"/>
      <c r="LV15" s="196"/>
      <c r="LW15" s="196"/>
      <c r="LX15" s="196"/>
      <c r="LY15" s="196"/>
      <c r="LZ15" s="196"/>
      <c r="MA15" s="196"/>
      <c r="MB15" s="196"/>
      <c r="MC15" s="196"/>
      <c r="MD15" s="196"/>
      <c r="ME15" s="196"/>
      <c r="MF15" s="196"/>
      <c r="MG15" s="196"/>
      <c r="MH15" s="196"/>
      <c r="MI15" s="196"/>
      <c r="MJ15" s="196"/>
      <c r="MK15" s="196"/>
      <c r="ML15" s="196"/>
      <c r="MM15" s="196"/>
      <c r="MN15" s="196"/>
      <c r="MO15" s="196"/>
      <c r="MP15" s="196"/>
      <c r="MQ15" s="196"/>
      <c r="MR15" s="196"/>
      <c r="MS15" s="196"/>
      <c r="MT15" s="196"/>
      <c r="MU15" s="196"/>
      <c r="MV15" s="197"/>
      <c r="MW15" s="196"/>
      <c r="MX15" s="196"/>
      <c r="MY15" s="196"/>
      <c r="MZ15" s="196"/>
      <c r="NA15" s="196"/>
      <c r="NB15" s="196"/>
      <c r="NC15" s="196"/>
      <c r="ND15" s="196"/>
      <c r="NE15" s="196"/>
      <c r="NF15" s="196"/>
      <c r="NG15" s="196"/>
      <c r="NH15" s="196"/>
      <c r="NI15" s="196"/>
      <c r="NJ15" s="196"/>
      <c r="NK15" s="196"/>
      <c r="NL15" s="196"/>
      <c r="NM15" s="196"/>
      <c r="NN15" s="196"/>
      <c r="NO15" s="196"/>
      <c r="NP15" s="196"/>
      <c r="NQ15" s="196"/>
      <c r="NR15" s="196"/>
      <c r="NS15" s="196"/>
      <c r="NT15" s="196"/>
      <c r="NU15" s="196"/>
      <c r="NV15" s="196"/>
      <c r="NW15" s="196"/>
      <c r="NX15" s="196"/>
      <c r="NY15" s="196"/>
      <c r="NZ15" s="196"/>
      <c r="OA15" s="196"/>
      <c r="OB15" s="196"/>
      <c r="OC15" s="196"/>
      <c r="OD15" s="196"/>
      <c r="OE15" s="196"/>
      <c r="OF15" s="196"/>
      <c r="OG15" s="196"/>
      <c r="OH15" s="196"/>
      <c r="OI15" s="196"/>
      <c r="OJ15" s="196"/>
      <c r="OK15" s="196"/>
      <c r="OL15" s="196"/>
      <c r="OM15" s="196"/>
      <c r="ON15" s="196"/>
      <c r="OO15" s="196"/>
      <c r="OP15" s="196"/>
      <c r="OQ15" s="196"/>
      <c r="OR15" s="196"/>
      <c r="OS15" s="196"/>
      <c r="OT15" s="196"/>
      <c r="OU15" s="196"/>
      <c r="OV15" s="196"/>
      <c r="OW15" s="196"/>
      <c r="OX15" s="196"/>
      <c r="OY15" s="196"/>
      <c r="OZ15" s="196"/>
      <c r="PA15" s="196"/>
      <c r="PB15" s="196"/>
      <c r="PC15" s="196"/>
      <c r="PD15" s="196"/>
      <c r="PE15" s="196"/>
      <c r="PF15" s="196"/>
      <c r="PG15" s="196"/>
      <c r="PH15" s="196"/>
      <c r="PI15" s="196"/>
      <c r="PJ15" s="196"/>
      <c r="PK15" s="196"/>
      <c r="PL15" s="196"/>
      <c r="PM15" s="196"/>
      <c r="PN15" s="196"/>
      <c r="PO15" s="196"/>
      <c r="PP15" s="196"/>
      <c r="PQ15" s="196"/>
      <c r="PR15" s="196"/>
      <c r="PS15" s="196"/>
      <c r="PT15" s="196"/>
      <c r="PU15" s="196"/>
      <c r="PV15" s="196"/>
      <c r="PW15" s="196"/>
      <c r="PX15" s="196"/>
      <c r="PY15" s="196"/>
      <c r="PZ15" s="196"/>
      <c r="QA15" s="196"/>
      <c r="QB15" s="196"/>
      <c r="QC15" s="196"/>
      <c r="QD15" s="196"/>
      <c r="QE15" s="196"/>
      <c r="QF15" s="196"/>
      <c r="QG15" s="196"/>
      <c r="QH15" s="196"/>
      <c r="QI15" s="196"/>
      <c r="QJ15" s="196"/>
      <c r="QK15" s="196"/>
      <c r="QL15" s="196"/>
      <c r="QM15" s="196"/>
      <c r="QN15" s="196"/>
      <c r="QO15" s="196"/>
      <c r="QP15" s="196"/>
      <c r="QQ15" s="196"/>
      <c r="QR15" s="196"/>
      <c r="QS15" s="196"/>
      <c r="QT15" s="196"/>
      <c r="QU15" s="196"/>
      <c r="QV15" s="196"/>
      <c r="QW15" s="196"/>
      <c r="QX15" s="196"/>
      <c r="QY15" s="196"/>
      <c r="QZ15" s="196"/>
      <c r="RA15" s="196"/>
      <c r="RB15" s="196"/>
      <c r="RC15" s="196"/>
      <c r="RD15" s="196"/>
      <c r="RE15" s="196"/>
      <c r="RF15" s="196"/>
      <c r="RG15" s="196"/>
      <c r="RH15" s="196"/>
      <c r="RI15" s="196"/>
      <c r="RJ15" s="196"/>
      <c r="RK15" s="196"/>
      <c r="RL15" s="196"/>
      <c r="RM15" s="196"/>
      <c r="RN15" s="196"/>
      <c r="RO15" s="196"/>
      <c r="RP15" s="196"/>
      <c r="RQ15" s="196"/>
      <c r="RR15" s="196"/>
      <c r="RS15" s="196"/>
      <c r="RT15" s="196"/>
      <c r="RU15" s="196"/>
      <c r="RV15" s="196"/>
      <c r="RW15" s="196"/>
      <c r="RX15" s="196"/>
      <c r="RY15" s="196"/>
      <c r="RZ15" s="196"/>
      <c r="SA15" s="196"/>
      <c r="SB15" s="196"/>
      <c r="SC15" s="196"/>
      <c r="SD15" s="196"/>
      <c r="SE15" s="196"/>
      <c r="SF15" s="196"/>
      <c r="SG15" s="196"/>
      <c r="SH15" s="196"/>
      <c r="SI15" s="196"/>
      <c r="SJ15" s="196"/>
      <c r="SK15" s="196"/>
      <c r="SL15" s="196"/>
      <c r="SM15" s="196"/>
      <c r="SN15" s="196"/>
      <c r="SO15" s="196"/>
      <c r="SP15" s="196"/>
      <c r="SQ15" s="196"/>
      <c r="SR15" s="196"/>
      <c r="SS15" s="196"/>
      <c r="ST15" s="196"/>
      <c r="SU15" s="196"/>
      <c r="SV15" s="196"/>
      <c r="SW15" s="196"/>
      <c r="SX15" s="196"/>
      <c r="SY15" s="196"/>
      <c r="SZ15" s="196"/>
      <c r="TA15" s="196"/>
      <c r="TB15" s="196"/>
      <c r="TC15" s="196"/>
      <c r="TD15" s="196"/>
      <c r="TE15" s="196"/>
      <c r="TF15" s="196"/>
      <c r="TG15" s="196"/>
      <c r="TH15" s="196"/>
      <c r="TI15" s="196"/>
      <c r="TJ15" s="196"/>
      <c r="TK15" s="196"/>
      <c r="TL15" s="196"/>
      <c r="TM15" s="196"/>
      <c r="TN15" s="196"/>
      <c r="TO15" s="196"/>
      <c r="TP15" s="196"/>
      <c r="TQ15" s="196"/>
      <c r="TR15" s="196"/>
      <c r="TS15" s="196"/>
      <c r="TT15" s="196"/>
      <c r="TU15" s="196"/>
      <c r="TV15" s="196"/>
      <c r="TW15" s="196"/>
      <c r="TX15" s="196"/>
      <c r="TY15" s="196"/>
      <c r="TZ15" s="196"/>
      <c r="UA15" s="196"/>
      <c r="UB15" s="196"/>
      <c r="UC15" s="196"/>
      <c r="UD15" s="196"/>
      <c r="UE15" s="196"/>
      <c r="UF15" s="196"/>
      <c r="UG15" s="196"/>
      <c r="UH15" s="196"/>
      <c r="UI15" s="196"/>
      <c r="UJ15" s="196"/>
      <c r="UK15" s="196"/>
      <c r="UL15" s="196"/>
      <c r="UM15" s="196"/>
      <c r="UN15" s="196"/>
      <c r="UO15" s="196"/>
      <c r="UP15" s="196"/>
      <c r="UQ15" s="196"/>
      <c r="UR15" s="196"/>
      <c r="US15" s="196"/>
      <c r="UT15" s="196"/>
      <c r="UU15" s="196"/>
      <c r="UV15" s="196"/>
      <c r="UW15" s="196"/>
      <c r="UX15" s="196"/>
      <c r="UY15" s="196"/>
      <c r="UZ15" s="196"/>
      <c r="VA15" s="196"/>
      <c r="VB15" s="196"/>
      <c r="VC15" s="196"/>
      <c r="VD15" s="196"/>
      <c r="VE15" s="196"/>
      <c r="VF15" s="196"/>
      <c r="VG15" s="196"/>
      <c r="VH15" s="196"/>
      <c r="VI15" s="196"/>
      <c r="VJ15" s="196"/>
      <c r="VK15" s="196"/>
      <c r="VL15" s="196"/>
      <c r="VM15" s="196"/>
      <c r="VN15" s="196"/>
      <c r="VO15" s="196"/>
      <c r="VP15" s="196"/>
      <c r="VQ15" s="196"/>
      <c r="VR15" s="196"/>
      <c r="VS15" s="196"/>
      <c r="VT15" s="196"/>
      <c r="VU15" s="196"/>
      <c r="VV15" s="196"/>
      <c r="VW15" s="196"/>
      <c r="VX15" s="196"/>
      <c r="VY15" s="196"/>
      <c r="VZ15" s="196"/>
      <c r="WA15" s="196"/>
      <c r="WB15" s="196"/>
      <c r="WC15" s="196"/>
      <c r="WD15" s="196"/>
      <c r="WE15" s="196"/>
      <c r="WF15" s="196"/>
      <c r="WG15" s="196"/>
      <c r="WH15" s="196"/>
      <c r="WI15" s="196"/>
      <c r="WJ15" s="196"/>
      <c r="WK15" s="196"/>
      <c r="WL15" s="196"/>
      <c r="WM15" s="196"/>
      <c r="WN15" s="196"/>
      <c r="WO15" s="196"/>
      <c r="WP15" s="196"/>
      <c r="WQ15" s="196"/>
      <c r="WR15" s="196"/>
      <c r="WS15" s="196"/>
      <c r="WT15" s="196"/>
      <c r="WU15" s="196"/>
      <c r="WV15" s="196"/>
      <c r="WW15" s="196"/>
      <c r="WX15" s="196"/>
      <c r="WY15" s="196"/>
      <c r="WZ15" s="196"/>
      <c r="XA15" s="196"/>
      <c r="XB15" s="196"/>
      <c r="XC15" s="196"/>
      <c r="XD15" s="196"/>
      <c r="XE15" s="196"/>
      <c r="XF15" s="196"/>
      <c r="XG15" s="196"/>
      <c r="XH15" s="196"/>
      <c r="XI15" s="196"/>
      <c r="XJ15" s="196"/>
      <c r="XK15" s="196"/>
      <c r="XL15" s="196"/>
      <c r="XM15" s="196"/>
      <c r="XN15" s="196"/>
      <c r="XO15" s="196"/>
      <c r="XP15" s="196"/>
      <c r="XQ15" s="196"/>
      <c r="XR15" s="196"/>
      <c r="XS15" s="196"/>
      <c r="XT15" s="196"/>
      <c r="XU15" s="196"/>
      <c r="XV15" s="196"/>
      <c r="XW15" s="196"/>
      <c r="XX15" s="196"/>
      <c r="XY15" s="196"/>
      <c r="XZ15" s="196"/>
      <c r="YA15" s="196"/>
      <c r="YB15" s="196"/>
      <c r="YC15" s="196"/>
      <c r="YD15" s="196"/>
      <c r="YE15" s="196"/>
      <c r="YF15" s="196"/>
      <c r="YG15" s="196"/>
      <c r="YH15" s="196"/>
      <c r="YI15" s="196"/>
      <c r="YJ15" s="196"/>
      <c r="YK15" s="196"/>
      <c r="YL15" s="196"/>
      <c r="YM15" s="196"/>
      <c r="YN15" s="196"/>
      <c r="YO15" s="196"/>
      <c r="YP15" s="196"/>
      <c r="YQ15" s="196"/>
      <c r="YR15" s="196"/>
      <c r="YS15" s="196"/>
      <c r="YT15" s="196"/>
      <c r="YU15" s="196"/>
      <c r="YV15" s="196"/>
      <c r="YW15" s="196"/>
      <c r="YX15" s="196"/>
      <c r="YY15" s="196"/>
      <c r="YZ15" s="196"/>
      <c r="ZA15" s="196"/>
      <c r="ZB15" s="196"/>
      <c r="ZC15" s="196"/>
      <c r="ZD15" s="196"/>
      <c r="ZE15" s="196"/>
      <c r="ZF15" s="196"/>
      <c r="ZG15" s="196"/>
      <c r="ZH15" s="196"/>
      <c r="ZI15" s="196"/>
      <c r="ZJ15" s="196"/>
      <c r="ZK15" s="196"/>
      <c r="ZL15" s="196"/>
      <c r="ZM15" s="196"/>
      <c r="ZN15" s="196"/>
      <c r="ZO15" s="196"/>
      <c r="ZP15" s="196"/>
      <c r="ZQ15" s="196"/>
      <c r="ZR15" s="196"/>
      <c r="ZS15" s="196"/>
      <c r="ZT15" s="196"/>
      <c r="ZU15" s="196"/>
      <c r="ZV15" s="196"/>
      <c r="ZW15" s="196"/>
      <c r="ZX15" s="196"/>
      <c r="ZY15" s="196"/>
      <c r="ZZ15" s="196"/>
      <c r="AAA15" s="196"/>
      <c r="AAB15" s="196"/>
      <c r="AAC15" s="196"/>
      <c r="AAD15" s="196"/>
      <c r="AAE15" s="196"/>
      <c r="AAF15" s="196"/>
      <c r="AAG15" s="196"/>
      <c r="AAH15" s="196"/>
      <c r="AAI15" s="196"/>
      <c r="AAJ15" s="196"/>
      <c r="AAK15" s="196"/>
      <c r="AAL15" s="196"/>
      <c r="AAM15" s="196"/>
      <c r="AAN15" s="196"/>
      <c r="AAO15" s="196"/>
      <c r="AAP15" s="196"/>
      <c r="AAQ15" s="196"/>
      <c r="AAR15" s="196"/>
      <c r="AAS15" s="196"/>
      <c r="AAT15" s="196"/>
      <c r="AAU15" s="196"/>
      <c r="AAV15" s="196"/>
      <c r="AAW15" s="196"/>
      <c r="AAX15" s="196"/>
      <c r="AAY15" s="196"/>
      <c r="AAZ15" s="196"/>
      <c r="ABA15" s="196"/>
      <c r="ABB15" s="196"/>
      <c r="ABC15" s="196"/>
      <c r="ABD15" s="196"/>
      <c r="ABE15" s="196"/>
      <c r="ABF15" s="196"/>
      <c r="ABG15" s="196"/>
      <c r="ABH15" s="196"/>
      <c r="ABI15" s="196"/>
      <c r="ABJ15" s="196"/>
      <c r="ABK15" s="196"/>
      <c r="ABL15" s="196"/>
      <c r="ABM15" s="196"/>
      <c r="ABN15" s="196"/>
      <c r="ABO15" s="196"/>
      <c r="ABP15" s="196"/>
      <c r="ABQ15" s="196"/>
      <c r="ABR15" s="196"/>
      <c r="ABS15" s="196"/>
      <c r="ABT15" s="196"/>
      <c r="ABU15" s="196"/>
      <c r="ABV15" s="196"/>
      <c r="ABW15" s="196"/>
      <c r="ABX15" s="196"/>
      <c r="ABY15" s="196"/>
      <c r="ABZ15" s="196"/>
      <c r="ACA15" s="196"/>
      <c r="ACB15" s="196"/>
      <c r="ACC15" s="196"/>
      <c r="ACD15" s="196"/>
      <c r="ACE15" s="196"/>
      <c r="ACF15" s="196"/>
      <c r="ACG15" s="196"/>
      <c r="ACH15" s="196"/>
      <c r="ACI15" s="196"/>
      <c r="ACJ15" s="196"/>
      <c r="ACK15" s="196"/>
      <c r="ACL15" s="196"/>
      <c r="ACM15" s="196"/>
      <c r="ACN15" s="196"/>
      <c r="ACO15" s="196"/>
      <c r="ACP15" s="196"/>
      <c r="ACQ15" s="196"/>
      <c r="ACR15" s="196"/>
      <c r="ACS15" s="196"/>
      <c r="ACT15" s="196"/>
      <c r="ACU15" s="196"/>
      <c r="ACV15" s="196"/>
      <c r="ACW15" s="196"/>
      <c r="ACX15" s="196"/>
      <c r="ACY15" s="196"/>
      <c r="ACZ15" s="196"/>
      <c r="ADA15" s="196"/>
      <c r="ADB15" s="196"/>
      <c r="ADC15" s="196"/>
      <c r="ADD15" s="196"/>
      <c r="ADE15" s="196"/>
      <c r="ADF15" s="196"/>
      <c r="ADG15" s="196"/>
      <c r="ADH15" s="196"/>
      <c r="ADI15" s="196"/>
      <c r="ADJ15" s="196"/>
      <c r="ADK15" s="196"/>
      <c r="ADL15" s="196"/>
      <c r="ADM15" s="196"/>
      <c r="ADN15" s="196"/>
      <c r="ADO15" s="196"/>
      <c r="ADP15" s="196"/>
      <c r="ADQ15" s="196"/>
      <c r="ADR15" s="196"/>
      <c r="ADS15" s="196"/>
      <c r="ADT15" s="196"/>
      <c r="ADU15" s="196"/>
      <c r="ADV15" s="196"/>
      <c r="ADW15" s="196"/>
      <c r="ADX15" s="196"/>
      <c r="ADY15" s="196"/>
      <c r="ADZ15" s="196"/>
      <c r="AEA15" s="196"/>
      <c r="AEB15" s="196"/>
      <c r="AEC15" s="196"/>
      <c r="AED15" s="196"/>
      <c r="AEE15" s="196"/>
      <c r="AEF15" s="196"/>
      <c r="AEG15" s="196"/>
      <c r="AEH15" s="196"/>
      <c r="AEI15" s="196"/>
      <c r="AEJ15" s="196"/>
      <c r="AEK15" s="196"/>
      <c r="AEL15" s="196"/>
      <c r="AEM15" s="196"/>
      <c r="AEN15" s="196"/>
      <c r="AEO15" s="196"/>
      <c r="AEP15" s="196"/>
      <c r="AEQ15" s="196"/>
      <c r="AER15" s="196"/>
      <c r="AES15" s="196"/>
      <c r="AET15" s="196"/>
      <c r="AEU15" s="196"/>
      <c r="AEV15" s="196"/>
      <c r="AEW15" s="196"/>
      <c r="AEX15" s="196"/>
      <c r="AEY15" s="196"/>
      <c r="AEZ15" s="196"/>
      <c r="AFA15" s="196"/>
      <c r="AFB15" s="196"/>
      <c r="AFC15" s="196"/>
      <c r="AFD15" s="196"/>
      <c r="AFE15" s="196"/>
      <c r="AFF15" s="196"/>
      <c r="AFG15" s="196"/>
      <c r="AFH15" s="196"/>
      <c r="AFI15" s="196"/>
      <c r="AFJ15" s="196"/>
      <c r="AFK15" s="196"/>
      <c r="AFL15" s="196"/>
      <c r="AFM15" s="196"/>
      <c r="AFN15" s="196"/>
      <c r="AFO15" s="196"/>
      <c r="AFP15" s="196"/>
      <c r="AFQ15" s="196"/>
      <c r="AFR15" s="196"/>
      <c r="AFS15" s="196"/>
      <c r="AFT15" s="196"/>
      <c r="AFU15" s="196"/>
      <c r="AFV15" s="196"/>
      <c r="AFW15" s="196"/>
      <c r="AFX15" s="196"/>
      <c r="AFY15" s="196"/>
      <c r="AFZ15" s="196"/>
      <c r="AGA15" s="196"/>
      <c r="AGB15" s="196"/>
      <c r="AGC15" s="196"/>
      <c r="AGD15" s="196"/>
      <c r="AGE15" s="196"/>
      <c r="AGF15" s="196"/>
      <c r="AGG15" s="196"/>
      <c r="AGH15" s="196"/>
      <c r="AGI15" s="196"/>
      <c r="AGJ15" s="196"/>
      <c r="AGK15" s="196"/>
      <c r="AGL15" s="196"/>
      <c r="AGM15" s="196"/>
      <c r="AGN15" s="196"/>
      <c r="AGO15" s="196"/>
      <c r="AGP15" s="196"/>
      <c r="AGQ15" s="196"/>
      <c r="AGR15" s="196"/>
      <c r="AGS15" s="196"/>
      <c r="AGT15" s="196"/>
      <c r="AGU15" s="196"/>
      <c r="AGV15" s="196"/>
      <c r="AGW15" s="196"/>
      <c r="AGX15" s="196"/>
      <c r="AGY15" s="196"/>
      <c r="AGZ15" s="196"/>
      <c r="AHA15" s="196"/>
      <c r="AHB15" s="196"/>
      <c r="AHC15" s="196"/>
      <c r="AHD15" s="196"/>
      <c r="AHE15" s="196"/>
      <c r="AHF15" s="196"/>
      <c r="AHG15" s="196"/>
      <c r="AHH15" s="196"/>
      <c r="AHI15" s="196"/>
      <c r="AHJ15" s="196"/>
      <c r="AHK15" s="196"/>
      <c r="AHL15" s="196"/>
      <c r="AHM15" s="196"/>
      <c r="AHN15" s="196"/>
      <c r="AHO15" s="196"/>
      <c r="AHP15" s="196"/>
      <c r="AHQ15" s="196"/>
      <c r="AHR15" s="196"/>
      <c r="AHS15" s="196"/>
      <c r="AHT15" s="196"/>
      <c r="AHU15" s="196"/>
      <c r="AHV15" s="196"/>
      <c r="AHW15" s="196"/>
      <c r="AHX15" s="196"/>
      <c r="AHY15" s="196"/>
      <c r="AHZ15" s="196"/>
      <c r="AIA15" s="196"/>
      <c r="AIB15" s="196"/>
      <c r="AIC15" s="196"/>
      <c r="AID15" s="196"/>
      <c r="AIE15" s="196"/>
      <c r="AIF15" s="196"/>
      <c r="AIG15" s="196"/>
      <c r="AIH15" s="196"/>
      <c r="AII15" s="196"/>
      <c r="AIJ15" s="196"/>
      <c r="AIK15" s="196"/>
      <c r="AIL15" s="196"/>
      <c r="AIM15" s="196"/>
      <c r="AIN15" s="196"/>
      <c r="AIO15" s="196"/>
      <c r="AIP15" s="196"/>
      <c r="AIQ15" s="196"/>
      <c r="AIR15" s="196"/>
      <c r="AIS15" s="196"/>
      <c r="AIT15" s="196"/>
      <c r="AIU15" s="196"/>
      <c r="AIV15" s="196"/>
      <c r="AIW15" s="196"/>
      <c r="AIX15" s="196"/>
      <c r="AIY15" s="196"/>
      <c r="AIZ15" s="196"/>
      <c r="AJA15" s="196"/>
      <c r="AJB15" s="196"/>
      <c r="AJC15" s="196"/>
      <c r="AJD15" s="196"/>
      <c r="AJE15" s="196"/>
      <c r="AJF15" s="196"/>
      <c r="AJG15" s="196"/>
      <c r="AJH15" s="196"/>
      <c r="AJI15" s="196"/>
      <c r="AJJ15" s="196"/>
      <c r="AJK15" s="196"/>
      <c r="AJL15" s="196"/>
      <c r="AJM15" s="196"/>
      <c r="AJN15" s="196"/>
      <c r="AJO15" s="196"/>
      <c r="AJP15" s="196"/>
      <c r="AJQ15" s="196"/>
      <c r="AJR15" s="196"/>
      <c r="AJS15" s="196"/>
      <c r="AJT15" s="196"/>
      <c r="AJU15" s="196"/>
      <c r="AJV15" s="196"/>
      <c r="AJW15" s="196"/>
      <c r="AJX15" s="196"/>
      <c r="AJY15" s="196"/>
      <c r="AJZ15" s="196"/>
      <c r="AKA15" s="196"/>
      <c r="AKB15" s="196"/>
      <c r="AKC15" s="196"/>
      <c r="AKD15" s="196"/>
      <c r="AKE15" s="196"/>
      <c r="AKF15" s="196"/>
      <c r="AKG15" s="196"/>
      <c r="AKH15" s="196"/>
      <c r="AKI15" s="196"/>
      <c r="AKJ15" s="196"/>
      <c r="AKK15" s="196"/>
      <c r="AKL15" s="196"/>
      <c r="AKM15" s="196"/>
      <c r="AKN15" s="196"/>
      <c r="AKO15" s="196"/>
      <c r="AKP15" s="196"/>
      <c r="AKQ15" s="196"/>
      <c r="AKR15" s="196"/>
      <c r="AKS15" s="196"/>
      <c r="AKT15" s="196"/>
      <c r="AKU15" s="196"/>
      <c r="AKV15" s="196"/>
      <c r="AKW15" s="196"/>
      <c r="AKX15" s="196"/>
      <c r="AKY15" s="196"/>
      <c r="AKZ15" s="196"/>
      <c r="ALA15" s="196"/>
      <c r="ALB15" s="196"/>
      <c r="ALC15" s="196"/>
      <c r="ALD15" s="196"/>
      <c r="ALE15" s="196"/>
      <c r="ALF15" s="196"/>
      <c r="ALG15" s="196"/>
      <c r="ALH15" s="196"/>
      <c r="ALI15" s="196"/>
      <c r="ALJ15" s="196"/>
      <c r="ALK15" s="196"/>
      <c r="ALL15" s="196"/>
      <c r="ALM15" s="196"/>
      <c r="ALN15" s="196"/>
      <c r="ALO15" s="196"/>
      <c r="ALP15" s="196"/>
      <c r="ALQ15" s="196"/>
      <c r="ALR15" s="196"/>
      <c r="ALS15" s="196"/>
      <c r="ALT15" s="196"/>
      <c r="ALU15" s="196"/>
      <c r="ALV15" s="196"/>
      <c r="ALW15" s="196"/>
      <c r="ALX15" s="196"/>
      <c r="ALY15" s="196"/>
      <c r="ALZ15" s="196"/>
      <c r="AMA15" s="196"/>
      <c r="AMB15" s="196"/>
      <c r="AMC15" s="196"/>
      <c r="AMD15" s="196"/>
      <c r="AME15" s="196"/>
      <c r="AMF15" s="196"/>
      <c r="AMG15" s="196"/>
      <c r="AMH15" s="196"/>
      <c r="AMI15" s="196"/>
      <c r="AMJ15" s="196"/>
      <c r="AMK15" s="196"/>
      <c r="AML15" s="196"/>
      <c r="AMM15" s="196"/>
      <c r="AMN15" s="196"/>
      <c r="AMO15" s="196"/>
      <c r="AMP15" s="196"/>
      <c r="AMQ15" s="196"/>
      <c r="AMR15" s="196"/>
      <c r="AMS15" s="196"/>
      <c r="AMT15" s="196"/>
      <c r="AMU15" s="196"/>
      <c r="AMV15" s="196"/>
      <c r="AMW15" s="196"/>
      <c r="AMX15" s="196"/>
      <c r="AMY15" s="196"/>
      <c r="AMZ15" s="196"/>
      <c r="ANA15" s="196"/>
      <c r="ANB15" s="196"/>
      <c r="ANC15" s="196"/>
      <c r="AND15" s="196"/>
      <c r="ANE15" s="196"/>
      <c r="ANF15" s="196"/>
      <c r="ANG15" s="196"/>
      <c r="ANH15" s="196"/>
      <c r="ANI15" s="196"/>
      <c r="ANJ15" s="196"/>
      <c r="ANK15" s="196"/>
      <c r="ANL15" s="196"/>
      <c r="ANM15" s="196"/>
      <c r="ANN15" s="196"/>
      <c r="ANO15" s="196"/>
      <c r="ANP15" s="196"/>
      <c r="ANQ15" s="196"/>
      <c r="ANR15" s="196"/>
      <c r="ANS15" s="196"/>
      <c r="ANT15" s="196"/>
      <c r="ANU15" s="196"/>
      <c r="ANV15" s="196"/>
      <c r="ANW15" s="196"/>
      <c r="ANX15" s="196"/>
      <c r="ANY15" s="196"/>
      <c r="ANZ15" s="196"/>
      <c r="AOA15" s="196"/>
      <c r="AOB15" s="196"/>
      <c r="AOC15" s="196"/>
      <c r="AOD15" s="196"/>
      <c r="AOE15" s="196"/>
      <c r="AOF15" s="196"/>
      <c r="AOG15" s="196"/>
      <c r="AOH15" s="196"/>
      <c r="AOI15" s="196"/>
      <c r="AOJ15" s="196"/>
      <c r="AOK15" s="196"/>
      <c r="AOL15" s="196"/>
      <c r="AOM15" s="196"/>
      <c r="AON15" s="196"/>
      <c r="AOO15" s="196"/>
      <c r="AOP15" s="196"/>
      <c r="AOQ15" s="196"/>
      <c r="AOR15" s="196"/>
      <c r="AOS15" s="196"/>
      <c r="AOT15" s="196"/>
      <c r="AOU15" s="196"/>
      <c r="AOV15" s="196"/>
      <c r="AOW15" s="196"/>
      <c r="AOX15" s="196"/>
      <c r="AOY15" s="196"/>
      <c r="AOZ15" s="196"/>
      <c r="APA15" s="196"/>
      <c r="APB15" s="196"/>
      <c r="APC15" s="196"/>
      <c r="APD15" s="196"/>
      <c r="APE15" s="196"/>
      <c r="APF15" s="196"/>
      <c r="APG15" s="196"/>
      <c r="APH15" s="196"/>
      <c r="API15" s="196"/>
      <c r="APJ15" s="196"/>
      <c r="APK15" s="196"/>
      <c r="APL15" s="196"/>
      <c r="APM15" s="196"/>
      <c r="APN15" s="196"/>
      <c r="APO15" s="196"/>
      <c r="APP15" s="196"/>
      <c r="APQ15" s="196"/>
      <c r="APR15" s="196"/>
      <c r="APS15" s="196"/>
      <c r="APT15" s="196"/>
      <c r="APU15" s="196"/>
      <c r="APV15" s="196"/>
      <c r="APW15" s="196"/>
      <c r="APX15" s="196"/>
      <c r="APY15" s="196"/>
      <c r="APZ15" s="196"/>
      <c r="AQA15" s="196"/>
      <c r="AQB15" s="196"/>
      <c r="AQC15" s="196"/>
      <c r="AQD15" s="196"/>
      <c r="AQE15" s="196"/>
      <c r="AQF15" s="196"/>
      <c r="AQG15" s="196"/>
      <c r="AQH15" s="196"/>
      <c r="AQI15" s="196"/>
      <c r="AQJ15" s="196"/>
      <c r="AQK15" s="196"/>
      <c r="AQL15" s="196"/>
      <c r="AQM15" s="196"/>
      <c r="AQN15" s="196"/>
      <c r="AQO15" s="196"/>
      <c r="AQP15" s="196"/>
      <c r="AQQ15" s="196"/>
      <c r="AQR15" s="196"/>
      <c r="AQS15" s="196"/>
      <c r="AQT15" s="196"/>
      <c r="AQU15" s="196"/>
      <c r="AQV15" s="196"/>
      <c r="AQW15" s="196"/>
      <c r="AQX15" s="196"/>
      <c r="AQY15" s="196"/>
      <c r="AQZ15" s="196"/>
      <c r="ARA15" s="196"/>
      <c r="ARB15" s="196"/>
      <c r="ARC15" s="196"/>
      <c r="ARD15" s="196"/>
      <c r="ARE15" s="196"/>
      <c r="ARF15" s="196"/>
      <c r="ARG15" s="196"/>
      <c r="ARH15" s="196"/>
      <c r="ARI15" s="196"/>
      <c r="ARJ15" s="196"/>
      <c r="ARK15" s="196"/>
      <c r="ARL15" s="196"/>
      <c r="ARM15" s="196"/>
      <c r="ARN15" s="196"/>
      <c r="ARO15" s="196"/>
      <c r="ARP15" s="196"/>
      <c r="ARQ15" s="196"/>
      <c r="ARR15" s="196"/>
      <c r="ARS15" s="196"/>
      <c r="ART15" s="196"/>
      <c r="ARU15" s="196"/>
      <c r="ARV15" s="196"/>
      <c r="ARW15" s="196"/>
      <c r="ARX15" s="196"/>
      <c r="ARY15" s="196"/>
      <c r="ARZ15" s="196"/>
      <c r="ASA15" s="196"/>
      <c r="ASB15" s="196"/>
      <c r="ASC15" s="196"/>
      <c r="ASD15" s="196"/>
      <c r="ASE15" s="196"/>
      <c r="ASF15" s="196"/>
      <c r="ASG15" s="196"/>
      <c r="ASH15" s="196"/>
      <c r="ASI15" s="196"/>
      <c r="ASJ15" s="196"/>
      <c r="ASK15" s="196"/>
      <c r="ASL15" s="196"/>
      <c r="ASM15" s="196"/>
      <c r="ASN15" s="196"/>
      <c r="ASO15" s="196"/>
      <c r="ASP15" s="196"/>
      <c r="ASQ15" s="196"/>
      <c r="ASR15" s="196"/>
      <c r="ASS15" s="196"/>
      <c r="AST15" s="196"/>
      <c r="ASU15" s="196"/>
      <c r="ASV15" s="196"/>
      <c r="ASW15" s="196"/>
      <c r="ASX15" s="196"/>
      <c r="ASY15" s="196"/>
      <c r="ASZ15" s="196"/>
      <c r="ATA15" s="196"/>
      <c r="ATB15" s="196"/>
      <c r="ATC15" s="196"/>
      <c r="ATD15" s="196"/>
      <c r="ATE15" s="196"/>
      <c r="ATF15" s="196"/>
      <c r="ATG15" s="196"/>
      <c r="ATH15" s="196"/>
      <c r="ATI15" s="196"/>
      <c r="ATJ15" s="196"/>
      <c r="ATK15" s="196"/>
      <c r="ATL15" s="196"/>
      <c r="ATM15" s="196"/>
      <c r="ATN15" s="196"/>
      <c r="ATO15" s="196"/>
      <c r="ATP15" s="196"/>
      <c r="ATQ15" s="196"/>
      <c r="ATR15" s="196"/>
      <c r="ATS15" s="196"/>
      <c r="ATT15" s="196"/>
      <c r="ATU15" s="196"/>
      <c r="ATV15" s="196"/>
      <c r="ATW15" s="196"/>
      <c r="ATX15" s="196"/>
      <c r="ATY15" s="196"/>
      <c r="ATZ15" s="196"/>
      <c r="AUA15" s="196"/>
      <c r="AUB15" s="196"/>
      <c r="AUC15" s="196"/>
      <c r="AUD15" s="196"/>
      <c r="AUE15" s="196"/>
      <c r="AUF15" s="196"/>
      <c r="AUG15" s="196"/>
      <c r="AUH15" s="196"/>
      <c r="AUI15" s="196"/>
      <c r="AUJ15" s="196"/>
      <c r="AUK15" s="196"/>
      <c r="AUL15" s="196"/>
      <c r="AUM15" s="196"/>
      <c r="AUN15" s="196"/>
      <c r="AUO15" s="196"/>
      <c r="AUP15" s="196"/>
      <c r="AUQ15" s="196"/>
      <c r="AUR15" s="196"/>
      <c r="AUS15" s="196"/>
      <c r="AUT15" s="196"/>
      <c r="AUU15" s="196"/>
      <c r="AUV15" s="196"/>
      <c r="AUW15" s="196"/>
      <c r="AUX15" s="196"/>
      <c r="AUY15" s="196"/>
      <c r="AUZ15" s="196"/>
      <c r="AVA15" s="196"/>
      <c r="AVB15" s="196"/>
      <c r="AVC15" s="196"/>
      <c r="AVD15" s="196"/>
      <c r="AVE15" s="196"/>
      <c r="AVF15" s="196"/>
      <c r="AVG15" s="196"/>
      <c r="AVH15" s="196"/>
      <c r="AVI15" s="196"/>
      <c r="AVJ15" s="196"/>
      <c r="AVK15" s="196"/>
      <c r="AVL15" s="196"/>
      <c r="AVM15" s="196"/>
      <c r="AVN15" s="196"/>
      <c r="AVO15" s="196"/>
      <c r="AVP15" s="196"/>
      <c r="AVQ15" s="196"/>
      <c r="AVR15" s="196"/>
      <c r="AVS15" s="196"/>
      <c r="AVT15" s="196"/>
      <c r="AVU15" s="196"/>
      <c r="AVV15" s="196"/>
      <c r="AVW15" s="196"/>
      <c r="AVX15" s="196"/>
      <c r="AVY15" s="196"/>
      <c r="AVZ15" s="196"/>
      <c r="AWA15" s="196"/>
      <c r="AWB15" s="196"/>
      <c r="AWC15" s="196"/>
      <c r="AWD15" s="196"/>
      <c r="AWE15" s="196"/>
      <c r="AWF15" s="196"/>
      <c r="AWG15" s="196"/>
      <c r="AWH15" s="196"/>
      <c r="AWI15" s="196"/>
      <c r="AWJ15" s="196"/>
      <c r="AWK15" s="196"/>
      <c r="AWL15" s="196"/>
      <c r="AWM15" s="196"/>
      <c r="AWN15" s="196"/>
      <c r="AWO15" s="196"/>
      <c r="AWP15" s="196"/>
      <c r="AWQ15" s="196"/>
      <c r="AWR15" s="196"/>
      <c r="AWS15" s="196"/>
      <c r="AWT15" s="196"/>
      <c r="AWU15" s="196"/>
      <c r="AWV15" s="196"/>
      <c r="AWW15" s="196"/>
      <c r="AWX15" s="196"/>
      <c r="AWY15" s="196"/>
      <c r="AWZ15" s="196"/>
      <c r="AXA15" s="196"/>
      <c r="AXB15" s="196"/>
      <c r="AXC15" s="196"/>
      <c r="AXD15" s="196"/>
      <c r="AXE15" s="196"/>
      <c r="AXF15" s="196"/>
      <c r="AXG15" s="196"/>
      <c r="AXH15" s="196"/>
      <c r="AXI15" s="196"/>
      <c r="AXJ15" s="196"/>
      <c r="AXK15" s="196"/>
      <c r="AXL15" s="196"/>
      <c r="AXM15" s="196"/>
      <c r="AXN15" s="196"/>
      <c r="AXO15" s="196"/>
      <c r="AXP15" s="196"/>
      <c r="AXQ15" s="196"/>
      <c r="AXR15" s="196"/>
      <c r="AXS15" s="196"/>
      <c r="AXT15" s="196"/>
      <c r="AXU15" s="196"/>
      <c r="AXV15" s="196"/>
      <c r="AXW15" s="196"/>
      <c r="AXX15" s="196"/>
      <c r="AXY15" s="196"/>
      <c r="AXZ15" s="196"/>
      <c r="AYA15" s="196"/>
      <c r="AYB15" s="196"/>
      <c r="AYC15" s="196"/>
      <c r="AYD15" s="196"/>
      <c r="AYE15" s="196"/>
      <c r="AYF15" s="196"/>
      <c r="AYG15" s="196"/>
      <c r="AYH15" s="196"/>
      <c r="AYI15" s="196"/>
      <c r="AYJ15" s="196"/>
      <c r="AYK15" s="196"/>
      <c r="AYL15" s="196"/>
      <c r="AYM15" s="196"/>
      <c r="AYN15" s="196"/>
      <c r="AYO15" s="196"/>
      <c r="AYP15" s="196"/>
      <c r="AYQ15" s="196"/>
      <c r="AYR15" s="196"/>
      <c r="AYS15" s="196"/>
      <c r="AYT15" s="196"/>
      <c r="AYU15" s="196"/>
      <c r="AYV15" s="196"/>
      <c r="AYW15" s="196"/>
      <c r="AYX15" s="196"/>
      <c r="AYY15" s="196"/>
      <c r="AYZ15" s="196"/>
      <c r="AZA15" s="196"/>
      <c r="AZB15" s="196"/>
      <c r="AZC15" s="196"/>
      <c r="AZD15" s="196"/>
      <c r="AZE15" s="196"/>
      <c r="AZF15" s="196"/>
      <c r="AZG15" s="196"/>
      <c r="AZH15" s="196"/>
      <c r="AZI15" s="196"/>
      <c r="AZJ15" s="196"/>
      <c r="AZK15" s="196"/>
      <c r="AZL15" s="196"/>
      <c r="AZM15" s="196"/>
      <c r="AZN15" s="196"/>
      <c r="AZO15" s="196"/>
      <c r="AZP15" s="196"/>
      <c r="AZQ15" s="196"/>
      <c r="AZR15" s="196"/>
      <c r="AZS15" s="196"/>
      <c r="AZT15" s="196"/>
      <c r="AZU15" s="196"/>
      <c r="AZV15" s="196"/>
      <c r="AZW15" s="196"/>
      <c r="AZX15" s="196"/>
      <c r="AZY15" s="196"/>
      <c r="AZZ15" s="196"/>
      <c r="BAA15" s="196"/>
      <c r="BAB15" s="196"/>
      <c r="BAC15" s="196"/>
      <c r="BAD15" s="196"/>
      <c r="BAE15" s="196"/>
      <c r="BAF15" s="196"/>
      <c r="BAG15" s="196"/>
      <c r="BAH15" s="196"/>
      <c r="BAI15" s="196"/>
      <c r="BAJ15" s="196"/>
      <c r="BAK15" s="196"/>
      <c r="BAL15" s="196"/>
      <c r="BAM15" s="196"/>
      <c r="BAN15" s="196"/>
      <c r="BAO15" s="196"/>
      <c r="BAP15" s="196"/>
      <c r="BAQ15" s="196"/>
      <c r="BAR15" s="196"/>
      <c r="BAS15" s="196"/>
      <c r="BAT15" s="196"/>
      <c r="BAU15" s="196"/>
      <c r="BAV15" s="196"/>
      <c r="BAW15" s="196"/>
      <c r="BAX15" s="196"/>
      <c r="BAY15" s="196"/>
      <c r="BAZ15" s="196"/>
      <c r="BBA15" s="196"/>
      <c r="BBB15" s="196"/>
      <c r="BBC15" s="196"/>
      <c r="BBD15" s="196"/>
      <c r="BBE15" s="196"/>
      <c r="BBF15" s="196"/>
      <c r="BBG15" s="196"/>
      <c r="BBH15" s="196"/>
      <c r="BBI15" s="196"/>
      <c r="BBJ15" s="196"/>
      <c r="BBK15" s="196"/>
      <c r="BBL15" s="196"/>
      <c r="BBM15" s="196"/>
      <c r="BBN15" s="196"/>
      <c r="BBO15" s="196"/>
      <c r="BBP15" s="196"/>
      <c r="BBQ15" s="196"/>
      <c r="BBR15" s="196"/>
      <c r="BBS15" s="196"/>
      <c r="BBT15" s="196"/>
      <c r="BBU15" s="196"/>
      <c r="BBV15" s="196"/>
      <c r="BBW15" s="196"/>
      <c r="BBX15" s="196"/>
      <c r="BBY15" s="196"/>
      <c r="BBZ15" s="196"/>
      <c r="BCA15" s="196"/>
      <c r="BCB15" s="196"/>
      <c r="BCC15" s="196"/>
      <c r="BCD15" s="196"/>
      <c r="BCE15" s="196"/>
      <c r="BCF15" s="196"/>
      <c r="BCG15" s="196"/>
      <c r="BCH15" s="196"/>
      <c r="BCI15" s="196"/>
      <c r="BCJ15" s="196"/>
      <c r="BCK15" s="196"/>
      <c r="BCL15" s="196"/>
      <c r="BCM15" s="196"/>
      <c r="BCN15" s="196"/>
      <c r="BCO15" s="196"/>
      <c r="BCP15" s="196"/>
      <c r="BCQ15" s="196"/>
      <c r="BCR15" s="196"/>
      <c r="BCS15" s="196"/>
      <c r="BCT15" s="196"/>
      <c r="BCU15" s="196"/>
      <c r="BCV15" s="196"/>
      <c r="BCW15" s="196"/>
      <c r="BCX15" s="196"/>
      <c r="BCY15" s="196"/>
      <c r="BCZ15" s="196"/>
      <c r="BDA15" s="196"/>
      <c r="BDB15" s="196"/>
      <c r="BDC15" s="196"/>
      <c r="BDD15" s="196"/>
      <c r="BDE15" s="196"/>
      <c r="BDF15" s="196"/>
      <c r="BDG15" s="196"/>
      <c r="BDH15" s="196"/>
      <c r="BDI15" s="196"/>
      <c r="BDJ15" s="196"/>
      <c r="BDK15" s="196"/>
      <c r="BDL15" s="196"/>
      <c r="BDM15" s="196"/>
      <c r="BDN15" s="196"/>
      <c r="BDO15" s="196"/>
      <c r="BDP15" s="196"/>
      <c r="BDQ15" s="196"/>
      <c r="BDR15" s="196"/>
      <c r="BDS15" s="196"/>
      <c r="BDT15" s="196"/>
      <c r="BDU15" s="196"/>
      <c r="BDV15" s="196"/>
      <c r="BDW15" s="196"/>
      <c r="BDX15" s="196"/>
      <c r="BDY15" s="196"/>
      <c r="BDZ15" s="196"/>
      <c r="BEA15" s="196"/>
      <c r="BEB15" s="196"/>
      <c r="BEC15" s="196"/>
      <c r="BED15" s="196"/>
      <c r="BEE15" s="196"/>
      <c r="BEF15" s="196"/>
      <c r="BEG15" s="196"/>
      <c r="BEH15" s="196"/>
      <c r="BEI15" s="196"/>
      <c r="BEJ15" s="196"/>
      <c r="BEK15" s="196"/>
      <c r="BEL15" s="196"/>
      <c r="BEM15" s="196"/>
      <c r="BEN15" s="196"/>
      <c r="BEO15" s="196"/>
      <c r="BEP15" s="196"/>
      <c r="BEQ15" s="196"/>
      <c r="BER15" s="196"/>
      <c r="BES15" s="196"/>
      <c r="BET15" s="196"/>
      <c r="BEU15" s="196"/>
      <c r="BEV15" s="196"/>
      <c r="BEW15" s="196"/>
      <c r="BEX15" s="196"/>
      <c r="BEY15" s="196"/>
      <c r="BEZ15" s="196"/>
      <c r="BFA15" s="196"/>
      <c r="BFB15" s="196"/>
      <c r="BFC15" s="196"/>
      <c r="BFD15" s="196"/>
      <c r="BFE15" s="196"/>
      <c r="BFF15" s="196"/>
      <c r="BFG15" s="196"/>
      <c r="BFH15" s="196"/>
      <c r="BFI15" s="196"/>
      <c r="BFJ15" s="196"/>
      <c r="BFK15" s="196"/>
      <c r="BFL15" s="196"/>
      <c r="BFM15" s="196"/>
      <c r="BFN15" s="196"/>
      <c r="BFO15" s="196"/>
      <c r="BFP15" s="196"/>
      <c r="BFQ15" s="196"/>
      <c r="BFR15" s="196"/>
      <c r="BFS15" s="196"/>
      <c r="BFT15" s="196"/>
      <c r="BFU15" s="196"/>
      <c r="BFV15" s="196"/>
      <c r="BFW15" s="196"/>
      <c r="BFX15" s="196"/>
      <c r="BFY15" s="196"/>
      <c r="BFZ15" s="196"/>
      <c r="BGA15" s="196"/>
      <c r="BGB15" s="196"/>
      <c r="BGC15" s="196"/>
      <c r="BGD15" s="196"/>
      <c r="BGE15" s="196"/>
      <c r="BGF15" s="196"/>
      <c r="BGG15" s="196"/>
      <c r="BGH15" s="196"/>
      <c r="BGI15" s="196"/>
      <c r="BGJ15" s="196"/>
      <c r="BGK15" s="196"/>
      <c r="BGL15" s="196"/>
      <c r="BGM15" s="196"/>
      <c r="BGN15" s="196"/>
      <c r="BGO15" s="196"/>
      <c r="BGP15" s="196"/>
      <c r="BGQ15" s="196"/>
      <c r="BGR15" s="196"/>
      <c r="BGS15" s="196"/>
      <c r="BGT15" s="196"/>
      <c r="BGU15" s="196"/>
      <c r="BGV15" s="196"/>
      <c r="BGW15" s="196"/>
      <c r="BGX15" s="196"/>
      <c r="BGY15" s="196"/>
      <c r="BGZ15" s="196"/>
      <c r="BHA15" s="196"/>
      <c r="BHB15" s="196"/>
      <c r="BHC15" s="196"/>
      <c r="BHD15" s="196"/>
      <c r="BHE15" s="196"/>
      <c r="BHF15" s="196"/>
      <c r="BHG15" s="196"/>
      <c r="BHH15" s="196"/>
      <c r="BHI15" s="196"/>
      <c r="BHJ15" s="196"/>
      <c r="BHK15" s="196"/>
      <c r="BHL15" s="196"/>
      <c r="BHM15" s="196"/>
      <c r="BHN15" s="196"/>
      <c r="BHO15" s="196"/>
      <c r="BHP15" s="196"/>
      <c r="BHQ15" s="196"/>
      <c r="BHR15" s="196"/>
      <c r="BHS15" s="196"/>
      <c r="BHT15" s="196"/>
      <c r="BHU15" s="196"/>
      <c r="BHV15" s="196"/>
      <c r="BHW15" s="196"/>
      <c r="BHX15" s="196"/>
      <c r="BHY15" s="196"/>
      <c r="BHZ15" s="196"/>
      <c r="BIA15" s="196"/>
      <c r="BIB15" s="196"/>
      <c r="BIC15" s="196"/>
      <c r="BID15" s="196"/>
      <c r="BIE15" s="196"/>
      <c r="BIF15" s="196"/>
      <c r="BIG15" s="196"/>
      <c r="BIH15" s="196"/>
      <c r="BII15" s="196"/>
      <c r="BIJ15" s="196"/>
      <c r="BIK15" s="196"/>
      <c r="BIL15" s="196"/>
      <c r="BIM15" s="196"/>
      <c r="BIN15" s="196"/>
      <c r="BIO15" s="196"/>
      <c r="BIP15" s="196"/>
      <c r="BIQ15" s="196"/>
      <c r="BIR15" s="196"/>
      <c r="BIS15" s="196"/>
      <c r="BIT15" s="196"/>
      <c r="BIU15" s="196"/>
      <c r="BIV15" s="196"/>
      <c r="BIW15" s="196"/>
      <c r="BIX15" s="196"/>
      <c r="BIY15" s="196"/>
      <c r="BIZ15" s="196"/>
      <c r="BJA15" s="196"/>
      <c r="BJB15" s="196"/>
      <c r="BJC15" s="196"/>
      <c r="BJD15" s="196"/>
      <c r="BJE15" s="196"/>
      <c r="BJF15" s="196"/>
      <c r="BJG15" s="196"/>
      <c r="BJH15" s="196"/>
      <c r="BJI15" s="196"/>
      <c r="BJJ15" s="196"/>
      <c r="BJK15" s="196"/>
      <c r="BJL15" s="196"/>
      <c r="BJM15" s="196"/>
      <c r="BJN15" s="196"/>
      <c r="BJO15" s="196"/>
      <c r="BJP15" s="196"/>
      <c r="BJQ15" s="196"/>
      <c r="BJR15" s="196"/>
      <c r="BJS15" s="196"/>
      <c r="BJT15" s="196"/>
      <c r="BJU15" s="196"/>
      <c r="BJV15" s="196"/>
      <c r="BJW15" s="196"/>
      <c r="BJX15" s="196"/>
      <c r="BJY15" s="196"/>
      <c r="BJZ15" s="196"/>
      <c r="BKA15" s="196"/>
      <c r="BKB15" s="196"/>
      <c r="BKC15" s="196"/>
      <c r="BKD15" s="196"/>
      <c r="BKE15" s="196"/>
      <c r="BKF15" s="196"/>
      <c r="BKG15" s="196"/>
      <c r="BKH15" s="196"/>
      <c r="BKI15" s="196"/>
      <c r="BKJ15" s="196"/>
      <c r="BKK15" s="196"/>
      <c r="BKL15" s="196"/>
      <c r="BKM15" s="196"/>
      <c r="BKN15" s="196"/>
      <c r="BKO15" s="196"/>
      <c r="BKP15" s="196"/>
      <c r="BKQ15" s="196"/>
      <c r="BKR15" s="196"/>
      <c r="BKS15" s="196"/>
      <c r="BKT15" s="196"/>
      <c r="BKU15" s="196"/>
      <c r="BKV15" s="196"/>
      <c r="BKW15" s="196"/>
      <c r="BKX15" s="196"/>
      <c r="BKY15" s="196"/>
      <c r="BKZ15" s="196"/>
      <c r="BLA15" s="196"/>
      <c r="BLB15" s="196"/>
      <c r="BLC15" s="196"/>
      <c r="BLD15" s="196"/>
      <c r="BLE15" s="196"/>
      <c r="BLF15" s="196"/>
      <c r="BLG15" s="196"/>
      <c r="BLH15" s="196"/>
      <c r="BLI15" s="196"/>
      <c r="BLJ15" s="196"/>
      <c r="BLK15" s="196"/>
      <c r="BLL15" s="196"/>
      <c r="BLM15" s="196"/>
      <c r="BLN15" s="196"/>
      <c r="BLO15" s="196"/>
      <c r="BLP15" s="196"/>
      <c r="BLQ15" s="196"/>
      <c r="BLR15" s="196"/>
      <c r="BLS15" s="196"/>
      <c r="BLT15" s="196"/>
      <c r="BLU15" s="196"/>
      <c r="BLV15" s="196"/>
      <c r="BLW15" s="196"/>
      <c r="BLX15" s="196"/>
      <c r="BLY15" s="196"/>
      <c r="BLZ15" s="196"/>
      <c r="BMA15" s="196"/>
      <c r="BMB15" s="196"/>
      <c r="BMC15" s="196"/>
      <c r="BMD15" s="196"/>
      <c r="BME15" s="196"/>
      <c r="BMF15" s="196"/>
      <c r="BMG15" s="196"/>
      <c r="BMH15" s="196"/>
      <c r="BMI15" s="196"/>
      <c r="BMJ15" s="196"/>
      <c r="BMK15" s="196"/>
      <c r="BML15" s="196"/>
      <c r="BMM15" s="196"/>
      <c r="BMN15" s="196"/>
      <c r="BMO15" s="196"/>
      <c r="BMP15" s="196"/>
      <c r="BMQ15" s="196"/>
      <c r="BMR15" s="196"/>
      <c r="BMS15" s="196"/>
      <c r="BMT15" s="196"/>
      <c r="BMU15" s="196"/>
      <c r="BMV15" s="196"/>
      <c r="BMW15" s="196"/>
      <c r="BMX15" s="196"/>
      <c r="BMY15" s="196"/>
      <c r="BMZ15" s="196"/>
      <c r="BNA15" s="196"/>
      <c r="BNB15" s="196"/>
      <c r="BNC15" s="196"/>
      <c r="BND15" s="196"/>
      <c r="BNE15" s="196"/>
      <c r="BNF15" s="196"/>
      <c r="BNG15" s="196"/>
      <c r="BNH15" s="196"/>
      <c r="BNI15" s="196"/>
      <c r="BNJ15" s="196"/>
      <c r="BNK15" s="196"/>
      <c r="BNL15" s="196"/>
      <c r="BNM15" s="196"/>
      <c r="BNN15" s="196"/>
      <c r="BNO15" s="196"/>
      <c r="BNP15" s="196"/>
      <c r="BNQ15" s="196"/>
      <c r="BNR15" s="196"/>
      <c r="BNS15" s="196"/>
      <c r="BNT15" s="196"/>
      <c r="BNU15" s="196"/>
      <c r="BNV15" s="196"/>
      <c r="BNW15" s="196"/>
      <c r="BNX15" s="196"/>
      <c r="BNY15" s="196"/>
      <c r="BNZ15" s="196"/>
      <c r="BOA15" s="196"/>
      <c r="BOB15" s="196"/>
      <c r="BOC15" s="196"/>
      <c r="BOD15" s="196"/>
      <c r="BOE15" s="196"/>
      <c r="BOF15" s="196"/>
      <c r="BOG15" s="196"/>
      <c r="BOH15" s="196"/>
      <c r="BOI15" s="196"/>
      <c r="BOJ15" s="196"/>
      <c r="BOK15" s="196"/>
      <c r="BOL15" s="196"/>
      <c r="BOM15" s="196"/>
      <c r="BON15" s="196"/>
      <c r="BOO15" s="196"/>
      <c r="BOP15" s="196"/>
      <c r="BOQ15" s="196"/>
      <c r="BOR15" s="196"/>
      <c r="BOS15" s="196"/>
      <c r="BOT15" s="196"/>
      <c r="BOU15" s="196"/>
      <c r="BOV15" s="196"/>
      <c r="BOW15" s="196"/>
      <c r="BOX15" s="196"/>
      <c r="BOY15" s="196"/>
      <c r="BOZ15" s="196"/>
      <c r="BPA15" s="196"/>
      <c r="BPB15" s="196"/>
      <c r="BPC15" s="196"/>
      <c r="BPD15" s="196"/>
      <c r="BPE15" s="196"/>
      <c r="BPF15" s="196"/>
      <c r="BPG15" s="196"/>
      <c r="BPH15" s="196"/>
      <c r="BPI15" s="196"/>
      <c r="BPJ15" s="196"/>
      <c r="BPK15" s="196"/>
      <c r="BPL15" s="196"/>
      <c r="BPM15" s="196"/>
      <c r="BPN15" s="196"/>
      <c r="BPO15" s="196"/>
      <c r="BPP15" s="196"/>
      <c r="BPQ15" s="196"/>
      <c r="BPR15" s="196"/>
      <c r="BPS15" s="196"/>
      <c r="BPT15" s="196"/>
      <c r="BPU15" s="196"/>
      <c r="BPV15" s="196"/>
      <c r="BPW15" s="196"/>
      <c r="BPX15" s="196"/>
      <c r="BPY15" s="196"/>
      <c r="BPZ15" s="196"/>
      <c r="BQA15" s="196"/>
      <c r="BQB15" s="196"/>
      <c r="BQC15" s="196"/>
      <c r="BQD15" s="196"/>
      <c r="BQE15" s="196"/>
      <c r="BQF15" s="196"/>
      <c r="BQG15" s="196"/>
      <c r="BQH15" s="196"/>
      <c r="BQI15" s="196"/>
      <c r="BQJ15" s="196"/>
      <c r="BQK15" s="196"/>
      <c r="BQL15" s="196"/>
      <c r="BQM15" s="196"/>
      <c r="BQN15" s="196"/>
      <c r="BQO15" s="196"/>
      <c r="BQP15" s="196"/>
      <c r="BQQ15" s="196"/>
      <c r="BQR15" s="196"/>
      <c r="BQS15" s="196"/>
      <c r="BQT15" s="196"/>
      <c r="BQU15" s="196"/>
      <c r="BQV15" s="196"/>
      <c r="BQW15" s="196"/>
      <c r="BQX15" s="196"/>
      <c r="BQY15" s="196"/>
      <c r="BQZ15" s="196"/>
      <c r="BRA15" s="196"/>
      <c r="BRB15" s="196"/>
      <c r="BRC15" s="196"/>
      <c r="BRD15" s="196"/>
      <c r="BRE15" s="196"/>
      <c r="BRF15" s="196"/>
      <c r="BRG15" s="196"/>
      <c r="BRH15" s="196"/>
      <c r="BRI15" s="196"/>
      <c r="BRJ15" s="196"/>
      <c r="BRK15" s="196"/>
      <c r="BRL15" s="196"/>
      <c r="BRM15" s="196"/>
      <c r="BRN15" s="196"/>
      <c r="BRO15" s="196"/>
      <c r="BRP15" s="196"/>
      <c r="BRQ15" s="196"/>
      <c r="BRR15" s="196"/>
      <c r="BRS15" s="196"/>
      <c r="BRT15" s="196"/>
      <c r="BRU15" s="196"/>
      <c r="BRV15" s="196"/>
      <c r="BRW15" s="196"/>
      <c r="BRX15" s="196"/>
      <c r="BRY15" s="196"/>
      <c r="BRZ15" s="196"/>
      <c r="BSA15" s="196"/>
      <c r="BSB15" s="196"/>
      <c r="BSC15" s="196"/>
      <c r="BSD15" s="196"/>
      <c r="BSE15" s="196"/>
      <c r="BSF15" s="196"/>
      <c r="BSG15" s="196"/>
      <c r="BSH15" s="196"/>
      <c r="BSI15" s="196"/>
      <c r="BSJ15" s="196"/>
      <c r="BSK15" s="196"/>
      <c r="BSL15" s="196"/>
      <c r="BSM15" s="196"/>
      <c r="BSN15" s="196"/>
      <c r="BSO15" s="196"/>
      <c r="BSP15" s="196"/>
      <c r="BSQ15" s="196"/>
      <c r="BSR15" s="196"/>
      <c r="BSS15" s="196"/>
      <c r="BST15" s="196"/>
      <c r="BSU15" s="196"/>
      <c r="BSV15" s="196"/>
      <c r="BSW15" s="196"/>
      <c r="BSX15" s="196"/>
      <c r="BSY15" s="196"/>
      <c r="BSZ15" s="196"/>
      <c r="BTA15" s="196"/>
      <c r="BTB15" s="196"/>
      <c r="BTC15" s="196"/>
      <c r="BTD15" s="196"/>
      <c r="BTE15" s="196"/>
      <c r="BTF15" s="196"/>
      <c r="BTG15" s="196"/>
      <c r="BTH15" s="196"/>
      <c r="BTI15" s="196"/>
      <c r="BTJ15" s="196"/>
      <c r="BTK15" s="196"/>
      <c r="BTL15" s="196"/>
      <c r="BTM15" s="196"/>
      <c r="BTN15" s="196"/>
      <c r="BTO15" s="196"/>
      <c r="BTP15" s="196"/>
      <c r="BTQ15" s="196"/>
      <c r="BTR15" s="196"/>
      <c r="BTS15" s="196"/>
      <c r="BTT15" s="196"/>
      <c r="BTU15" s="196"/>
      <c r="BTV15" s="196"/>
      <c r="BTW15" s="196"/>
      <c r="BTX15" s="196"/>
      <c r="BTY15" s="196"/>
      <c r="BTZ15" s="196"/>
      <c r="BUA15" s="196"/>
      <c r="BUB15" s="196"/>
      <c r="BUC15" s="196"/>
      <c r="BUD15" s="196"/>
      <c r="BUE15" s="196"/>
      <c r="BUF15" s="196"/>
      <c r="BUG15" s="196"/>
      <c r="BUH15" s="196"/>
      <c r="BUI15" s="196"/>
      <c r="BUJ15" s="196"/>
      <c r="BUK15" s="196"/>
      <c r="BUL15" s="196"/>
      <c r="BUM15" s="196"/>
      <c r="BUN15" s="196"/>
      <c r="BUO15" s="196"/>
      <c r="BUP15" s="196"/>
      <c r="BUQ15" s="196"/>
      <c r="BUR15" s="196"/>
      <c r="BUS15" s="196"/>
      <c r="BUT15" s="196"/>
      <c r="BUU15" s="196"/>
      <c r="BUV15" s="196"/>
      <c r="BUW15" s="196"/>
      <c r="BUX15" s="196"/>
      <c r="BUY15" s="196"/>
      <c r="BUZ15" s="196"/>
      <c r="BVA15" s="196"/>
      <c r="BVB15" s="196"/>
      <c r="BVC15" s="196"/>
      <c r="BVD15" s="196"/>
      <c r="BVE15" s="196"/>
      <c r="BVF15" s="196"/>
      <c r="BVG15" s="196"/>
      <c r="BVH15" s="196"/>
      <c r="BVI15" s="196"/>
      <c r="BVJ15" s="196"/>
      <c r="BVK15" s="196"/>
      <c r="BVL15" s="196"/>
      <c r="BVM15" s="196"/>
      <c r="BVN15" s="196"/>
      <c r="BVO15" s="196"/>
      <c r="BVP15" s="196"/>
      <c r="BVQ15" s="196"/>
      <c r="BVR15" s="196"/>
      <c r="BVS15" s="196"/>
      <c r="BVT15" s="196"/>
      <c r="BVU15" s="196"/>
      <c r="BVV15" s="196"/>
      <c r="BVW15" s="196"/>
      <c r="BVX15" s="196"/>
      <c r="BVY15" s="196"/>
      <c r="BVZ15" s="196"/>
      <c r="BWA15" s="196"/>
      <c r="BWB15" s="196"/>
      <c r="BWC15" s="196"/>
      <c r="BWD15" s="196"/>
      <c r="BWE15" s="196"/>
      <c r="BWF15" s="196"/>
      <c r="BWG15" s="196"/>
      <c r="BWH15" s="196"/>
      <c r="BWI15" s="196"/>
      <c r="BWJ15" s="196"/>
      <c r="BWK15" s="196"/>
      <c r="BWL15" s="196"/>
      <c r="BWM15" s="196"/>
      <c r="BWN15" s="196"/>
      <c r="BWO15" s="196"/>
      <c r="BWP15" s="196"/>
      <c r="BWQ15" s="196"/>
      <c r="BWR15" s="196"/>
      <c r="BWS15" s="196"/>
      <c r="BWT15" s="196"/>
      <c r="BWU15" s="196"/>
      <c r="BWV15" s="196"/>
      <c r="BWW15" s="196"/>
      <c r="BWX15" s="196"/>
      <c r="BWY15" s="196"/>
      <c r="BWZ15" s="196"/>
      <c r="BXA15" s="196"/>
      <c r="BXB15" s="196"/>
      <c r="BXC15" s="196"/>
      <c r="BXD15" s="196"/>
      <c r="BXE15" s="196"/>
      <c r="BXF15" s="196"/>
      <c r="BXG15" s="196"/>
      <c r="BXH15" s="196"/>
      <c r="BXI15" s="196"/>
      <c r="BXJ15" s="196"/>
      <c r="BXK15" s="196"/>
      <c r="BXL15" s="196"/>
      <c r="BXM15" s="196"/>
      <c r="BXN15" s="196"/>
      <c r="BXO15" s="196"/>
      <c r="BXP15" s="196"/>
      <c r="BXQ15" s="196"/>
      <c r="BXR15" s="196"/>
      <c r="BXS15" s="196"/>
      <c r="BXT15" s="196"/>
      <c r="BXU15" s="196"/>
      <c r="BXV15" s="196"/>
      <c r="BXW15" s="196"/>
      <c r="BXX15" s="196"/>
      <c r="BXY15" s="196"/>
      <c r="BXZ15" s="196"/>
      <c r="BYA15" s="196"/>
      <c r="BYB15" s="196"/>
      <c r="BYC15" s="196"/>
      <c r="BYD15" s="196"/>
      <c r="BYE15" s="196"/>
      <c r="BYF15" s="196"/>
      <c r="BYG15" s="196"/>
      <c r="BYH15" s="196"/>
      <c r="BYI15" s="196"/>
      <c r="BYJ15" s="196"/>
      <c r="BYK15" s="196"/>
      <c r="BYL15" s="196"/>
      <c r="BYM15" s="196"/>
      <c r="BYN15" s="196"/>
      <c r="BYO15" s="196"/>
      <c r="BYP15" s="196"/>
      <c r="BYQ15" s="196"/>
      <c r="BYR15" s="196"/>
      <c r="BYS15" s="196"/>
      <c r="BYT15" s="196"/>
      <c r="BYU15" s="196"/>
      <c r="BYV15" s="196"/>
      <c r="BYW15" s="196"/>
      <c r="BYX15" s="196"/>
      <c r="BYY15" s="196"/>
      <c r="BYZ15" s="196"/>
      <c r="BZA15" s="196"/>
      <c r="BZB15" s="196"/>
      <c r="BZC15" s="196"/>
      <c r="BZD15" s="196"/>
      <c r="BZE15" s="196"/>
      <c r="BZF15" s="196"/>
      <c r="BZG15" s="196"/>
      <c r="BZH15" s="196"/>
      <c r="BZI15" s="196"/>
      <c r="BZJ15" s="196"/>
      <c r="BZK15" s="196"/>
      <c r="BZL15" s="196"/>
      <c r="BZM15" s="196"/>
      <c r="BZN15" s="196"/>
      <c r="BZO15" s="196"/>
      <c r="BZP15" s="196"/>
      <c r="BZQ15" s="196"/>
      <c r="BZR15" s="196"/>
      <c r="BZS15" s="196"/>
      <c r="BZT15" s="196"/>
      <c r="BZU15" s="196"/>
      <c r="BZV15" s="196"/>
      <c r="BZW15" s="196"/>
      <c r="BZX15" s="196"/>
      <c r="BZY15" s="196"/>
      <c r="BZZ15" s="196"/>
      <c r="CAA15" s="196"/>
      <c r="CAB15" s="196"/>
      <c r="CAC15" s="196"/>
      <c r="CAD15" s="196"/>
      <c r="CAE15" s="196"/>
      <c r="CAF15" s="196"/>
      <c r="CAG15" s="196"/>
      <c r="CAH15" s="196"/>
      <c r="CAI15" s="196"/>
      <c r="CAJ15" s="196"/>
      <c r="CAK15" s="196"/>
      <c r="CAL15" s="196"/>
      <c r="CAM15" s="196"/>
      <c r="CAN15" s="196"/>
      <c r="CAO15" s="196"/>
      <c r="CAP15" s="196"/>
      <c r="CAQ15" s="196"/>
      <c r="CAR15" s="196"/>
      <c r="CAS15" s="196"/>
      <c r="CAT15" s="196"/>
      <c r="CAU15" s="196"/>
      <c r="CAV15" s="196"/>
      <c r="CAW15" s="196"/>
      <c r="CAX15" s="196"/>
      <c r="CAY15" s="196"/>
      <c r="CAZ15" s="196"/>
      <c r="CBA15" s="196"/>
      <c r="CBB15" s="196"/>
      <c r="CBC15" s="196"/>
      <c r="CBD15" s="196"/>
      <c r="CBE15" s="196"/>
      <c r="CBF15" s="196"/>
      <c r="CBG15" s="196"/>
      <c r="CBH15" s="196"/>
      <c r="CBI15" s="196"/>
      <c r="CBJ15" s="196"/>
      <c r="CBK15" s="196"/>
      <c r="CBL15" s="196"/>
      <c r="CBM15" s="196"/>
      <c r="CBN15" s="196"/>
      <c r="CBO15" s="196"/>
      <c r="CBP15" s="196"/>
      <c r="CBQ15" s="196"/>
      <c r="CBR15" s="196"/>
      <c r="CBS15" s="196"/>
      <c r="CBT15" s="196"/>
      <c r="CBU15" s="196"/>
      <c r="CBV15" s="196"/>
      <c r="CBW15" s="196"/>
      <c r="CBX15" s="196"/>
      <c r="CBY15" s="196"/>
      <c r="CBZ15" s="196"/>
      <c r="CCA15" s="196"/>
      <c r="CCB15" s="196"/>
      <c r="CCC15" s="196"/>
      <c r="CCD15" s="196"/>
      <c r="CCE15" s="196"/>
      <c r="CCF15" s="196"/>
      <c r="CCG15" s="196"/>
      <c r="CCH15" s="196"/>
      <c r="CCI15" s="196"/>
      <c r="CCJ15" s="196"/>
      <c r="CCK15" s="196"/>
      <c r="CCL15" s="196"/>
      <c r="CCM15" s="196"/>
      <c r="CCN15" s="196"/>
      <c r="CCO15" s="196"/>
      <c r="CCP15" s="196"/>
      <c r="CCQ15" s="196"/>
      <c r="CCR15" s="196"/>
      <c r="CCS15" s="196"/>
      <c r="CCT15" s="196"/>
      <c r="CCU15" s="196"/>
      <c r="CCV15" s="196"/>
      <c r="CCW15" s="196"/>
      <c r="VEX15" s="195"/>
      <c r="VST15" s="194"/>
      <c r="VTB15" s="194"/>
    </row>
    <row r="16" spans="1:2129 15008:15070 15386:15394" s="193" customFormat="1" ht="16.149999999999999" customHeight="1" x14ac:dyDescent="0.25">
      <c r="A16" s="207" t="s">
        <v>55</v>
      </c>
      <c r="B16" s="207">
        <v>8</v>
      </c>
      <c r="C16" s="207"/>
      <c r="D16" s="207"/>
      <c r="E16" s="207"/>
      <c r="F16" s="207"/>
      <c r="G16" s="208" t="s">
        <v>223</v>
      </c>
      <c r="H16" s="209" t="s">
        <v>224</v>
      </c>
      <c r="I16" s="209"/>
      <c r="J16" s="210"/>
      <c r="K16" s="211"/>
      <c r="L16" s="211"/>
      <c r="M16" s="212"/>
      <c r="N16" s="211">
        <v>43045</v>
      </c>
      <c r="O16" s="211">
        <v>43072</v>
      </c>
      <c r="P16" s="212">
        <v>24</v>
      </c>
      <c r="Q16" s="213">
        <v>0</v>
      </c>
      <c r="R16" s="211"/>
      <c r="S16" s="211"/>
      <c r="T16" s="212"/>
      <c r="U16" s="214"/>
      <c r="V16" s="214"/>
      <c r="W16" s="214"/>
      <c r="X16" s="215"/>
      <c r="Y16" s="216"/>
      <c r="Z16" s="216"/>
      <c r="AA16" s="217"/>
      <c r="AB16" s="216"/>
      <c r="AC16" s="218"/>
      <c r="AD16" s="218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218"/>
      <c r="AQ16" s="218"/>
      <c r="AR16" s="218"/>
      <c r="AS16" s="218"/>
      <c r="AT16" s="218"/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218"/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  <c r="BR16" s="218"/>
      <c r="BS16" s="218"/>
      <c r="BT16" s="218"/>
      <c r="BU16" s="218"/>
      <c r="BV16" s="218"/>
      <c r="BW16" s="218"/>
      <c r="BX16" s="218"/>
      <c r="BY16" s="218"/>
      <c r="BZ16" s="218"/>
      <c r="CA16" s="218"/>
      <c r="CB16" s="218"/>
      <c r="CC16" s="218"/>
      <c r="CD16" s="218"/>
      <c r="CE16" s="218"/>
      <c r="CF16" s="218"/>
      <c r="CG16" s="219"/>
      <c r="CH16" s="219"/>
      <c r="CI16" s="219"/>
      <c r="CJ16" s="219"/>
      <c r="CK16" s="219"/>
      <c r="CL16" s="219"/>
      <c r="CM16" s="219"/>
      <c r="CN16" s="219"/>
      <c r="CO16" s="219"/>
      <c r="CP16" s="219"/>
      <c r="CQ16" s="219"/>
      <c r="CR16" s="219"/>
      <c r="CS16" s="219"/>
      <c r="CT16" s="219"/>
      <c r="CU16" s="219"/>
      <c r="CV16" s="219"/>
      <c r="CW16" s="219"/>
      <c r="CX16" s="219"/>
      <c r="CY16" s="219"/>
      <c r="CZ16" s="219"/>
      <c r="DA16" s="219"/>
      <c r="DB16" s="219"/>
      <c r="DC16" s="219"/>
      <c r="DD16" s="219"/>
      <c r="DE16" s="219"/>
      <c r="DF16" s="219"/>
      <c r="DG16" s="219"/>
      <c r="DH16" s="219"/>
      <c r="DI16" s="219"/>
      <c r="DJ16" s="219"/>
      <c r="DK16" s="219"/>
      <c r="DL16" s="219"/>
      <c r="DM16" s="219"/>
      <c r="DN16" s="219"/>
      <c r="DO16" s="219"/>
      <c r="DP16" s="219"/>
      <c r="DQ16" s="219"/>
      <c r="DR16" s="219"/>
      <c r="DS16" s="219"/>
      <c r="DT16" s="219"/>
      <c r="DU16" s="219"/>
      <c r="DV16" s="219"/>
      <c r="DW16" s="219"/>
      <c r="DX16" s="219"/>
      <c r="DY16" s="219"/>
      <c r="DZ16" s="219"/>
      <c r="EA16" s="219"/>
      <c r="EB16" s="219"/>
      <c r="EC16" s="219"/>
      <c r="ED16" s="219"/>
      <c r="EE16" s="219"/>
      <c r="EF16" s="219"/>
      <c r="EG16" s="219"/>
      <c r="EH16" s="219"/>
      <c r="EI16" s="219"/>
      <c r="EJ16" s="219"/>
      <c r="EK16" s="219"/>
      <c r="EL16" s="219"/>
      <c r="EM16" s="219"/>
      <c r="EN16" s="219"/>
      <c r="EO16" s="219"/>
      <c r="EP16" s="219"/>
      <c r="EQ16" s="219"/>
      <c r="ER16" s="219"/>
      <c r="ES16" s="219"/>
      <c r="ET16" s="219"/>
      <c r="EU16" s="219"/>
      <c r="EV16" s="219"/>
      <c r="EW16" s="219"/>
      <c r="EX16" s="219"/>
      <c r="EY16" s="219"/>
      <c r="EZ16" s="219"/>
      <c r="FA16" s="219"/>
      <c r="FB16" s="219"/>
      <c r="FC16" s="219"/>
      <c r="FD16" s="219"/>
      <c r="FE16" s="219"/>
      <c r="FF16" s="219"/>
      <c r="FG16" s="219"/>
      <c r="FH16" s="219"/>
      <c r="FI16" s="219"/>
      <c r="FJ16" s="219"/>
      <c r="FK16" s="219"/>
      <c r="FL16" s="219"/>
      <c r="FM16" s="219"/>
      <c r="FN16" s="219"/>
      <c r="FO16" s="219"/>
      <c r="FP16" s="219"/>
      <c r="FQ16" s="219"/>
      <c r="FR16" s="219"/>
      <c r="FS16" s="219"/>
      <c r="FT16" s="219"/>
      <c r="FU16" s="219"/>
      <c r="FV16" s="219"/>
      <c r="FW16" s="219"/>
      <c r="FX16" s="219"/>
      <c r="FY16" s="219"/>
      <c r="FZ16" s="219"/>
      <c r="GA16" s="219"/>
      <c r="GB16" s="219"/>
      <c r="GC16" s="219"/>
      <c r="GD16" s="219"/>
      <c r="GE16" s="219"/>
      <c r="GF16" s="219"/>
      <c r="GG16" s="219"/>
      <c r="GH16" s="219"/>
      <c r="GI16" s="219"/>
      <c r="GJ16" s="219"/>
      <c r="GK16" s="219"/>
      <c r="GL16" s="219"/>
      <c r="GM16" s="219"/>
      <c r="GN16" s="219"/>
      <c r="GO16" s="219"/>
      <c r="GP16" s="219"/>
      <c r="GQ16" s="219"/>
      <c r="GR16" s="219"/>
      <c r="GS16" s="219"/>
      <c r="GT16" s="219"/>
      <c r="GU16" s="219"/>
      <c r="GV16" s="219"/>
      <c r="GW16" s="219"/>
      <c r="GX16" s="219"/>
      <c r="GY16" s="219"/>
      <c r="GZ16" s="219"/>
      <c r="HA16" s="219"/>
      <c r="HB16" s="219"/>
      <c r="HC16" s="219"/>
      <c r="HD16" s="219"/>
      <c r="HE16" s="219"/>
      <c r="HF16" s="219"/>
      <c r="HG16" s="219"/>
      <c r="HH16" s="219"/>
      <c r="HI16" s="219"/>
      <c r="HJ16" s="219"/>
      <c r="HK16" s="219"/>
      <c r="HL16" s="219"/>
      <c r="HM16" s="219"/>
      <c r="HN16" s="219"/>
      <c r="HO16" s="219"/>
      <c r="HP16" s="219"/>
      <c r="HQ16" s="219"/>
      <c r="HR16" s="219"/>
      <c r="HS16" s="219"/>
      <c r="HT16" s="219"/>
      <c r="HU16" s="219"/>
      <c r="HV16" s="219"/>
      <c r="HW16" s="219"/>
      <c r="HX16" s="219"/>
      <c r="HY16" s="219"/>
      <c r="HZ16" s="219"/>
      <c r="IA16" s="219"/>
      <c r="IB16" s="219"/>
      <c r="IC16" s="219"/>
      <c r="ID16" s="219"/>
      <c r="IE16" s="219"/>
      <c r="IF16" s="219"/>
      <c r="IG16" s="219"/>
      <c r="IH16" s="219"/>
      <c r="II16" s="219"/>
      <c r="IJ16" s="219"/>
      <c r="IK16" s="219"/>
      <c r="IL16" s="219"/>
      <c r="IM16" s="219"/>
      <c r="IN16" s="219"/>
      <c r="IO16" s="219"/>
      <c r="IP16" s="219"/>
      <c r="IQ16" s="219"/>
      <c r="IR16" s="219"/>
      <c r="IS16" s="219"/>
      <c r="IT16" s="219"/>
      <c r="IU16" s="219"/>
      <c r="IV16" s="219"/>
      <c r="IW16" s="219"/>
      <c r="IX16" s="219"/>
      <c r="IY16" s="219"/>
      <c r="IZ16" s="219"/>
      <c r="JA16" s="219"/>
      <c r="JB16" s="219"/>
      <c r="JC16" s="219"/>
      <c r="JD16" s="219"/>
      <c r="JE16" s="219"/>
      <c r="JF16" s="219"/>
      <c r="JG16" s="219"/>
      <c r="JH16" s="219"/>
      <c r="JI16" s="219"/>
      <c r="JJ16" s="219"/>
      <c r="JK16" s="219"/>
      <c r="JL16" s="219"/>
      <c r="JM16" s="219"/>
      <c r="JN16" s="219"/>
      <c r="JO16" s="219"/>
      <c r="JP16" s="219"/>
      <c r="JQ16" s="219"/>
      <c r="JR16" s="219"/>
      <c r="JS16" s="219"/>
      <c r="JT16" s="219"/>
      <c r="JU16" s="219"/>
      <c r="JV16" s="219"/>
      <c r="JW16" s="219"/>
      <c r="JX16" s="219"/>
      <c r="JY16" s="219"/>
      <c r="JZ16" s="219"/>
      <c r="KA16" s="219"/>
      <c r="KB16" s="219"/>
      <c r="KC16" s="219"/>
      <c r="KD16" s="219"/>
      <c r="KE16" s="219"/>
      <c r="KF16" s="219"/>
      <c r="KG16" s="219"/>
      <c r="KH16" s="219"/>
      <c r="KI16" s="219"/>
      <c r="KJ16" s="219"/>
      <c r="KK16" s="219"/>
      <c r="KL16" s="219"/>
      <c r="KM16" s="219"/>
      <c r="KN16" s="219"/>
      <c r="KO16" s="219"/>
      <c r="KP16" s="219"/>
      <c r="KQ16" s="219"/>
      <c r="KR16" s="219"/>
      <c r="KS16" s="219"/>
      <c r="KT16" s="219"/>
      <c r="KU16" s="219"/>
      <c r="KV16" s="219"/>
      <c r="KW16" s="219"/>
      <c r="KX16" s="219"/>
      <c r="KY16" s="219"/>
      <c r="KZ16" s="219"/>
      <c r="LA16" s="219"/>
      <c r="LB16" s="219"/>
      <c r="LC16" s="219"/>
      <c r="LD16" s="219"/>
      <c r="LE16" s="219"/>
      <c r="LF16" s="219"/>
      <c r="LG16" s="219"/>
      <c r="LH16" s="219"/>
      <c r="LI16" s="219"/>
      <c r="LJ16" s="219"/>
      <c r="LK16" s="219"/>
      <c r="LL16" s="219"/>
      <c r="LM16" s="219"/>
      <c r="LN16" s="219"/>
      <c r="LO16" s="219"/>
      <c r="LP16" s="219"/>
      <c r="LQ16" s="219"/>
      <c r="LR16" s="219"/>
      <c r="LS16" s="219"/>
      <c r="LT16" s="219"/>
      <c r="LU16" s="219"/>
      <c r="LV16" s="219"/>
      <c r="LW16" s="219"/>
      <c r="LX16" s="219"/>
      <c r="LY16" s="219"/>
      <c r="LZ16" s="219"/>
      <c r="MA16" s="219"/>
      <c r="MB16" s="219"/>
      <c r="MC16" s="219"/>
      <c r="MD16" s="219"/>
      <c r="ME16" s="219"/>
      <c r="MF16" s="219"/>
      <c r="MG16" s="219"/>
      <c r="MH16" s="219"/>
      <c r="MI16" s="219"/>
      <c r="MJ16" s="219"/>
      <c r="MK16" s="219"/>
      <c r="ML16" s="219"/>
      <c r="MM16" s="219"/>
      <c r="MN16" s="219"/>
      <c r="MO16" s="219"/>
      <c r="MP16" s="219"/>
      <c r="MQ16" s="219"/>
      <c r="MR16" s="219"/>
      <c r="MS16" s="219"/>
      <c r="MT16" s="219"/>
      <c r="MU16" s="219"/>
      <c r="MV16" s="220"/>
      <c r="MW16" s="219"/>
      <c r="MX16" s="219"/>
      <c r="MY16" s="219"/>
      <c r="MZ16" s="219"/>
      <c r="NA16" s="219"/>
      <c r="NB16" s="219"/>
      <c r="NC16" s="219"/>
      <c r="ND16" s="219"/>
      <c r="NE16" s="219"/>
      <c r="NF16" s="219"/>
      <c r="NG16" s="219"/>
      <c r="NH16" s="219"/>
      <c r="NI16" s="219"/>
      <c r="NJ16" s="219"/>
      <c r="NK16" s="219"/>
      <c r="NL16" s="219"/>
      <c r="NM16" s="219"/>
      <c r="NN16" s="219"/>
      <c r="NO16" s="219"/>
      <c r="NP16" s="219"/>
      <c r="NQ16" s="219"/>
      <c r="NR16" s="219"/>
      <c r="NS16" s="219"/>
      <c r="NT16" s="219"/>
      <c r="NU16" s="219"/>
      <c r="NV16" s="219"/>
      <c r="NW16" s="219"/>
      <c r="NX16" s="219"/>
      <c r="NY16" s="219"/>
      <c r="NZ16" s="219"/>
      <c r="OA16" s="219"/>
      <c r="OB16" s="219"/>
      <c r="OC16" s="219"/>
      <c r="OD16" s="219"/>
      <c r="OE16" s="219"/>
      <c r="OF16" s="219"/>
      <c r="OG16" s="219"/>
      <c r="OH16" s="219"/>
      <c r="OI16" s="219"/>
      <c r="OJ16" s="219"/>
      <c r="OK16" s="219"/>
      <c r="OL16" s="219"/>
      <c r="OM16" s="219"/>
      <c r="ON16" s="219"/>
      <c r="OO16" s="219"/>
      <c r="OP16" s="219"/>
      <c r="OQ16" s="219"/>
      <c r="OR16" s="219"/>
      <c r="OS16" s="219"/>
      <c r="OT16" s="219"/>
      <c r="OU16" s="219"/>
      <c r="OV16" s="219"/>
      <c r="OW16" s="219"/>
      <c r="OX16" s="219"/>
      <c r="OY16" s="219"/>
      <c r="OZ16" s="219"/>
      <c r="PA16" s="219"/>
      <c r="PB16" s="219"/>
      <c r="PC16" s="219"/>
      <c r="PD16" s="219"/>
      <c r="PE16" s="219"/>
      <c r="PF16" s="219"/>
      <c r="PG16" s="219"/>
      <c r="PH16" s="219"/>
      <c r="PI16" s="219"/>
      <c r="PJ16" s="219"/>
      <c r="PK16" s="219"/>
      <c r="PL16" s="219"/>
      <c r="PM16" s="219"/>
      <c r="PN16" s="219"/>
      <c r="PO16" s="219"/>
      <c r="PP16" s="219"/>
      <c r="PQ16" s="219"/>
      <c r="PR16" s="219"/>
      <c r="PS16" s="219"/>
      <c r="PT16" s="219"/>
      <c r="PU16" s="219"/>
      <c r="PV16" s="219"/>
      <c r="PW16" s="219"/>
      <c r="PX16" s="219"/>
      <c r="PY16" s="219"/>
      <c r="PZ16" s="219"/>
      <c r="QA16" s="219"/>
      <c r="QB16" s="219"/>
      <c r="QC16" s="219"/>
      <c r="QD16" s="219"/>
      <c r="QE16" s="219"/>
      <c r="QF16" s="219"/>
      <c r="QG16" s="219"/>
      <c r="QH16" s="219"/>
      <c r="QI16" s="219"/>
      <c r="QJ16" s="219"/>
      <c r="QK16" s="219"/>
      <c r="QL16" s="219"/>
      <c r="QM16" s="219"/>
      <c r="QN16" s="219"/>
      <c r="QO16" s="219"/>
      <c r="QP16" s="219"/>
      <c r="QQ16" s="219"/>
      <c r="QR16" s="219"/>
      <c r="QS16" s="219"/>
      <c r="QT16" s="219"/>
      <c r="QU16" s="219"/>
      <c r="QV16" s="219"/>
      <c r="QW16" s="219"/>
      <c r="QX16" s="219"/>
      <c r="QY16" s="219"/>
      <c r="QZ16" s="219"/>
      <c r="RA16" s="219"/>
      <c r="RB16" s="219"/>
      <c r="RC16" s="219"/>
      <c r="RD16" s="219"/>
      <c r="RE16" s="219"/>
      <c r="RF16" s="219"/>
      <c r="RG16" s="219"/>
      <c r="RH16" s="219"/>
      <c r="RI16" s="219"/>
      <c r="RJ16" s="219"/>
      <c r="RK16" s="219"/>
      <c r="RL16" s="219"/>
      <c r="RM16" s="219"/>
      <c r="RN16" s="219"/>
      <c r="RO16" s="219"/>
      <c r="RP16" s="219"/>
      <c r="RQ16" s="219"/>
      <c r="RR16" s="219"/>
      <c r="RS16" s="219"/>
      <c r="RT16" s="219"/>
      <c r="RU16" s="219"/>
      <c r="RV16" s="219"/>
      <c r="RW16" s="219"/>
      <c r="RX16" s="219"/>
      <c r="RY16" s="219"/>
      <c r="RZ16" s="219"/>
      <c r="SA16" s="219"/>
      <c r="SB16" s="219"/>
      <c r="SC16" s="219"/>
      <c r="SD16" s="219"/>
      <c r="SE16" s="219"/>
      <c r="SF16" s="219"/>
      <c r="SG16" s="219"/>
      <c r="SH16" s="219"/>
      <c r="SI16" s="219"/>
      <c r="SJ16" s="219"/>
      <c r="SK16" s="219"/>
      <c r="SL16" s="219"/>
      <c r="SM16" s="219"/>
      <c r="SN16" s="219"/>
      <c r="SO16" s="219"/>
      <c r="SP16" s="219"/>
      <c r="SQ16" s="219"/>
      <c r="SR16" s="219"/>
      <c r="SS16" s="219"/>
      <c r="ST16" s="219"/>
      <c r="SU16" s="219"/>
      <c r="SV16" s="219"/>
      <c r="SW16" s="219"/>
      <c r="SX16" s="219"/>
      <c r="SY16" s="219"/>
      <c r="SZ16" s="219"/>
      <c r="TA16" s="219"/>
      <c r="TB16" s="219"/>
      <c r="TC16" s="219"/>
      <c r="TD16" s="219"/>
      <c r="TE16" s="219"/>
      <c r="TF16" s="219"/>
      <c r="TG16" s="219"/>
      <c r="TH16" s="219"/>
      <c r="TI16" s="219"/>
      <c r="TJ16" s="219"/>
      <c r="TK16" s="219"/>
      <c r="TL16" s="219"/>
      <c r="TM16" s="219"/>
      <c r="TN16" s="219"/>
      <c r="TO16" s="219"/>
      <c r="TP16" s="219"/>
      <c r="TQ16" s="219"/>
      <c r="TR16" s="219"/>
      <c r="TS16" s="219"/>
      <c r="TT16" s="219"/>
      <c r="TU16" s="219"/>
      <c r="TV16" s="219"/>
      <c r="TW16" s="219"/>
      <c r="TX16" s="219"/>
      <c r="TY16" s="219"/>
      <c r="TZ16" s="219"/>
      <c r="UA16" s="219"/>
      <c r="UB16" s="219"/>
      <c r="UC16" s="219"/>
      <c r="UD16" s="219"/>
      <c r="UE16" s="219"/>
      <c r="UF16" s="219"/>
      <c r="UG16" s="219"/>
      <c r="UH16" s="219"/>
      <c r="UI16" s="219"/>
      <c r="UJ16" s="219"/>
      <c r="UK16" s="219"/>
      <c r="UL16" s="219"/>
      <c r="UM16" s="219"/>
      <c r="UN16" s="219"/>
      <c r="UO16" s="219"/>
      <c r="UP16" s="219"/>
      <c r="UQ16" s="219"/>
      <c r="UR16" s="219"/>
      <c r="US16" s="219"/>
      <c r="UT16" s="219"/>
      <c r="UU16" s="219"/>
      <c r="UV16" s="219"/>
      <c r="UW16" s="219"/>
      <c r="UX16" s="219"/>
      <c r="UY16" s="219"/>
      <c r="UZ16" s="219"/>
      <c r="VA16" s="219"/>
      <c r="VB16" s="219"/>
      <c r="VC16" s="219"/>
      <c r="VD16" s="219"/>
      <c r="VE16" s="219"/>
      <c r="VF16" s="219"/>
      <c r="VG16" s="219"/>
      <c r="VH16" s="219"/>
      <c r="VI16" s="219"/>
      <c r="VJ16" s="219"/>
      <c r="VK16" s="219"/>
      <c r="VL16" s="219"/>
      <c r="VM16" s="219"/>
      <c r="VN16" s="219"/>
      <c r="VO16" s="219"/>
      <c r="VP16" s="219"/>
      <c r="VQ16" s="219"/>
      <c r="VR16" s="219"/>
      <c r="VS16" s="219"/>
      <c r="VT16" s="219"/>
      <c r="VU16" s="219"/>
      <c r="VV16" s="219"/>
      <c r="VW16" s="219"/>
      <c r="VX16" s="219"/>
      <c r="VY16" s="219"/>
      <c r="VZ16" s="219"/>
      <c r="WA16" s="219"/>
      <c r="WB16" s="219"/>
      <c r="WC16" s="219"/>
      <c r="WD16" s="219"/>
      <c r="WE16" s="219"/>
      <c r="WF16" s="219"/>
      <c r="WG16" s="219"/>
      <c r="WH16" s="219"/>
      <c r="WI16" s="219"/>
      <c r="WJ16" s="219"/>
      <c r="WK16" s="219"/>
      <c r="WL16" s="219"/>
      <c r="WM16" s="219"/>
      <c r="WN16" s="219"/>
      <c r="WO16" s="219"/>
      <c r="WP16" s="219"/>
      <c r="WQ16" s="219"/>
      <c r="WR16" s="219"/>
      <c r="WS16" s="219"/>
      <c r="WT16" s="219"/>
      <c r="WU16" s="219"/>
      <c r="WV16" s="219"/>
      <c r="WW16" s="219"/>
      <c r="WX16" s="219"/>
      <c r="WY16" s="219"/>
      <c r="WZ16" s="219"/>
      <c r="XA16" s="219"/>
      <c r="XB16" s="219"/>
      <c r="XC16" s="219"/>
      <c r="XD16" s="219"/>
      <c r="XE16" s="219"/>
      <c r="XF16" s="219"/>
      <c r="XG16" s="219"/>
      <c r="XH16" s="219"/>
      <c r="XI16" s="219"/>
      <c r="XJ16" s="219"/>
      <c r="XK16" s="219"/>
      <c r="XL16" s="219"/>
      <c r="XM16" s="219"/>
      <c r="XN16" s="219"/>
      <c r="XO16" s="219"/>
      <c r="XP16" s="219"/>
      <c r="XQ16" s="219"/>
      <c r="XR16" s="219"/>
      <c r="XS16" s="219"/>
      <c r="XT16" s="219"/>
      <c r="XU16" s="219"/>
      <c r="XV16" s="219"/>
      <c r="XW16" s="219"/>
      <c r="XX16" s="219"/>
      <c r="XY16" s="219"/>
      <c r="XZ16" s="219"/>
      <c r="YA16" s="219"/>
      <c r="YB16" s="219"/>
      <c r="YC16" s="219"/>
      <c r="YD16" s="219"/>
      <c r="YE16" s="219"/>
      <c r="YF16" s="219"/>
      <c r="YG16" s="219"/>
      <c r="YH16" s="219"/>
      <c r="YI16" s="219"/>
      <c r="YJ16" s="219"/>
      <c r="YK16" s="219"/>
      <c r="YL16" s="219"/>
      <c r="YM16" s="219"/>
      <c r="YN16" s="219"/>
      <c r="YO16" s="219"/>
      <c r="YP16" s="219"/>
      <c r="YQ16" s="219"/>
      <c r="YR16" s="219"/>
      <c r="YS16" s="219"/>
      <c r="YT16" s="219"/>
      <c r="YU16" s="219"/>
      <c r="YV16" s="219"/>
      <c r="YW16" s="219"/>
      <c r="YX16" s="219"/>
      <c r="YY16" s="219"/>
      <c r="YZ16" s="219"/>
      <c r="ZA16" s="219"/>
      <c r="ZB16" s="219"/>
      <c r="ZC16" s="219"/>
      <c r="ZD16" s="219"/>
      <c r="ZE16" s="219"/>
      <c r="ZF16" s="219"/>
      <c r="ZG16" s="219"/>
      <c r="ZH16" s="219"/>
      <c r="ZI16" s="219"/>
      <c r="ZJ16" s="219"/>
      <c r="ZK16" s="219"/>
      <c r="ZL16" s="219"/>
      <c r="ZM16" s="219"/>
      <c r="ZN16" s="219"/>
      <c r="ZO16" s="219"/>
      <c r="ZP16" s="219"/>
      <c r="ZQ16" s="219"/>
      <c r="ZR16" s="219"/>
      <c r="ZS16" s="219"/>
      <c r="ZT16" s="219"/>
      <c r="ZU16" s="219"/>
      <c r="ZV16" s="219"/>
      <c r="ZW16" s="219"/>
      <c r="ZX16" s="219"/>
      <c r="ZY16" s="219"/>
      <c r="ZZ16" s="219"/>
      <c r="AAA16" s="219"/>
      <c r="AAB16" s="219"/>
      <c r="AAC16" s="219"/>
      <c r="AAD16" s="219"/>
      <c r="AAE16" s="219"/>
      <c r="AAF16" s="219"/>
      <c r="AAG16" s="219"/>
      <c r="AAH16" s="219"/>
      <c r="AAI16" s="219"/>
      <c r="AAJ16" s="219"/>
      <c r="AAK16" s="219"/>
      <c r="AAL16" s="219"/>
      <c r="AAM16" s="219"/>
      <c r="AAN16" s="219"/>
      <c r="AAO16" s="219"/>
      <c r="AAP16" s="219"/>
      <c r="AAQ16" s="219"/>
      <c r="AAR16" s="219"/>
      <c r="AAS16" s="219"/>
      <c r="AAT16" s="219"/>
      <c r="AAU16" s="219"/>
      <c r="AAV16" s="219"/>
      <c r="AAW16" s="219"/>
      <c r="AAX16" s="219"/>
      <c r="AAY16" s="219"/>
      <c r="AAZ16" s="219"/>
      <c r="ABA16" s="219"/>
      <c r="ABB16" s="219"/>
      <c r="ABC16" s="219"/>
      <c r="ABD16" s="219"/>
      <c r="ABE16" s="219"/>
      <c r="ABF16" s="219"/>
      <c r="ABG16" s="219"/>
      <c r="ABH16" s="219"/>
      <c r="ABI16" s="219"/>
      <c r="ABJ16" s="219"/>
      <c r="ABK16" s="219"/>
      <c r="ABL16" s="219"/>
      <c r="ABM16" s="219"/>
      <c r="ABN16" s="219"/>
      <c r="ABO16" s="219"/>
      <c r="ABP16" s="219"/>
      <c r="ABQ16" s="219"/>
      <c r="ABR16" s="219"/>
      <c r="ABS16" s="219"/>
      <c r="ABT16" s="219"/>
      <c r="ABU16" s="219"/>
      <c r="ABV16" s="219"/>
      <c r="ABW16" s="219"/>
      <c r="ABX16" s="219"/>
      <c r="ABY16" s="219"/>
      <c r="ABZ16" s="219"/>
      <c r="ACA16" s="219"/>
      <c r="ACB16" s="219"/>
      <c r="ACC16" s="219"/>
      <c r="ACD16" s="219"/>
      <c r="ACE16" s="219"/>
      <c r="ACF16" s="219"/>
      <c r="ACG16" s="219"/>
      <c r="ACH16" s="219"/>
      <c r="ACI16" s="219"/>
      <c r="ACJ16" s="219"/>
      <c r="ACK16" s="219"/>
      <c r="ACL16" s="219"/>
      <c r="ACM16" s="219"/>
      <c r="ACN16" s="219"/>
      <c r="ACO16" s="219"/>
      <c r="ACP16" s="219"/>
      <c r="ACQ16" s="219"/>
      <c r="ACR16" s="219"/>
      <c r="ACS16" s="219"/>
      <c r="ACT16" s="219"/>
      <c r="ACU16" s="219"/>
      <c r="ACV16" s="219"/>
      <c r="ACW16" s="219"/>
      <c r="ACX16" s="219"/>
      <c r="ACY16" s="219"/>
      <c r="ACZ16" s="219"/>
      <c r="ADA16" s="219"/>
      <c r="ADB16" s="219"/>
      <c r="ADC16" s="219"/>
      <c r="ADD16" s="219"/>
      <c r="ADE16" s="219"/>
      <c r="ADF16" s="219"/>
      <c r="ADG16" s="219"/>
      <c r="ADH16" s="219"/>
      <c r="ADI16" s="219"/>
      <c r="ADJ16" s="219"/>
      <c r="ADK16" s="219"/>
      <c r="ADL16" s="219"/>
      <c r="ADM16" s="219"/>
      <c r="ADN16" s="219"/>
      <c r="ADO16" s="219"/>
      <c r="ADP16" s="219"/>
      <c r="ADQ16" s="219"/>
      <c r="ADR16" s="219"/>
      <c r="ADS16" s="219"/>
      <c r="ADT16" s="219"/>
      <c r="ADU16" s="219"/>
      <c r="ADV16" s="219"/>
      <c r="ADW16" s="219"/>
      <c r="ADX16" s="219"/>
      <c r="ADY16" s="219"/>
      <c r="ADZ16" s="219"/>
      <c r="AEA16" s="219"/>
      <c r="AEB16" s="219"/>
      <c r="AEC16" s="219"/>
      <c r="AED16" s="219"/>
      <c r="AEE16" s="219"/>
      <c r="AEF16" s="219"/>
      <c r="AEG16" s="219"/>
      <c r="AEH16" s="219"/>
      <c r="AEI16" s="219"/>
      <c r="AEJ16" s="219"/>
      <c r="AEK16" s="219"/>
      <c r="AEL16" s="219"/>
      <c r="AEM16" s="219"/>
      <c r="AEN16" s="219"/>
      <c r="AEO16" s="219"/>
      <c r="AEP16" s="219"/>
      <c r="AEQ16" s="219"/>
      <c r="AER16" s="219"/>
      <c r="AES16" s="219"/>
      <c r="AET16" s="219"/>
      <c r="AEU16" s="219"/>
      <c r="AEV16" s="219"/>
      <c r="AEW16" s="219"/>
      <c r="AEX16" s="219"/>
      <c r="AEY16" s="219"/>
      <c r="AEZ16" s="219"/>
      <c r="AFA16" s="219"/>
      <c r="AFB16" s="219"/>
      <c r="AFC16" s="219"/>
      <c r="AFD16" s="219"/>
      <c r="AFE16" s="219"/>
      <c r="AFF16" s="219"/>
      <c r="AFG16" s="219"/>
      <c r="AFH16" s="219"/>
      <c r="AFI16" s="219"/>
      <c r="AFJ16" s="219"/>
      <c r="AFK16" s="219"/>
      <c r="AFL16" s="219"/>
      <c r="AFM16" s="219"/>
      <c r="AFN16" s="219"/>
      <c r="AFO16" s="219"/>
      <c r="AFP16" s="219"/>
      <c r="AFQ16" s="219"/>
      <c r="AFR16" s="219"/>
      <c r="AFS16" s="219"/>
      <c r="AFT16" s="219"/>
      <c r="AFU16" s="219"/>
      <c r="AFV16" s="219"/>
      <c r="AFW16" s="219"/>
      <c r="AFX16" s="219"/>
      <c r="AFY16" s="219"/>
      <c r="AFZ16" s="219"/>
      <c r="AGA16" s="219"/>
      <c r="AGB16" s="219"/>
      <c r="AGC16" s="219"/>
      <c r="AGD16" s="219"/>
      <c r="AGE16" s="219"/>
      <c r="AGF16" s="219"/>
      <c r="AGG16" s="219"/>
      <c r="AGH16" s="219"/>
      <c r="AGI16" s="219"/>
      <c r="AGJ16" s="219"/>
      <c r="AGK16" s="219"/>
      <c r="AGL16" s="219"/>
      <c r="AGM16" s="219"/>
      <c r="AGN16" s="219"/>
      <c r="AGO16" s="219"/>
      <c r="AGP16" s="219"/>
      <c r="AGQ16" s="219"/>
      <c r="AGR16" s="219"/>
      <c r="AGS16" s="219"/>
      <c r="AGT16" s="219"/>
      <c r="AGU16" s="219"/>
      <c r="AGV16" s="219"/>
      <c r="AGW16" s="219"/>
      <c r="AGX16" s="219"/>
      <c r="AGY16" s="219"/>
      <c r="AGZ16" s="219"/>
      <c r="AHA16" s="219"/>
      <c r="AHB16" s="219"/>
      <c r="AHC16" s="219"/>
      <c r="AHD16" s="219"/>
      <c r="AHE16" s="219"/>
      <c r="AHF16" s="219"/>
      <c r="AHG16" s="219"/>
      <c r="AHH16" s="219"/>
      <c r="AHI16" s="219"/>
      <c r="AHJ16" s="219"/>
      <c r="AHK16" s="219"/>
      <c r="AHL16" s="219"/>
      <c r="AHM16" s="219"/>
      <c r="AHN16" s="219"/>
      <c r="AHO16" s="219"/>
      <c r="AHP16" s="219"/>
      <c r="AHQ16" s="219"/>
      <c r="AHR16" s="219"/>
      <c r="AHS16" s="219"/>
      <c r="AHT16" s="219"/>
      <c r="AHU16" s="219"/>
      <c r="AHV16" s="219"/>
      <c r="AHW16" s="219"/>
      <c r="AHX16" s="219"/>
      <c r="AHY16" s="219"/>
      <c r="AHZ16" s="219"/>
      <c r="AIA16" s="219"/>
      <c r="AIB16" s="219"/>
      <c r="AIC16" s="219"/>
      <c r="AID16" s="219"/>
      <c r="AIE16" s="219"/>
      <c r="AIF16" s="219"/>
      <c r="AIG16" s="219"/>
      <c r="AIH16" s="219"/>
      <c r="AII16" s="219"/>
      <c r="AIJ16" s="219"/>
      <c r="AIK16" s="219"/>
      <c r="AIL16" s="219"/>
      <c r="AIM16" s="219"/>
      <c r="AIN16" s="219"/>
      <c r="AIO16" s="219"/>
      <c r="AIP16" s="219"/>
      <c r="AIQ16" s="219"/>
      <c r="AIR16" s="219"/>
      <c r="AIS16" s="219"/>
      <c r="AIT16" s="219"/>
      <c r="AIU16" s="219"/>
      <c r="AIV16" s="219"/>
      <c r="AIW16" s="219"/>
      <c r="AIX16" s="219"/>
      <c r="AIY16" s="219"/>
      <c r="AIZ16" s="219"/>
      <c r="AJA16" s="219"/>
      <c r="AJB16" s="219"/>
      <c r="AJC16" s="219"/>
      <c r="AJD16" s="219"/>
      <c r="AJE16" s="219"/>
      <c r="AJF16" s="219"/>
      <c r="AJG16" s="219"/>
      <c r="AJH16" s="219"/>
      <c r="AJI16" s="219"/>
      <c r="AJJ16" s="219"/>
      <c r="AJK16" s="219"/>
      <c r="AJL16" s="219"/>
      <c r="AJM16" s="219"/>
      <c r="AJN16" s="219"/>
      <c r="AJO16" s="219"/>
      <c r="AJP16" s="219"/>
      <c r="AJQ16" s="219"/>
      <c r="AJR16" s="219"/>
      <c r="AJS16" s="219"/>
      <c r="AJT16" s="219"/>
      <c r="AJU16" s="219"/>
      <c r="AJV16" s="219"/>
      <c r="AJW16" s="219"/>
      <c r="AJX16" s="219"/>
      <c r="AJY16" s="219"/>
      <c r="AJZ16" s="219"/>
      <c r="AKA16" s="219"/>
      <c r="AKB16" s="219"/>
      <c r="AKC16" s="219"/>
      <c r="AKD16" s="219"/>
      <c r="AKE16" s="219"/>
      <c r="AKF16" s="219"/>
      <c r="AKG16" s="219"/>
      <c r="AKH16" s="219"/>
      <c r="AKI16" s="219"/>
      <c r="AKJ16" s="219"/>
      <c r="AKK16" s="219"/>
      <c r="AKL16" s="219"/>
      <c r="AKM16" s="219"/>
      <c r="AKN16" s="219"/>
      <c r="AKO16" s="219"/>
      <c r="AKP16" s="219"/>
      <c r="AKQ16" s="219"/>
      <c r="AKR16" s="219"/>
      <c r="AKS16" s="219"/>
      <c r="AKT16" s="219"/>
      <c r="AKU16" s="219"/>
      <c r="AKV16" s="219"/>
      <c r="AKW16" s="219"/>
      <c r="AKX16" s="219"/>
      <c r="AKY16" s="219"/>
      <c r="AKZ16" s="219"/>
      <c r="ALA16" s="219"/>
      <c r="ALB16" s="219"/>
      <c r="ALC16" s="219"/>
      <c r="ALD16" s="219"/>
      <c r="ALE16" s="219"/>
      <c r="ALF16" s="219"/>
      <c r="ALG16" s="219"/>
      <c r="ALH16" s="219"/>
      <c r="ALI16" s="219"/>
      <c r="ALJ16" s="219"/>
      <c r="ALK16" s="219"/>
      <c r="ALL16" s="219"/>
      <c r="ALM16" s="219"/>
      <c r="ALN16" s="219"/>
      <c r="ALO16" s="219"/>
      <c r="ALP16" s="219"/>
      <c r="ALQ16" s="219"/>
      <c r="ALR16" s="219"/>
      <c r="ALS16" s="219"/>
      <c r="ALT16" s="219"/>
      <c r="ALU16" s="219"/>
      <c r="ALV16" s="219"/>
      <c r="ALW16" s="219"/>
      <c r="ALX16" s="219"/>
      <c r="ALY16" s="219"/>
      <c r="ALZ16" s="219"/>
      <c r="AMA16" s="219"/>
      <c r="AMB16" s="219"/>
      <c r="AMC16" s="219"/>
      <c r="AMD16" s="219"/>
      <c r="AME16" s="219"/>
      <c r="AMF16" s="219"/>
      <c r="AMG16" s="219"/>
      <c r="AMH16" s="219"/>
      <c r="AMI16" s="219"/>
      <c r="AMJ16" s="219"/>
      <c r="AMK16" s="219"/>
      <c r="AML16" s="219"/>
      <c r="AMM16" s="219"/>
      <c r="AMN16" s="219"/>
      <c r="AMO16" s="219"/>
      <c r="AMP16" s="219"/>
      <c r="AMQ16" s="219"/>
      <c r="AMR16" s="219"/>
      <c r="AMS16" s="219"/>
      <c r="AMT16" s="219"/>
      <c r="AMU16" s="219"/>
      <c r="AMV16" s="219"/>
      <c r="AMW16" s="219"/>
      <c r="AMX16" s="219"/>
      <c r="AMY16" s="219"/>
      <c r="AMZ16" s="219"/>
      <c r="ANA16" s="219"/>
      <c r="ANB16" s="219"/>
      <c r="ANC16" s="219"/>
      <c r="AND16" s="219"/>
      <c r="ANE16" s="219"/>
      <c r="ANF16" s="219"/>
      <c r="ANG16" s="219"/>
      <c r="ANH16" s="219"/>
      <c r="ANI16" s="219"/>
      <c r="ANJ16" s="219"/>
      <c r="ANK16" s="219"/>
      <c r="ANL16" s="219"/>
      <c r="ANM16" s="219"/>
      <c r="ANN16" s="219"/>
      <c r="ANO16" s="219"/>
      <c r="ANP16" s="219"/>
      <c r="ANQ16" s="219"/>
      <c r="ANR16" s="219"/>
      <c r="ANS16" s="219"/>
      <c r="ANT16" s="219"/>
      <c r="ANU16" s="219"/>
      <c r="ANV16" s="219"/>
      <c r="ANW16" s="219"/>
      <c r="ANX16" s="219"/>
      <c r="ANY16" s="219"/>
      <c r="ANZ16" s="219"/>
      <c r="AOA16" s="219"/>
      <c r="AOB16" s="219"/>
      <c r="AOC16" s="219"/>
      <c r="AOD16" s="219"/>
      <c r="AOE16" s="219"/>
      <c r="AOF16" s="219"/>
      <c r="AOG16" s="219"/>
      <c r="AOH16" s="219"/>
      <c r="AOI16" s="219"/>
      <c r="AOJ16" s="219"/>
      <c r="AOK16" s="219"/>
      <c r="AOL16" s="219"/>
      <c r="AOM16" s="219"/>
      <c r="AON16" s="219"/>
      <c r="AOO16" s="219"/>
      <c r="AOP16" s="219"/>
      <c r="AOQ16" s="219"/>
      <c r="AOR16" s="219"/>
      <c r="AOS16" s="219"/>
      <c r="AOT16" s="219"/>
      <c r="AOU16" s="219"/>
      <c r="AOV16" s="219"/>
      <c r="AOW16" s="219"/>
      <c r="AOX16" s="219"/>
      <c r="AOY16" s="219"/>
      <c r="AOZ16" s="219"/>
      <c r="APA16" s="219"/>
      <c r="APB16" s="219"/>
      <c r="APC16" s="219"/>
      <c r="APD16" s="219"/>
      <c r="APE16" s="219"/>
      <c r="APF16" s="219"/>
      <c r="APG16" s="219"/>
      <c r="APH16" s="219"/>
      <c r="API16" s="219"/>
      <c r="APJ16" s="219"/>
      <c r="APK16" s="219"/>
      <c r="APL16" s="219"/>
      <c r="APM16" s="219"/>
      <c r="APN16" s="219"/>
      <c r="APO16" s="219"/>
      <c r="APP16" s="219"/>
      <c r="APQ16" s="219"/>
      <c r="APR16" s="219"/>
      <c r="APS16" s="219"/>
      <c r="APT16" s="219"/>
      <c r="APU16" s="219"/>
      <c r="APV16" s="219"/>
      <c r="APW16" s="219"/>
      <c r="APX16" s="219"/>
      <c r="APY16" s="219"/>
      <c r="APZ16" s="219"/>
      <c r="AQA16" s="219"/>
      <c r="AQB16" s="219"/>
      <c r="AQC16" s="219"/>
      <c r="AQD16" s="219"/>
      <c r="AQE16" s="219"/>
      <c r="AQF16" s="219"/>
      <c r="AQG16" s="219"/>
      <c r="AQH16" s="219"/>
      <c r="AQI16" s="219"/>
      <c r="AQJ16" s="219"/>
      <c r="AQK16" s="219"/>
      <c r="AQL16" s="219"/>
      <c r="AQM16" s="219"/>
      <c r="AQN16" s="219"/>
      <c r="AQO16" s="219"/>
      <c r="AQP16" s="219"/>
      <c r="AQQ16" s="219"/>
      <c r="AQR16" s="219"/>
      <c r="AQS16" s="219"/>
      <c r="AQT16" s="219"/>
      <c r="AQU16" s="219"/>
      <c r="AQV16" s="219"/>
      <c r="AQW16" s="219"/>
      <c r="AQX16" s="219"/>
      <c r="AQY16" s="219"/>
      <c r="AQZ16" s="219"/>
      <c r="ARA16" s="219"/>
      <c r="ARB16" s="219"/>
      <c r="ARC16" s="219"/>
      <c r="ARD16" s="219"/>
      <c r="ARE16" s="219"/>
      <c r="ARF16" s="219"/>
      <c r="ARG16" s="219"/>
      <c r="ARH16" s="219"/>
      <c r="ARI16" s="219"/>
      <c r="ARJ16" s="219"/>
      <c r="ARK16" s="219"/>
      <c r="ARL16" s="219"/>
      <c r="ARM16" s="219"/>
      <c r="ARN16" s="219"/>
      <c r="ARO16" s="219"/>
      <c r="ARP16" s="219"/>
      <c r="ARQ16" s="219"/>
      <c r="ARR16" s="219"/>
      <c r="ARS16" s="219"/>
      <c r="ART16" s="219"/>
      <c r="ARU16" s="219"/>
      <c r="ARV16" s="219"/>
      <c r="ARW16" s="219"/>
      <c r="ARX16" s="219"/>
      <c r="ARY16" s="219"/>
      <c r="ARZ16" s="219"/>
      <c r="ASA16" s="219"/>
      <c r="ASB16" s="219"/>
      <c r="ASC16" s="219"/>
      <c r="ASD16" s="219"/>
      <c r="ASE16" s="219"/>
      <c r="ASF16" s="219"/>
      <c r="ASG16" s="219"/>
      <c r="ASH16" s="219"/>
      <c r="ASI16" s="219"/>
      <c r="ASJ16" s="219"/>
      <c r="ASK16" s="219"/>
      <c r="ASL16" s="219"/>
      <c r="ASM16" s="219"/>
      <c r="ASN16" s="219"/>
      <c r="ASO16" s="219"/>
      <c r="ASP16" s="219"/>
      <c r="ASQ16" s="219"/>
      <c r="ASR16" s="219"/>
      <c r="ASS16" s="219"/>
      <c r="AST16" s="219"/>
      <c r="ASU16" s="219"/>
      <c r="ASV16" s="219"/>
      <c r="ASW16" s="219"/>
      <c r="ASX16" s="219"/>
      <c r="ASY16" s="219"/>
      <c r="ASZ16" s="219"/>
      <c r="ATA16" s="219"/>
      <c r="ATB16" s="219"/>
      <c r="ATC16" s="219"/>
      <c r="ATD16" s="219"/>
      <c r="ATE16" s="219"/>
      <c r="ATF16" s="219"/>
      <c r="ATG16" s="219"/>
      <c r="ATH16" s="219"/>
      <c r="ATI16" s="219"/>
      <c r="ATJ16" s="219"/>
      <c r="ATK16" s="219"/>
      <c r="ATL16" s="219"/>
      <c r="ATM16" s="219"/>
      <c r="ATN16" s="219"/>
      <c r="ATO16" s="219"/>
      <c r="ATP16" s="219"/>
      <c r="ATQ16" s="219"/>
      <c r="ATR16" s="219"/>
      <c r="ATS16" s="219"/>
      <c r="ATT16" s="219"/>
      <c r="ATU16" s="219"/>
      <c r="ATV16" s="219"/>
      <c r="ATW16" s="219"/>
      <c r="ATX16" s="219"/>
      <c r="ATY16" s="219"/>
      <c r="ATZ16" s="219"/>
      <c r="AUA16" s="219"/>
      <c r="AUB16" s="219"/>
      <c r="AUC16" s="219"/>
      <c r="AUD16" s="219"/>
      <c r="AUE16" s="219"/>
      <c r="AUF16" s="219"/>
      <c r="AUG16" s="219"/>
      <c r="AUH16" s="219"/>
      <c r="AUI16" s="219"/>
      <c r="AUJ16" s="219"/>
      <c r="AUK16" s="219"/>
      <c r="AUL16" s="219"/>
      <c r="AUM16" s="219"/>
      <c r="AUN16" s="219"/>
      <c r="AUO16" s="219"/>
      <c r="AUP16" s="219"/>
      <c r="AUQ16" s="219"/>
      <c r="AUR16" s="219"/>
      <c r="AUS16" s="219"/>
      <c r="AUT16" s="219"/>
      <c r="AUU16" s="219"/>
      <c r="AUV16" s="219"/>
      <c r="AUW16" s="219"/>
      <c r="AUX16" s="219"/>
      <c r="AUY16" s="219"/>
      <c r="AUZ16" s="219"/>
      <c r="AVA16" s="219"/>
      <c r="AVB16" s="219"/>
      <c r="AVC16" s="219"/>
      <c r="AVD16" s="219"/>
      <c r="AVE16" s="219"/>
      <c r="AVF16" s="219"/>
      <c r="AVG16" s="219"/>
      <c r="AVH16" s="219"/>
      <c r="AVI16" s="219"/>
      <c r="AVJ16" s="219"/>
      <c r="AVK16" s="219"/>
      <c r="AVL16" s="219"/>
      <c r="AVM16" s="219"/>
      <c r="AVN16" s="219"/>
      <c r="AVO16" s="219"/>
      <c r="AVP16" s="219"/>
      <c r="AVQ16" s="219"/>
      <c r="AVR16" s="219"/>
      <c r="AVS16" s="219"/>
      <c r="AVT16" s="219"/>
      <c r="AVU16" s="219"/>
      <c r="AVV16" s="219"/>
      <c r="AVW16" s="219"/>
      <c r="AVX16" s="219"/>
      <c r="AVY16" s="219"/>
      <c r="AVZ16" s="219"/>
      <c r="AWA16" s="219"/>
      <c r="AWB16" s="219"/>
      <c r="AWC16" s="219"/>
      <c r="AWD16" s="219"/>
      <c r="AWE16" s="219"/>
      <c r="AWF16" s="219"/>
      <c r="AWG16" s="219"/>
      <c r="AWH16" s="219"/>
      <c r="AWI16" s="219"/>
      <c r="AWJ16" s="219"/>
      <c r="AWK16" s="219"/>
      <c r="AWL16" s="219"/>
      <c r="AWM16" s="219"/>
      <c r="AWN16" s="219"/>
      <c r="AWO16" s="219"/>
      <c r="AWP16" s="219"/>
      <c r="AWQ16" s="219"/>
      <c r="AWR16" s="219"/>
      <c r="AWS16" s="219"/>
      <c r="AWT16" s="219"/>
      <c r="AWU16" s="219"/>
      <c r="AWV16" s="219"/>
      <c r="AWW16" s="219"/>
      <c r="AWX16" s="219"/>
      <c r="AWY16" s="219"/>
      <c r="AWZ16" s="219"/>
      <c r="AXA16" s="219"/>
      <c r="AXB16" s="219"/>
      <c r="AXC16" s="219"/>
      <c r="AXD16" s="219"/>
      <c r="AXE16" s="219"/>
      <c r="AXF16" s="219"/>
      <c r="AXG16" s="219"/>
      <c r="AXH16" s="219"/>
      <c r="AXI16" s="219"/>
      <c r="AXJ16" s="219"/>
      <c r="AXK16" s="219"/>
      <c r="AXL16" s="219"/>
      <c r="AXM16" s="219"/>
      <c r="AXN16" s="219"/>
      <c r="AXO16" s="219"/>
      <c r="AXP16" s="219"/>
      <c r="AXQ16" s="219"/>
      <c r="AXR16" s="219"/>
      <c r="AXS16" s="219"/>
      <c r="AXT16" s="219"/>
      <c r="AXU16" s="219"/>
      <c r="AXV16" s="219"/>
      <c r="AXW16" s="219"/>
      <c r="AXX16" s="219"/>
      <c r="AXY16" s="219"/>
      <c r="AXZ16" s="219"/>
      <c r="AYA16" s="219"/>
      <c r="AYB16" s="219"/>
      <c r="AYC16" s="219"/>
      <c r="AYD16" s="219"/>
      <c r="AYE16" s="219"/>
      <c r="AYF16" s="219"/>
      <c r="AYG16" s="219"/>
      <c r="AYH16" s="219"/>
      <c r="AYI16" s="219"/>
      <c r="AYJ16" s="219"/>
      <c r="AYK16" s="219"/>
      <c r="AYL16" s="219"/>
      <c r="AYM16" s="219"/>
      <c r="AYN16" s="219"/>
      <c r="AYO16" s="219"/>
      <c r="AYP16" s="219"/>
      <c r="AYQ16" s="219"/>
      <c r="AYR16" s="219"/>
      <c r="AYS16" s="219"/>
      <c r="AYT16" s="219"/>
      <c r="AYU16" s="219"/>
      <c r="AYV16" s="219"/>
      <c r="AYW16" s="219"/>
      <c r="AYX16" s="219"/>
      <c r="AYY16" s="219"/>
      <c r="AYZ16" s="219"/>
      <c r="AZA16" s="219"/>
      <c r="AZB16" s="219"/>
      <c r="AZC16" s="219"/>
      <c r="AZD16" s="219"/>
      <c r="AZE16" s="219"/>
      <c r="AZF16" s="219"/>
      <c r="AZG16" s="219"/>
      <c r="AZH16" s="219"/>
      <c r="AZI16" s="219"/>
      <c r="AZJ16" s="219"/>
      <c r="AZK16" s="219"/>
      <c r="AZL16" s="219"/>
      <c r="AZM16" s="219"/>
      <c r="AZN16" s="219"/>
      <c r="AZO16" s="219"/>
      <c r="AZP16" s="219"/>
      <c r="AZQ16" s="219"/>
      <c r="AZR16" s="219"/>
      <c r="AZS16" s="219"/>
      <c r="AZT16" s="219"/>
      <c r="AZU16" s="219"/>
      <c r="AZV16" s="219"/>
      <c r="AZW16" s="219"/>
      <c r="AZX16" s="219"/>
      <c r="AZY16" s="219"/>
      <c r="AZZ16" s="219"/>
      <c r="BAA16" s="219"/>
      <c r="BAB16" s="219"/>
      <c r="BAC16" s="219"/>
      <c r="BAD16" s="219"/>
      <c r="BAE16" s="219"/>
      <c r="BAF16" s="219"/>
      <c r="BAG16" s="219"/>
      <c r="BAH16" s="219"/>
      <c r="BAI16" s="219"/>
      <c r="BAJ16" s="219"/>
      <c r="BAK16" s="219"/>
      <c r="BAL16" s="219"/>
      <c r="BAM16" s="219"/>
      <c r="BAN16" s="219"/>
      <c r="BAO16" s="219"/>
      <c r="BAP16" s="219"/>
      <c r="BAQ16" s="219"/>
      <c r="BAR16" s="219"/>
      <c r="BAS16" s="219"/>
      <c r="BAT16" s="219"/>
      <c r="BAU16" s="219"/>
      <c r="BAV16" s="219"/>
      <c r="BAW16" s="219"/>
      <c r="BAX16" s="219"/>
      <c r="BAY16" s="219"/>
      <c r="BAZ16" s="219"/>
      <c r="BBA16" s="219"/>
      <c r="BBB16" s="219"/>
      <c r="BBC16" s="219"/>
      <c r="BBD16" s="219"/>
      <c r="BBE16" s="219"/>
      <c r="BBF16" s="219"/>
      <c r="BBG16" s="219"/>
      <c r="BBH16" s="219"/>
      <c r="BBI16" s="219"/>
      <c r="BBJ16" s="219"/>
      <c r="BBK16" s="219"/>
      <c r="BBL16" s="219"/>
      <c r="BBM16" s="219"/>
      <c r="BBN16" s="219"/>
      <c r="BBO16" s="219"/>
      <c r="BBP16" s="219"/>
      <c r="BBQ16" s="219"/>
      <c r="BBR16" s="219"/>
      <c r="BBS16" s="219"/>
      <c r="BBT16" s="219"/>
      <c r="BBU16" s="219"/>
      <c r="BBV16" s="219"/>
      <c r="BBW16" s="219"/>
      <c r="BBX16" s="219"/>
      <c r="BBY16" s="219"/>
      <c r="BBZ16" s="219"/>
      <c r="BCA16" s="219"/>
      <c r="BCB16" s="219"/>
      <c r="BCC16" s="219"/>
      <c r="BCD16" s="219"/>
      <c r="BCE16" s="219"/>
      <c r="BCF16" s="219"/>
      <c r="BCG16" s="219"/>
      <c r="BCH16" s="219"/>
      <c r="BCI16" s="219"/>
      <c r="BCJ16" s="219"/>
      <c r="BCK16" s="219"/>
      <c r="BCL16" s="219"/>
      <c r="BCM16" s="219"/>
      <c r="BCN16" s="219"/>
      <c r="BCO16" s="219"/>
      <c r="BCP16" s="219"/>
      <c r="BCQ16" s="219"/>
      <c r="BCR16" s="219"/>
      <c r="BCS16" s="219"/>
      <c r="BCT16" s="219"/>
      <c r="BCU16" s="219"/>
      <c r="BCV16" s="219"/>
      <c r="BCW16" s="219"/>
      <c r="BCX16" s="219"/>
      <c r="BCY16" s="219"/>
      <c r="BCZ16" s="219"/>
      <c r="BDA16" s="219"/>
      <c r="BDB16" s="219"/>
      <c r="BDC16" s="219"/>
      <c r="BDD16" s="219"/>
      <c r="BDE16" s="219"/>
      <c r="BDF16" s="219"/>
      <c r="BDG16" s="219"/>
      <c r="BDH16" s="219"/>
      <c r="BDI16" s="219"/>
      <c r="BDJ16" s="219"/>
      <c r="BDK16" s="219"/>
      <c r="BDL16" s="219"/>
      <c r="BDM16" s="219"/>
      <c r="BDN16" s="219"/>
      <c r="BDO16" s="219"/>
      <c r="BDP16" s="219"/>
      <c r="BDQ16" s="219"/>
      <c r="BDR16" s="219"/>
      <c r="BDS16" s="219"/>
      <c r="BDT16" s="219"/>
      <c r="BDU16" s="219"/>
      <c r="BDV16" s="219"/>
      <c r="BDW16" s="219"/>
      <c r="BDX16" s="219"/>
      <c r="BDY16" s="219"/>
      <c r="BDZ16" s="219"/>
      <c r="BEA16" s="219"/>
      <c r="BEB16" s="219"/>
      <c r="BEC16" s="219"/>
      <c r="BED16" s="219"/>
      <c r="BEE16" s="219"/>
      <c r="BEF16" s="219"/>
      <c r="BEG16" s="219"/>
      <c r="BEH16" s="219"/>
      <c r="BEI16" s="219"/>
      <c r="BEJ16" s="219"/>
      <c r="BEK16" s="219"/>
      <c r="BEL16" s="219"/>
      <c r="BEM16" s="219"/>
      <c r="BEN16" s="219"/>
      <c r="BEO16" s="219"/>
      <c r="BEP16" s="219"/>
      <c r="BEQ16" s="219"/>
      <c r="BER16" s="219"/>
      <c r="BES16" s="219"/>
      <c r="BET16" s="219"/>
      <c r="BEU16" s="219"/>
      <c r="BEV16" s="219"/>
      <c r="BEW16" s="219"/>
      <c r="BEX16" s="219"/>
      <c r="BEY16" s="219"/>
      <c r="BEZ16" s="219"/>
      <c r="BFA16" s="219"/>
      <c r="BFB16" s="219"/>
      <c r="BFC16" s="219"/>
      <c r="BFD16" s="219"/>
      <c r="BFE16" s="219"/>
      <c r="BFF16" s="219"/>
      <c r="BFG16" s="219"/>
      <c r="BFH16" s="219"/>
      <c r="BFI16" s="219"/>
      <c r="BFJ16" s="219"/>
      <c r="BFK16" s="219"/>
      <c r="BFL16" s="219"/>
      <c r="BFM16" s="219"/>
      <c r="BFN16" s="219"/>
      <c r="BFO16" s="219"/>
      <c r="BFP16" s="219"/>
      <c r="BFQ16" s="219"/>
      <c r="BFR16" s="219"/>
      <c r="BFS16" s="219"/>
      <c r="BFT16" s="219"/>
      <c r="BFU16" s="219"/>
      <c r="BFV16" s="219"/>
      <c r="BFW16" s="219"/>
      <c r="BFX16" s="219"/>
      <c r="BFY16" s="219"/>
      <c r="BFZ16" s="219"/>
      <c r="BGA16" s="219"/>
      <c r="BGB16" s="219"/>
      <c r="BGC16" s="219"/>
      <c r="BGD16" s="219"/>
      <c r="BGE16" s="219"/>
      <c r="BGF16" s="219"/>
      <c r="BGG16" s="219"/>
      <c r="BGH16" s="219"/>
      <c r="BGI16" s="219"/>
      <c r="BGJ16" s="219"/>
      <c r="BGK16" s="219"/>
      <c r="BGL16" s="219"/>
      <c r="BGM16" s="219"/>
      <c r="BGN16" s="219"/>
      <c r="BGO16" s="219"/>
      <c r="BGP16" s="219"/>
      <c r="BGQ16" s="219"/>
      <c r="BGR16" s="219"/>
      <c r="BGS16" s="219"/>
      <c r="BGT16" s="219"/>
      <c r="BGU16" s="219"/>
      <c r="BGV16" s="219"/>
      <c r="BGW16" s="219"/>
      <c r="BGX16" s="219"/>
      <c r="BGY16" s="219"/>
      <c r="BGZ16" s="219"/>
      <c r="BHA16" s="219"/>
      <c r="BHB16" s="219"/>
      <c r="BHC16" s="219"/>
      <c r="BHD16" s="219"/>
      <c r="BHE16" s="219"/>
      <c r="BHF16" s="219"/>
      <c r="BHG16" s="219"/>
      <c r="BHH16" s="219"/>
      <c r="BHI16" s="219"/>
      <c r="BHJ16" s="219"/>
      <c r="BHK16" s="219"/>
      <c r="BHL16" s="219"/>
      <c r="BHM16" s="219"/>
      <c r="BHN16" s="219"/>
      <c r="BHO16" s="219"/>
      <c r="BHP16" s="219"/>
      <c r="BHQ16" s="219"/>
      <c r="BHR16" s="219"/>
      <c r="BHS16" s="219"/>
      <c r="BHT16" s="219"/>
      <c r="BHU16" s="219"/>
      <c r="BHV16" s="219"/>
      <c r="BHW16" s="219"/>
      <c r="BHX16" s="219"/>
      <c r="BHY16" s="219"/>
      <c r="BHZ16" s="219"/>
      <c r="BIA16" s="219"/>
      <c r="BIB16" s="219"/>
      <c r="BIC16" s="219"/>
      <c r="BID16" s="219"/>
      <c r="BIE16" s="219"/>
      <c r="BIF16" s="219"/>
      <c r="BIG16" s="219"/>
      <c r="BIH16" s="219"/>
      <c r="BII16" s="219"/>
      <c r="BIJ16" s="219"/>
      <c r="BIK16" s="219"/>
      <c r="BIL16" s="219"/>
      <c r="BIM16" s="219"/>
      <c r="BIN16" s="219"/>
      <c r="BIO16" s="219"/>
      <c r="BIP16" s="219"/>
      <c r="BIQ16" s="219"/>
      <c r="BIR16" s="219"/>
      <c r="BIS16" s="219"/>
      <c r="BIT16" s="219"/>
      <c r="BIU16" s="219"/>
      <c r="BIV16" s="219"/>
      <c r="BIW16" s="219"/>
      <c r="BIX16" s="219"/>
      <c r="BIY16" s="219"/>
      <c r="BIZ16" s="219"/>
      <c r="BJA16" s="219"/>
      <c r="BJB16" s="219"/>
      <c r="BJC16" s="219"/>
      <c r="BJD16" s="219"/>
      <c r="BJE16" s="219"/>
      <c r="BJF16" s="219"/>
      <c r="BJG16" s="219"/>
      <c r="BJH16" s="219"/>
      <c r="BJI16" s="219"/>
      <c r="BJJ16" s="219"/>
      <c r="BJK16" s="219"/>
      <c r="BJL16" s="219"/>
      <c r="BJM16" s="219"/>
      <c r="BJN16" s="219"/>
      <c r="BJO16" s="219"/>
      <c r="BJP16" s="219"/>
      <c r="BJQ16" s="219"/>
      <c r="BJR16" s="219"/>
      <c r="BJS16" s="219"/>
      <c r="BJT16" s="219"/>
      <c r="BJU16" s="219"/>
      <c r="BJV16" s="219"/>
      <c r="BJW16" s="219"/>
      <c r="BJX16" s="219"/>
      <c r="BJY16" s="219"/>
      <c r="BJZ16" s="219"/>
      <c r="BKA16" s="219"/>
      <c r="BKB16" s="219"/>
      <c r="BKC16" s="219"/>
      <c r="BKD16" s="219"/>
      <c r="BKE16" s="219"/>
      <c r="BKF16" s="219"/>
      <c r="BKG16" s="219"/>
      <c r="BKH16" s="219"/>
      <c r="BKI16" s="219"/>
      <c r="BKJ16" s="219"/>
      <c r="BKK16" s="219"/>
      <c r="BKL16" s="219"/>
      <c r="BKM16" s="219"/>
      <c r="BKN16" s="219"/>
      <c r="BKO16" s="219"/>
      <c r="BKP16" s="219"/>
      <c r="BKQ16" s="219"/>
      <c r="BKR16" s="219"/>
      <c r="BKS16" s="219"/>
      <c r="BKT16" s="219"/>
      <c r="BKU16" s="219"/>
      <c r="BKV16" s="219"/>
      <c r="BKW16" s="219"/>
      <c r="BKX16" s="219"/>
      <c r="BKY16" s="219"/>
      <c r="BKZ16" s="219"/>
      <c r="BLA16" s="219"/>
      <c r="BLB16" s="219"/>
      <c r="BLC16" s="219"/>
      <c r="BLD16" s="219"/>
      <c r="BLE16" s="219"/>
      <c r="BLF16" s="219"/>
      <c r="BLG16" s="219"/>
      <c r="BLH16" s="219"/>
      <c r="BLI16" s="219"/>
      <c r="BLJ16" s="219"/>
      <c r="BLK16" s="219"/>
      <c r="BLL16" s="219"/>
      <c r="BLM16" s="219"/>
      <c r="BLN16" s="219"/>
      <c r="BLO16" s="219"/>
      <c r="BLP16" s="219"/>
      <c r="BLQ16" s="219"/>
      <c r="BLR16" s="219"/>
      <c r="BLS16" s="219"/>
      <c r="BLT16" s="219"/>
      <c r="BLU16" s="219"/>
      <c r="BLV16" s="219"/>
      <c r="BLW16" s="219"/>
      <c r="BLX16" s="219"/>
      <c r="BLY16" s="219"/>
      <c r="BLZ16" s="219"/>
      <c r="BMA16" s="219"/>
      <c r="BMB16" s="219"/>
      <c r="BMC16" s="219"/>
      <c r="BMD16" s="219"/>
      <c r="BME16" s="219"/>
      <c r="BMF16" s="219"/>
      <c r="BMG16" s="219"/>
      <c r="BMH16" s="219"/>
      <c r="BMI16" s="219"/>
      <c r="BMJ16" s="219"/>
      <c r="BMK16" s="219"/>
      <c r="BML16" s="219"/>
      <c r="BMM16" s="219"/>
      <c r="BMN16" s="219"/>
      <c r="BMO16" s="219"/>
      <c r="BMP16" s="219"/>
      <c r="BMQ16" s="219"/>
      <c r="BMR16" s="219"/>
      <c r="BMS16" s="219"/>
      <c r="BMT16" s="219"/>
      <c r="BMU16" s="219"/>
      <c r="BMV16" s="219"/>
      <c r="BMW16" s="219"/>
      <c r="BMX16" s="219"/>
      <c r="BMY16" s="219"/>
      <c r="BMZ16" s="219"/>
      <c r="BNA16" s="219"/>
      <c r="BNB16" s="219"/>
      <c r="BNC16" s="219"/>
      <c r="BND16" s="219"/>
      <c r="BNE16" s="219"/>
      <c r="BNF16" s="219"/>
      <c r="BNG16" s="219"/>
      <c r="BNH16" s="219"/>
      <c r="BNI16" s="219"/>
      <c r="BNJ16" s="219"/>
      <c r="BNK16" s="219"/>
      <c r="BNL16" s="219"/>
      <c r="BNM16" s="219"/>
      <c r="BNN16" s="219"/>
      <c r="BNO16" s="219"/>
      <c r="BNP16" s="219"/>
      <c r="BNQ16" s="219"/>
      <c r="BNR16" s="219"/>
      <c r="BNS16" s="219"/>
      <c r="BNT16" s="219"/>
      <c r="BNU16" s="219"/>
      <c r="BNV16" s="219"/>
      <c r="BNW16" s="219"/>
      <c r="BNX16" s="219"/>
      <c r="BNY16" s="219"/>
      <c r="BNZ16" s="219"/>
      <c r="BOA16" s="219"/>
      <c r="BOB16" s="219"/>
      <c r="BOC16" s="219"/>
      <c r="BOD16" s="219"/>
      <c r="BOE16" s="219"/>
      <c r="BOF16" s="219"/>
      <c r="BOG16" s="219"/>
      <c r="BOH16" s="219"/>
      <c r="BOI16" s="219"/>
      <c r="BOJ16" s="219"/>
      <c r="BOK16" s="219"/>
      <c r="BOL16" s="219"/>
      <c r="BOM16" s="219"/>
      <c r="BON16" s="219"/>
      <c r="BOO16" s="219"/>
      <c r="BOP16" s="219"/>
      <c r="BOQ16" s="219"/>
      <c r="BOR16" s="219"/>
      <c r="BOS16" s="219"/>
      <c r="BOT16" s="219"/>
      <c r="BOU16" s="219"/>
      <c r="BOV16" s="219"/>
      <c r="BOW16" s="219"/>
      <c r="BOX16" s="219"/>
      <c r="BOY16" s="219"/>
      <c r="BOZ16" s="219"/>
      <c r="BPA16" s="219"/>
      <c r="BPB16" s="219"/>
      <c r="BPC16" s="219"/>
      <c r="BPD16" s="219"/>
      <c r="BPE16" s="219"/>
      <c r="BPF16" s="219"/>
      <c r="BPG16" s="219"/>
      <c r="BPH16" s="219"/>
      <c r="BPI16" s="219"/>
      <c r="BPJ16" s="219"/>
      <c r="BPK16" s="219"/>
      <c r="BPL16" s="219"/>
      <c r="BPM16" s="219"/>
      <c r="BPN16" s="219"/>
      <c r="BPO16" s="219"/>
      <c r="BPP16" s="219"/>
      <c r="BPQ16" s="219"/>
      <c r="BPR16" s="219"/>
      <c r="BPS16" s="219"/>
      <c r="BPT16" s="219"/>
      <c r="BPU16" s="219"/>
      <c r="BPV16" s="219"/>
      <c r="BPW16" s="219"/>
      <c r="BPX16" s="219"/>
      <c r="BPY16" s="219"/>
      <c r="BPZ16" s="219"/>
      <c r="BQA16" s="219"/>
      <c r="BQB16" s="219"/>
      <c r="BQC16" s="219"/>
      <c r="BQD16" s="219"/>
      <c r="BQE16" s="219"/>
      <c r="BQF16" s="219"/>
      <c r="BQG16" s="219"/>
      <c r="BQH16" s="219"/>
      <c r="BQI16" s="219"/>
      <c r="BQJ16" s="219"/>
      <c r="BQK16" s="219"/>
      <c r="BQL16" s="219"/>
      <c r="BQM16" s="219"/>
      <c r="BQN16" s="219"/>
      <c r="BQO16" s="219"/>
      <c r="BQP16" s="219"/>
      <c r="BQQ16" s="219"/>
      <c r="BQR16" s="219"/>
      <c r="BQS16" s="219"/>
      <c r="BQT16" s="219"/>
      <c r="BQU16" s="219"/>
      <c r="BQV16" s="219"/>
      <c r="BQW16" s="219"/>
      <c r="BQX16" s="219"/>
      <c r="BQY16" s="219"/>
      <c r="BQZ16" s="219"/>
      <c r="BRA16" s="219"/>
      <c r="BRB16" s="219"/>
      <c r="BRC16" s="219"/>
      <c r="BRD16" s="219"/>
      <c r="BRE16" s="219"/>
      <c r="BRF16" s="219"/>
      <c r="BRG16" s="219"/>
      <c r="BRH16" s="219"/>
      <c r="BRI16" s="219"/>
      <c r="BRJ16" s="219"/>
      <c r="BRK16" s="219"/>
      <c r="BRL16" s="219"/>
      <c r="BRM16" s="219"/>
      <c r="BRN16" s="219"/>
      <c r="BRO16" s="219"/>
      <c r="BRP16" s="219"/>
      <c r="BRQ16" s="219"/>
      <c r="BRR16" s="219"/>
      <c r="BRS16" s="219"/>
      <c r="BRT16" s="219"/>
      <c r="BRU16" s="219"/>
      <c r="BRV16" s="219"/>
      <c r="BRW16" s="219"/>
      <c r="BRX16" s="219"/>
      <c r="BRY16" s="219"/>
      <c r="BRZ16" s="219"/>
      <c r="BSA16" s="219"/>
      <c r="BSB16" s="219"/>
      <c r="BSC16" s="219"/>
      <c r="BSD16" s="219"/>
      <c r="BSE16" s="219"/>
      <c r="BSF16" s="219"/>
      <c r="BSG16" s="219"/>
      <c r="BSH16" s="219"/>
      <c r="BSI16" s="219"/>
      <c r="BSJ16" s="219"/>
      <c r="BSK16" s="219"/>
      <c r="BSL16" s="219"/>
      <c r="BSM16" s="219"/>
      <c r="BSN16" s="219"/>
      <c r="BSO16" s="219"/>
      <c r="BSP16" s="219"/>
      <c r="BSQ16" s="219"/>
      <c r="BSR16" s="219"/>
      <c r="BSS16" s="219"/>
      <c r="BST16" s="219"/>
      <c r="BSU16" s="219"/>
      <c r="BSV16" s="219"/>
      <c r="BSW16" s="219"/>
      <c r="BSX16" s="219"/>
      <c r="BSY16" s="219"/>
      <c r="BSZ16" s="219"/>
      <c r="BTA16" s="219"/>
      <c r="BTB16" s="219"/>
      <c r="BTC16" s="219"/>
      <c r="BTD16" s="219"/>
      <c r="BTE16" s="219"/>
      <c r="BTF16" s="219"/>
      <c r="BTG16" s="219"/>
      <c r="BTH16" s="219"/>
      <c r="BTI16" s="219"/>
      <c r="BTJ16" s="219"/>
      <c r="BTK16" s="219"/>
      <c r="BTL16" s="219"/>
      <c r="BTM16" s="219"/>
      <c r="BTN16" s="219"/>
      <c r="BTO16" s="219"/>
      <c r="BTP16" s="219"/>
      <c r="BTQ16" s="219"/>
      <c r="BTR16" s="219"/>
      <c r="BTS16" s="219"/>
      <c r="BTT16" s="219"/>
      <c r="BTU16" s="219"/>
      <c r="BTV16" s="219"/>
      <c r="BTW16" s="219"/>
      <c r="BTX16" s="219"/>
      <c r="BTY16" s="219"/>
      <c r="BTZ16" s="219"/>
      <c r="BUA16" s="219"/>
      <c r="BUB16" s="219"/>
      <c r="BUC16" s="219"/>
      <c r="BUD16" s="219"/>
      <c r="BUE16" s="219"/>
      <c r="BUF16" s="219"/>
      <c r="BUG16" s="219"/>
      <c r="BUH16" s="219"/>
      <c r="BUI16" s="219"/>
      <c r="BUJ16" s="219"/>
      <c r="BUK16" s="219"/>
      <c r="BUL16" s="219"/>
      <c r="BUM16" s="219"/>
      <c r="BUN16" s="219"/>
      <c r="BUO16" s="219"/>
      <c r="BUP16" s="219"/>
      <c r="BUQ16" s="219"/>
      <c r="BUR16" s="219"/>
      <c r="BUS16" s="219"/>
      <c r="BUT16" s="219"/>
      <c r="BUU16" s="219"/>
      <c r="BUV16" s="219"/>
      <c r="BUW16" s="219"/>
      <c r="BUX16" s="219"/>
      <c r="BUY16" s="219"/>
      <c r="BUZ16" s="219"/>
      <c r="BVA16" s="219"/>
      <c r="BVB16" s="219"/>
      <c r="BVC16" s="219"/>
      <c r="BVD16" s="219"/>
      <c r="BVE16" s="219"/>
      <c r="BVF16" s="219"/>
      <c r="BVG16" s="219"/>
      <c r="BVH16" s="219"/>
      <c r="BVI16" s="219"/>
      <c r="BVJ16" s="219"/>
      <c r="BVK16" s="219"/>
      <c r="BVL16" s="219"/>
      <c r="BVM16" s="219"/>
      <c r="BVN16" s="219"/>
      <c r="BVO16" s="219"/>
      <c r="BVP16" s="219"/>
      <c r="BVQ16" s="219"/>
      <c r="BVR16" s="219"/>
      <c r="BVS16" s="219"/>
      <c r="BVT16" s="219"/>
      <c r="BVU16" s="219"/>
      <c r="BVV16" s="219"/>
      <c r="BVW16" s="219"/>
      <c r="BVX16" s="219"/>
      <c r="BVY16" s="219"/>
      <c r="BVZ16" s="219"/>
      <c r="BWA16" s="219"/>
      <c r="BWB16" s="219"/>
      <c r="BWC16" s="219"/>
      <c r="BWD16" s="219"/>
      <c r="BWE16" s="219"/>
      <c r="BWF16" s="219"/>
      <c r="BWG16" s="219"/>
      <c r="BWH16" s="219"/>
      <c r="BWI16" s="219"/>
      <c r="BWJ16" s="219"/>
      <c r="BWK16" s="219"/>
      <c r="BWL16" s="219"/>
      <c r="BWM16" s="219"/>
      <c r="BWN16" s="219"/>
      <c r="BWO16" s="219"/>
      <c r="BWP16" s="219"/>
      <c r="BWQ16" s="219"/>
      <c r="BWR16" s="219"/>
      <c r="BWS16" s="219"/>
      <c r="BWT16" s="219"/>
      <c r="BWU16" s="219"/>
      <c r="BWV16" s="219"/>
      <c r="BWW16" s="219"/>
      <c r="BWX16" s="219"/>
      <c r="BWY16" s="219"/>
      <c r="BWZ16" s="219"/>
      <c r="BXA16" s="219"/>
      <c r="BXB16" s="219"/>
      <c r="BXC16" s="219"/>
      <c r="BXD16" s="219"/>
      <c r="BXE16" s="219"/>
      <c r="BXF16" s="219"/>
      <c r="BXG16" s="219"/>
      <c r="BXH16" s="219"/>
      <c r="BXI16" s="219"/>
      <c r="BXJ16" s="219"/>
      <c r="BXK16" s="219"/>
      <c r="BXL16" s="219"/>
      <c r="BXM16" s="219"/>
      <c r="BXN16" s="219"/>
      <c r="BXO16" s="219"/>
      <c r="BXP16" s="219"/>
      <c r="BXQ16" s="219"/>
      <c r="BXR16" s="219"/>
      <c r="BXS16" s="219"/>
      <c r="BXT16" s="219"/>
      <c r="BXU16" s="219"/>
      <c r="BXV16" s="219"/>
      <c r="BXW16" s="219"/>
      <c r="BXX16" s="219"/>
      <c r="BXY16" s="219"/>
      <c r="BXZ16" s="219"/>
      <c r="BYA16" s="219"/>
      <c r="BYB16" s="219"/>
      <c r="BYC16" s="219"/>
      <c r="BYD16" s="219"/>
      <c r="BYE16" s="219"/>
      <c r="BYF16" s="219"/>
      <c r="BYG16" s="219"/>
      <c r="BYH16" s="219"/>
      <c r="BYI16" s="219"/>
      <c r="BYJ16" s="219"/>
      <c r="BYK16" s="219"/>
      <c r="BYL16" s="219"/>
      <c r="BYM16" s="219"/>
      <c r="BYN16" s="219"/>
      <c r="BYO16" s="219"/>
      <c r="BYP16" s="219"/>
      <c r="BYQ16" s="219"/>
      <c r="BYR16" s="219"/>
      <c r="BYS16" s="219"/>
      <c r="BYT16" s="219"/>
      <c r="BYU16" s="219"/>
      <c r="BYV16" s="219"/>
      <c r="BYW16" s="219"/>
      <c r="BYX16" s="219"/>
      <c r="BYY16" s="219"/>
      <c r="BYZ16" s="219"/>
      <c r="BZA16" s="219"/>
      <c r="BZB16" s="219"/>
      <c r="BZC16" s="219"/>
      <c r="BZD16" s="219"/>
      <c r="BZE16" s="219"/>
      <c r="BZF16" s="219"/>
      <c r="BZG16" s="219"/>
      <c r="BZH16" s="219"/>
      <c r="BZI16" s="219"/>
      <c r="BZJ16" s="219"/>
      <c r="BZK16" s="219"/>
      <c r="BZL16" s="219"/>
      <c r="BZM16" s="219"/>
      <c r="BZN16" s="219"/>
      <c r="BZO16" s="219"/>
      <c r="BZP16" s="219"/>
      <c r="BZQ16" s="219"/>
      <c r="BZR16" s="219"/>
      <c r="BZS16" s="219"/>
      <c r="BZT16" s="219"/>
      <c r="BZU16" s="219"/>
      <c r="BZV16" s="219"/>
      <c r="BZW16" s="219"/>
      <c r="BZX16" s="219"/>
      <c r="BZY16" s="219"/>
      <c r="BZZ16" s="219"/>
      <c r="CAA16" s="219"/>
      <c r="CAB16" s="219"/>
      <c r="CAC16" s="219"/>
      <c r="CAD16" s="219"/>
      <c r="CAE16" s="219"/>
      <c r="CAF16" s="219"/>
      <c r="CAG16" s="219"/>
      <c r="CAH16" s="219"/>
      <c r="CAI16" s="219"/>
      <c r="CAJ16" s="219"/>
      <c r="CAK16" s="219"/>
      <c r="CAL16" s="219"/>
      <c r="CAM16" s="219"/>
      <c r="CAN16" s="219"/>
      <c r="CAO16" s="219"/>
      <c r="CAP16" s="219"/>
      <c r="CAQ16" s="219"/>
      <c r="CAR16" s="219"/>
      <c r="CAS16" s="219"/>
      <c r="CAT16" s="219"/>
      <c r="CAU16" s="219"/>
      <c r="CAV16" s="219"/>
      <c r="CAW16" s="219"/>
      <c r="CAX16" s="219"/>
      <c r="CAY16" s="219"/>
      <c r="CAZ16" s="219"/>
      <c r="CBA16" s="219"/>
      <c r="CBB16" s="219"/>
      <c r="CBC16" s="219"/>
      <c r="CBD16" s="219"/>
      <c r="CBE16" s="219"/>
      <c r="CBF16" s="219"/>
      <c r="CBG16" s="219"/>
      <c r="CBH16" s="219"/>
      <c r="CBI16" s="219"/>
      <c r="CBJ16" s="219"/>
      <c r="CBK16" s="219"/>
      <c r="CBL16" s="219"/>
      <c r="CBM16" s="219"/>
      <c r="CBN16" s="219"/>
      <c r="CBO16" s="219"/>
      <c r="CBP16" s="219"/>
      <c r="CBQ16" s="219"/>
      <c r="CBR16" s="219"/>
      <c r="CBS16" s="219"/>
      <c r="CBT16" s="219"/>
      <c r="CBU16" s="219"/>
      <c r="CBV16" s="219"/>
      <c r="CBW16" s="219"/>
      <c r="CBX16" s="219"/>
      <c r="CBY16" s="219"/>
      <c r="CBZ16" s="219"/>
      <c r="CCA16" s="219"/>
      <c r="CCB16" s="219"/>
      <c r="CCC16" s="219"/>
      <c r="CCD16" s="219"/>
      <c r="CCE16" s="219"/>
      <c r="CCF16" s="219"/>
      <c r="CCG16" s="219"/>
      <c r="CCH16" s="219"/>
      <c r="CCI16" s="219"/>
      <c r="CCJ16" s="219"/>
      <c r="CCK16" s="219"/>
      <c r="CCL16" s="219"/>
      <c r="CCM16" s="219"/>
      <c r="CCN16" s="219"/>
      <c r="CCO16" s="219"/>
      <c r="CCP16" s="219"/>
      <c r="CCQ16" s="219"/>
      <c r="CCR16" s="219"/>
      <c r="CCS16" s="219"/>
      <c r="CCT16" s="219"/>
      <c r="CCU16" s="219"/>
      <c r="CCV16" s="219"/>
      <c r="CCW16" s="219"/>
      <c r="VEX16" s="195"/>
      <c r="VST16" s="194"/>
      <c r="VTB16" s="194"/>
    </row>
    <row r="17" spans="1:2129 15026:15026 15386:15394" s="193" customFormat="1" ht="16.149999999999999" customHeight="1" x14ac:dyDescent="0.25">
      <c r="A17" s="182" t="s">
        <v>55</v>
      </c>
      <c r="B17" s="182">
        <v>9</v>
      </c>
      <c r="C17" s="182"/>
      <c r="D17" s="182"/>
      <c r="E17" s="182"/>
      <c r="F17" s="182"/>
      <c r="G17" s="183" t="s">
        <v>225</v>
      </c>
      <c r="H17" s="184" t="s">
        <v>226</v>
      </c>
      <c r="I17" s="184"/>
      <c r="J17" s="185"/>
      <c r="K17" s="186"/>
      <c r="L17" s="186"/>
      <c r="M17" s="187"/>
      <c r="N17" s="186">
        <v>43068</v>
      </c>
      <c r="O17" s="186">
        <v>43089</v>
      </c>
      <c r="P17" s="187">
        <v>19</v>
      </c>
      <c r="Q17" s="188">
        <v>0</v>
      </c>
      <c r="R17" s="186"/>
      <c r="S17" s="186"/>
      <c r="T17" s="187"/>
      <c r="U17" s="189"/>
      <c r="V17" s="189"/>
      <c r="W17" s="189"/>
      <c r="X17" s="190"/>
      <c r="Y17" s="191"/>
      <c r="Z17" s="191"/>
      <c r="AA17" s="198"/>
      <c r="AB17" s="191"/>
      <c r="AC17" s="192"/>
      <c r="AD17" s="192"/>
      <c r="AE17" s="192"/>
      <c r="AF17" s="192"/>
      <c r="AG17" s="192"/>
      <c r="AH17" s="192"/>
      <c r="AI17" s="192"/>
      <c r="AJ17" s="192"/>
      <c r="AK17" s="192"/>
      <c r="AL17" s="192"/>
      <c r="AM17" s="192"/>
      <c r="AN17" s="192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2"/>
      <c r="AZ17" s="192"/>
      <c r="BA17" s="192"/>
      <c r="BB17" s="192"/>
      <c r="BC17" s="192"/>
      <c r="BD17" s="192"/>
      <c r="BE17" s="192"/>
      <c r="BF17" s="192"/>
      <c r="BG17" s="192"/>
      <c r="BH17" s="192"/>
      <c r="BI17" s="192"/>
      <c r="BJ17" s="192"/>
      <c r="BK17" s="192"/>
      <c r="BL17" s="192"/>
      <c r="BM17" s="192"/>
      <c r="BN17" s="192"/>
      <c r="BO17" s="192"/>
      <c r="BP17" s="192"/>
      <c r="BQ17" s="192"/>
      <c r="BR17" s="192"/>
      <c r="BS17" s="192"/>
      <c r="BT17" s="192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6"/>
      <c r="CH17" s="196"/>
      <c r="CI17" s="196"/>
      <c r="CJ17" s="196"/>
      <c r="CK17" s="196"/>
      <c r="CL17" s="196"/>
      <c r="CM17" s="196"/>
      <c r="CN17" s="196"/>
      <c r="CO17" s="196"/>
      <c r="CP17" s="196"/>
      <c r="CQ17" s="196"/>
      <c r="CR17" s="196"/>
      <c r="CS17" s="196"/>
      <c r="CT17" s="196"/>
      <c r="CU17" s="196"/>
      <c r="CV17" s="196"/>
      <c r="CW17" s="196"/>
      <c r="CX17" s="196"/>
      <c r="CY17" s="196"/>
      <c r="CZ17" s="196"/>
      <c r="DA17" s="196"/>
      <c r="DB17" s="196"/>
      <c r="DC17" s="196"/>
      <c r="DD17" s="196"/>
      <c r="DE17" s="196"/>
      <c r="DF17" s="196"/>
      <c r="DG17" s="196"/>
      <c r="DH17" s="196"/>
      <c r="DI17" s="196"/>
      <c r="DJ17" s="196"/>
      <c r="DK17" s="196"/>
      <c r="DL17" s="196"/>
      <c r="DM17" s="196"/>
      <c r="DN17" s="196"/>
      <c r="DO17" s="196"/>
      <c r="DP17" s="196"/>
      <c r="DQ17" s="196"/>
      <c r="DR17" s="196"/>
      <c r="DS17" s="196"/>
      <c r="DT17" s="196"/>
      <c r="DU17" s="196"/>
      <c r="DV17" s="196"/>
      <c r="DW17" s="196"/>
      <c r="DX17" s="196"/>
      <c r="DY17" s="196"/>
      <c r="DZ17" s="196"/>
      <c r="EA17" s="196"/>
      <c r="EB17" s="196"/>
      <c r="EC17" s="196"/>
      <c r="ED17" s="196"/>
      <c r="EE17" s="196"/>
      <c r="EF17" s="196"/>
      <c r="EG17" s="196"/>
      <c r="EH17" s="196"/>
      <c r="EI17" s="196"/>
      <c r="EJ17" s="196"/>
      <c r="EK17" s="196"/>
      <c r="EL17" s="196"/>
      <c r="EM17" s="196"/>
      <c r="EN17" s="196"/>
      <c r="EO17" s="196"/>
      <c r="EP17" s="196"/>
      <c r="EQ17" s="196"/>
      <c r="ER17" s="196"/>
      <c r="ES17" s="196"/>
      <c r="ET17" s="196"/>
      <c r="EU17" s="196"/>
      <c r="EV17" s="196"/>
      <c r="EW17" s="196"/>
      <c r="EX17" s="196"/>
      <c r="EY17" s="196"/>
      <c r="EZ17" s="196"/>
      <c r="FA17" s="196"/>
      <c r="FB17" s="196"/>
      <c r="FC17" s="196"/>
      <c r="FD17" s="196"/>
      <c r="FE17" s="196"/>
      <c r="FF17" s="196"/>
      <c r="FG17" s="196"/>
      <c r="FH17" s="196"/>
      <c r="FI17" s="196"/>
      <c r="FJ17" s="196"/>
      <c r="FK17" s="196"/>
      <c r="FL17" s="196"/>
      <c r="FM17" s="196"/>
      <c r="FN17" s="196"/>
      <c r="FO17" s="196"/>
      <c r="FP17" s="196"/>
      <c r="FQ17" s="196"/>
      <c r="FR17" s="196"/>
      <c r="FS17" s="196"/>
      <c r="FT17" s="196"/>
      <c r="FU17" s="196"/>
      <c r="FV17" s="196"/>
      <c r="FW17" s="196"/>
      <c r="FX17" s="196"/>
      <c r="FY17" s="196"/>
      <c r="FZ17" s="196"/>
      <c r="GA17" s="196"/>
      <c r="GB17" s="196"/>
      <c r="GC17" s="196"/>
      <c r="GD17" s="196"/>
      <c r="GE17" s="196"/>
      <c r="GF17" s="196"/>
      <c r="GG17" s="196"/>
      <c r="GH17" s="196"/>
      <c r="GI17" s="196"/>
      <c r="GJ17" s="196"/>
      <c r="GK17" s="196"/>
      <c r="GL17" s="196"/>
      <c r="GM17" s="196"/>
      <c r="GN17" s="196"/>
      <c r="GO17" s="196"/>
      <c r="GP17" s="196"/>
      <c r="GQ17" s="196"/>
      <c r="GR17" s="196"/>
      <c r="GS17" s="196"/>
      <c r="GT17" s="196"/>
      <c r="GU17" s="196"/>
      <c r="GV17" s="196"/>
      <c r="GW17" s="196"/>
      <c r="GX17" s="196"/>
      <c r="GY17" s="196"/>
      <c r="GZ17" s="196"/>
      <c r="HA17" s="196"/>
      <c r="HB17" s="196"/>
      <c r="HC17" s="196"/>
      <c r="HD17" s="196"/>
      <c r="HE17" s="196"/>
      <c r="HF17" s="196"/>
      <c r="HG17" s="196"/>
      <c r="HH17" s="196"/>
      <c r="HI17" s="196"/>
      <c r="HJ17" s="196"/>
      <c r="HK17" s="196"/>
      <c r="HL17" s="196"/>
      <c r="HM17" s="196"/>
      <c r="HN17" s="196"/>
      <c r="HO17" s="196"/>
      <c r="HP17" s="196"/>
      <c r="HQ17" s="196"/>
      <c r="HR17" s="196"/>
      <c r="HS17" s="196"/>
      <c r="HT17" s="196"/>
      <c r="HU17" s="196"/>
      <c r="HV17" s="196"/>
      <c r="HW17" s="196"/>
      <c r="HX17" s="196"/>
      <c r="HY17" s="196"/>
      <c r="HZ17" s="196"/>
      <c r="IA17" s="196"/>
      <c r="IB17" s="196"/>
      <c r="IC17" s="196"/>
      <c r="ID17" s="196"/>
      <c r="IE17" s="196"/>
      <c r="IF17" s="196"/>
      <c r="IG17" s="196"/>
      <c r="IH17" s="196"/>
      <c r="II17" s="196"/>
      <c r="IJ17" s="196"/>
      <c r="IK17" s="196"/>
      <c r="IL17" s="196"/>
      <c r="IM17" s="196"/>
      <c r="IN17" s="196"/>
      <c r="IO17" s="196"/>
      <c r="IP17" s="196"/>
      <c r="IQ17" s="196"/>
      <c r="IR17" s="196"/>
      <c r="IS17" s="196"/>
      <c r="IT17" s="196"/>
      <c r="IU17" s="196"/>
      <c r="IV17" s="196"/>
      <c r="IW17" s="196"/>
      <c r="IX17" s="196"/>
      <c r="IY17" s="196"/>
      <c r="IZ17" s="196"/>
      <c r="JA17" s="196"/>
      <c r="JB17" s="196"/>
      <c r="JC17" s="196"/>
      <c r="JD17" s="196"/>
      <c r="JE17" s="196"/>
      <c r="JF17" s="196"/>
      <c r="JG17" s="196"/>
      <c r="JH17" s="196"/>
      <c r="JI17" s="196"/>
      <c r="JJ17" s="196"/>
      <c r="JK17" s="196"/>
      <c r="JL17" s="196"/>
      <c r="JM17" s="196"/>
      <c r="JN17" s="196"/>
      <c r="JO17" s="196"/>
      <c r="JP17" s="196"/>
      <c r="JQ17" s="196"/>
      <c r="JR17" s="196"/>
      <c r="JS17" s="196"/>
      <c r="JT17" s="196"/>
      <c r="JU17" s="196"/>
      <c r="JV17" s="196"/>
      <c r="JW17" s="196"/>
      <c r="JX17" s="196"/>
      <c r="JY17" s="196"/>
      <c r="JZ17" s="196"/>
      <c r="KA17" s="196"/>
      <c r="KB17" s="196"/>
      <c r="KC17" s="196"/>
      <c r="KD17" s="196"/>
      <c r="KE17" s="196"/>
      <c r="KF17" s="196"/>
      <c r="KG17" s="196"/>
      <c r="KH17" s="196"/>
      <c r="KI17" s="196"/>
      <c r="KJ17" s="196"/>
      <c r="KK17" s="196"/>
      <c r="KL17" s="196"/>
      <c r="KM17" s="196"/>
      <c r="KN17" s="196"/>
      <c r="KO17" s="196"/>
      <c r="KP17" s="196"/>
      <c r="KQ17" s="196"/>
      <c r="KR17" s="196"/>
      <c r="KS17" s="196"/>
      <c r="KT17" s="196"/>
      <c r="KU17" s="196"/>
      <c r="KV17" s="196"/>
      <c r="KW17" s="196"/>
      <c r="KX17" s="196"/>
      <c r="KY17" s="196"/>
      <c r="KZ17" s="196"/>
      <c r="LA17" s="196"/>
      <c r="LB17" s="196"/>
      <c r="LC17" s="196"/>
      <c r="LD17" s="196"/>
      <c r="LE17" s="196"/>
      <c r="LF17" s="196"/>
      <c r="LG17" s="196"/>
      <c r="LH17" s="196"/>
      <c r="LI17" s="196"/>
      <c r="LJ17" s="196"/>
      <c r="LK17" s="196"/>
      <c r="LL17" s="196"/>
      <c r="LM17" s="196"/>
      <c r="LN17" s="196"/>
      <c r="LO17" s="196"/>
      <c r="LP17" s="196"/>
      <c r="LQ17" s="196"/>
      <c r="LR17" s="196"/>
      <c r="LS17" s="196"/>
      <c r="LT17" s="196"/>
      <c r="LU17" s="196"/>
      <c r="LV17" s="196"/>
      <c r="LW17" s="196"/>
      <c r="LX17" s="196"/>
      <c r="LY17" s="196"/>
      <c r="LZ17" s="196"/>
      <c r="MA17" s="196"/>
      <c r="MB17" s="196"/>
      <c r="MC17" s="196"/>
      <c r="MD17" s="196"/>
      <c r="ME17" s="196"/>
      <c r="MF17" s="196"/>
      <c r="MG17" s="196"/>
      <c r="MH17" s="196"/>
      <c r="MI17" s="196"/>
      <c r="MJ17" s="196"/>
      <c r="MK17" s="196"/>
      <c r="ML17" s="196"/>
      <c r="MM17" s="196"/>
      <c r="MN17" s="196"/>
      <c r="MO17" s="196"/>
      <c r="MP17" s="196"/>
      <c r="MQ17" s="196"/>
      <c r="MR17" s="196"/>
      <c r="MS17" s="196"/>
      <c r="MT17" s="196"/>
      <c r="MU17" s="196"/>
      <c r="MV17" s="197"/>
      <c r="MW17" s="196"/>
      <c r="MX17" s="196"/>
      <c r="MY17" s="196"/>
      <c r="MZ17" s="196"/>
      <c r="NA17" s="196"/>
      <c r="NB17" s="196"/>
      <c r="NC17" s="196"/>
      <c r="ND17" s="196"/>
      <c r="NE17" s="196"/>
      <c r="NF17" s="196"/>
      <c r="NG17" s="196"/>
      <c r="NH17" s="196"/>
      <c r="NI17" s="196"/>
      <c r="NJ17" s="196"/>
      <c r="NK17" s="196"/>
      <c r="NL17" s="196"/>
      <c r="NM17" s="196"/>
      <c r="NN17" s="196"/>
      <c r="NO17" s="196"/>
      <c r="NP17" s="196"/>
      <c r="NQ17" s="196"/>
      <c r="NR17" s="196"/>
      <c r="NS17" s="196"/>
      <c r="NT17" s="196"/>
      <c r="NU17" s="196"/>
      <c r="NV17" s="196"/>
      <c r="NW17" s="196"/>
      <c r="NX17" s="196"/>
      <c r="NY17" s="196"/>
      <c r="NZ17" s="196"/>
      <c r="OA17" s="196"/>
      <c r="OB17" s="196"/>
      <c r="OC17" s="196"/>
      <c r="OD17" s="196"/>
      <c r="OE17" s="196"/>
      <c r="OF17" s="196"/>
      <c r="OG17" s="196"/>
      <c r="OH17" s="196"/>
      <c r="OI17" s="196"/>
      <c r="OJ17" s="196"/>
      <c r="OK17" s="196"/>
      <c r="OL17" s="196"/>
      <c r="OM17" s="196"/>
      <c r="ON17" s="196"/>
      <c r="OO17" s="196"/>
      <c r="OP17" s="196"/>
      <c r="OQ17" s="196"/>
      <c r="OR17" s="196"/>
      <c r="OS17" s="196"/>
      <c r="OT17" s="196"/>
      <c r="OU17" s="196"/>
      <c r="OV17" s="196"/>
      <c r="OW17" s="196"/>
      <c r="OX17" s="196"/>
      <c r="OY17" s="196"/>
      <c r="OZ17" s="196"/>
      <c r="PA17" s="196"/>
      <c r="PB17" s="196"/>
      <c r="PC17" s="196"/>
      <c r="PD17" s="196"/>
      <c r="PE17" s="196"/>
      <c r="PF17" s="196"/>
      <c r="PG17" s="196"/>
      <c r="PH17" s="196"/>
      <c r="PI17" s="196"/>
      <c r="PJ17" s="196"/>
      <c r="PK17" s="196"/>
      <c r="PL17" s="196"/>
      <c r="PM17" s="196"/>
      <c r="PN17" s="196"/>
      <c r="PO17" s="196"/>
      <c r="PP17" s="196"/>
      <c r="PQ17" s="196"/>
      <c r="PR17" s="196"/>
      <c r="PS17" s="196"/>
      <c r="PT17" s="196"/>
      <c r="PU17" s="196"/>
      <c r="PV17" s="196"/>
      <c r="PW17" s="196"/>
      <c r="PX17" s="196"/>
      <c r="PY17" s="196"/>
      <c r="PZ17" s="196"/>
      <c r="QA17" s="196"/>
      <c r="QB17" s="196"/>
      <c r="QC17" s="196"/>
      <c r="QD17" s="196"/>
      <c r="QE17" s="196"/>
      <c r="QF17" s="196"/>
      <c r="QG17" s="196"/>
      <c r="QH17" s="196"/>
      <c r="QI17" s="196"/>
      <c r="QJ17" s="196"/>
      <c r="QK17" s="196"/>
      <c r="QL17" s="196"/>
      <c r="QM17" s="196"/>
      <c r="QN17" s="196"/>
      <c r="QO17" s="196"/>
      <c r="QP17" s="196"/>
      <c r="QQ17" s="196"/>
      <c r="QR17" s="196"/>
      <c r="QS17" s="196"/>
      <c r="QT17" s="196"/>
      <c r="QU17" s="196"/>
      <c r="QV17" s="196"/>
      <c r="QW17" s="196"/>
      <c r="QX17" s="196"/>
      <c r="QY17" s="196"/>
      <c r="QZ17" s="196"/>
      <c r="RA17" s="196"/>
      <c r="RB17" s="196"/>
      <c r="RC17" s="196"/>
      <c r="RD17" s="196"/>
      <c r="RE17" s="196"/>
      <c r="RF17" s="196"/>
      <c r="RG17" s="196"/>
      <c r="RH17" s="196"/>
      <c r="RI17" s="196"/>
      <c r="RJ17" s="196"/>
      <c r="RK17" s="196"/>
      <c r="RL17" s="196"/>
      <c r="RM17" s="196"/>
      <c r="RN17" s="196"/>
      <c r="RO17" s="196"/>
      <c r="RP17" s="196"/>
      <c r="RQ17" s="196"/>
      <c r="RR17" s="196"/>
      <c r="RS17" s="196"/>
      <c r="RT17" s="196"/>
      <c r="RU17" s="196"/>
      <c r="RV17" s="196"/>
      <c r="RW17" s="196"/>
      <c r="RX17" s="196"/>
      <c r="RY17" s="196"/>
      <c r="RZ17" s="196"/>
      <c r="SA17" s="196"/>
      <c r="SB17" s="196"/>
      <c r="SC17" s="196"/>
      <c r="SD17" s="196"/>
      <c r="SE17" s="196"/>
      <c r="SF17" s="196"/>
      <c r="SG17" s="196"/>
      <c r="SH17" s="196"/>
      <c r="SI17" s="196"/>
      <c r="SJ17" s="196"/>
      <c r="SK17" s="196"/>
      <c r="SL17" s="196"/>
      <c r="SM17" s="196"/>
      <c r="SN17" s="196"/>
      <c r="SO17" s="196"/>
      <c r="SP17" s="196"/>
      <c r="SQ17" s="196"/>
      <c r="SR17" s="196"/>
      <c r="SS17" s="196"/>
      <c r="ST17" s="196"/>
      <c r="SU17" s="196"/>
      <c r="SV17" s="196"/>
      <c r="SW17" s="196"/>
      <c r="SX17" s="196"/>
      <c r="SY17" s="196"/>
      <c r="SZ17" s="196"/>
      <c r="TA17" s="196"/>
      <c r="TB17" s="196"/>
      <c r="TC17" s="196"/>
      <c r="TD17" s="196"/>
      <c r="TE17" s="196"/>
      <c r="TF17" s="196"/>
      <c r="TG17" s="196"/>
      <c r="TH17" s="196"/>
      <c r="TI17" s="196"/>
      <c r="TJ17" s="196"/>
      <c r="TK17" s="196"/>
      <c r="TL17" s="196"/>
      <c r="TM17" s="196"/>
      <c r="TN17" s="196"/>
      <c r="TO17" s="196"/>
      <c r="TP17" s="196"/>
      <c r="TQ17" s="196"/>
      <c r="TR17" s="196"/>
      <c r="TS17" s="196"/>
      <c r="TT17" s="196"/>
      <c r="TU17" s="196"/>
      <c r="TV17" s="196"/>
      <c r="TW17" s="196"/>
      <c r="TX17" s="196"/>
      <c r="TY17" s="196"/>
      <c r="TZ17" s="196"/>
      <c r="UA17" s="196"/>
      <c r="UB17" s="196"/>
      <c r="UC17" s="196"/>
      <c r="UD17" s="196"/>
      <c r="UE17" s="196"/>
      <c r="UF17" s="196"/>
      <c r="UG17" s="196"/>
      <c r="UH17" s="196"/>
      <c r="UI17" s="196"/>
      <c r="UJ17" s="196"/>
      <c r="UK17" s="196"/>
      <c r="UL17" s="196"/>
      <c r="UM17" s="196"/>
      <c r="UN17" s="196"/>
      <c r="UO17" s="196"/>
      <c r="UP17" s="196"/>
      <c r="UQ17" s="196"/>
      <c r="UR17" s="196"/>
      <c r="US17" s="196"/>
      <c r="UT17" s="196"/>
      <c r="UU17" s="196"/>
      <c r="UV17" s="196"/>
      <c r="UW17" s="196"/>
      <c r="UX17" s="196"/>
      <c r="UY17" s="196"/>
      <c r="UZ17" s="196"/>
      <c r="VA17" s="196"/>
      <c r="VB17" s="196"/>
      <c r="VC17" s="196"/>
      <c r="VD17" s="196"/>
      <c r="VE17" s="196"/>
      <c r="VF17" s="196"/>
      <c r="VG17" s="196"/>
      <c r="VH17" s="196"/>
      <c r="VI17" s="196"/>
      <c r="VJ17" s="196"/>
      <c r="VK17" s="196"/>
      <c r="VL17" s="196"/>
      <c r="VM17" s="196"/>
      <c r="VN17" s="196"/>
      <c r="VO17" s="196"/>
      <c r="VP17" s="196"/>
      <c r="VQ17" s="196"/>
      <c r="VR17" s="196"/>
      <c r="VS17" s="196"/>
      <c r="VT17" s="196"/>
      <c r="VU17" s="196"/>
      <c r="VV17" s="196"/>
      <c r="VW17" s="196"/>
      <c r="VX17" s="196"/>
      <c r="VY17" s="196"/>
      <c r="VZ17" s="196"/>
      <c r="WA17" s="196"/>
      <c r="WB17" s="196"/>
      <c r="WC17" s="196"/>
      <c r="WD17" s="196"/>
      <c r="WE17" s="196"/>
      <c r="WF17" s="196"/>
      <c r="WG17" s="196"/>
      <c r="WH17" s="196"/>
      <c r="WI17" s="196"/>
      <c r="WJ17" s="196"/>
      <c r="WK17" s="196"/>
      <c r="WL17" s="196"/>
      <c r="WM17" s="196"/>
      <c r="WN17" s="196"/>
      <c r="WO17" s="196"/>
      <c r="WP17" s="196"/>
      <c r="WQ17" s="196"/>
      <c r="WR17" s="196"/>
      <c r="WS17" s="196"/>
      <c r="WT17" s="196"/>
      <c r="WU17" s="196"/>
      <c r="WV17" s="196"/>
      <c r="WW17" s="196"/>
      <c r="WX17" s="196"/>
      <c r="WY17" s="196"/>
      <c r="WZ17" s="196"/>
      <c r="XA17" s="196"/>
      <c r="XB17" s="196"/>
      <c r="XC17" s="196"/>
      <c r="XD17" s="196"/>
      <c r="XE17" s="196"/>
      <c r="XF17" s="196"/>
      <c r="XG17" s="196"/>
      <c r="XH17" s="196"/>
      <c r="XI17" s="196"/>
      <c r="XJ17" s="196"/>
      <c r="XK17" s="196"/>
      <c r="XL17" s="196"/>
      <c r="XM17" s="196"/>
      <c r="XN17" s="196"/>
      <c r="XO17" s="196"/>
      <c r="XP17" s="196"/>
      <c r="XQ17" s="196"/>
      <c r="XR17" s="196"/>
      <c r="XS17" s="196"/>
      <c r="XT17" s="196"/>
      <c r="XU17" s="196"/>
      <c r="XV17" s="196"/>
      <c r="XW17" s="196"/>
      <c r="XX17" s="196"/>
      <c r="XY17" s="196"/>
      <c r="XZ17" s="196"/>
      <c r="YA17" s="196"/>
      <c r="YB17" s="196"/>
      <c r="YC17" s="196"/>
      <c r="YD17" s="196"/>
      <c r="YE17" s="196"/>
      <c r="YF17" s="196"/>
      <c r="YG17" s="196"/>
      <c r="YH17" s="196"/>
      <c r="YI17" s="196"/>
      <c r="YJ17" s="196"/>
      <c r="YK17" s="196"/>
      <c r="YL17" s="196"/>
      <c r="YM17" s="196"/>
      <c r="YN17" s="196"/>
      <c r="YO17" s="196"/>
      <c r="YP17" s="196"/>
      <c r="YQ17" s="196"/>
      <c r="YR17" s="196"/>
      <c r="YS17" s="196"/>
      <c r="YT17" s="196"/>
      <c r="YU17" s="196"/>
      <c r="YV17" s="196"/>
      <c r="YW17" s="196"/>
      <c r="YX17" s="196"/>
      <c r="YY17" s="196"/>
      <c r="YZ17" s="196"/>
      <c r="ZA17" s="196"/>
      <c r="ZB17" s="196"/>
      <c r="ZC17" s="196"/>
      <c r="ZD17" s="196"/>
      <c r="ZE17" s="196"/>
      <c r="ZF17" s="196"/>
      <c r="ZG17" s="196"/>
      <c r="ZH17" s="196"/>
      <c r="ZI17" s="196"/>
      <c r="ZJ17" s="196"/>
      <c r="ZK17" s="196"/>
      <c r="ZL17" s="196"/>
      <c r="ZM17" s="196"/>
      <c r="ZN17" s="196"/>
      <c r="ZO17" s="196"/>
      <c r="ZP17" s="196"/>
      <c r="ZQ17" s="196"/>
      <c r="ZR17" s="196"/>
      <c r="ZS17" s="196"/>
      <c r="ZT17" s="196"/>
      <c r="ZU17" s="196"/>
      <c r="ZV17" s="196"/>
      <c r="ZW17" s="196"/>
      <c r="ZX17" s="196"/>
      <c r="ZY17" s="196"/>
      <c r="ZZ17" s="196"/>
      <c r="AAA17" s="196"/>
      <c r="AAB17" s="196"/>
      <c r="AAC17" s="196"/>
      <c r="AAD17" s="196"/>
      <c r="AAE17" s="196"/>
      <c r="AAF17" s="196"/>
      <c r="AAG17" s="196"/>
      <c r="AAH17" s="196"/>
      <c r="AAI17" s="196"/>
      <c r="AAJ17" s="196"/>
      <c r="AAK17" s="196"/>
      <c r="AAL17" s="196"/>
      <c r="AAM17" s="196"/>
      <c r="AAN17" s="196"/>
      <c r="AAO17" s="196"/>
      <c r="AAP17" s="196"/>
      <c r="AAQ17" s="196"/>
      <c r="AAR17" s="196"/>
      <c r="AAS17" s="196"/>
      <c r="AAT17" s="196"/>
      <c r="AAU17" s="196"/>
      <c r="AAV17" s="196"/>
      <c r="AAW17" s="196"/>
      <c r="AAX17" s="196"/>
      <c r="AAY17" s="196"/>
      <c r="AAZ17" s="196"/>
      <c r="ABA17" s="196"/>
      <c r="ABB17" s="196"/>
      <c r="ABC17" s="196"/>
      <c r="ABD17" s="196"/>
      <c r="ABE17" s="196"/>
      <c r="ABF17" s="196"/>
      <c r="ABG17" s="196"/>
      <c r="ABH17" s="196"/>
      <c r="ABI17" s="196"/>
      <c r="ABJ17" s="196"/>
      <c r="ABK17" s="196"/>
      <c r="ABL17" s="196"/>
      <c r="ABM17" s="196"/>
      <c r="ABN17" s="196"/>
      <c r="ABO17" s="196"/>
      <c r="ABP17" s="196"/>
      <c r="ABQ17" s="196"/>
      <c r="ABR17" s="196"/>
      <c r="ABS17" s="196"/>
      <c r="ABT17" s="196"/>
      <c r="ABU17" s="196"/>
      <c r="ABV17" s="196"/>
      <c r="ABW17" s="196"/>
      <c r="ABX17" s="196"/>
      <c r="ABY17" s="196"/>
      <c r="ABZ17" s="196"/>
      <c r="ACA17" s="196"/>
      <c r="ACB17" s="196"/>
      <c r="ACC17" s="196"/>
      <c r="ACD17" s="196"/>
      <c r="ACE17" s="196"/>
      <c r="ACF17" s="196"/>
      <c r="ACG17" s="196"/>
      <c r="ACH17" s="196"/>
      <c r="ACI17" s="196"/>
      <c r="ACJ17" s="196"/>
      <c r="ACK17" s="196"/>
      <c r="ACL17" s="196"/>
      <c r="ACM17" s="196"/>
      <c r="ACN17" s="196"/>
      <c r="ACO17" s="196"/>
      <c r="ACP17" s="196"/>
      <c r="ACQ17" s="196"/>
      <c r="ACR17" s="196"/>
      <c r="ACS17" s="196"/>
      <c r="ACT17" s="196"/>
      <c r="ACU17" s="196"/>
      <c r="ACV17" s="196"/>
      <c r="ACW17" s="196"/>
      <c r="ACX17" s="196"/>
      <c r="ACY17" s="196"/>
      <c r="ACZ17" s="196"/>
      <c r="ADA17" s="196"/>
      <c r="ADB17" s="196"/>
      <c r="ADC17" s="196"/>
      <c r="ADD17" s="196"/>
      <c r="ADE17" s="196"/>
      <c r="ADF17" s="196"/>
      <c r="ADG17" s="196"/>
      <c r="ADH17" s="196"/>
      <c r="ADI17" s="196"/>
      <c r="ADJ17" s="196"/>
      <c r="ADK17" s="196"/>
      <c r="ADL17" s="196"/>
      <c r="ADM17" s="196"/>
      <c r="ADN17" s="196"/>
      <c r="ADO17" s="196"/>
      <c r="ADP17" s="196"/>
      <c r="ADQ17" s="196"/>
      <c r="ADR17" s="196"/>
      <c r="ADS17" s="196"/>
      <c r="ADT17" s="196"/>
      <c r="ADU17" s="196"/>
      <c r="ADV17" s="196"/>
      <c r="ADW17" s="196"/>
      <c r="ADX17" s="196"/>
      <c r="ADY17" s="196"/>
      <c r="ADZ17" s="196"/>
      <c r="AEA17" s="196"/>
      <c r="AEB17" s="196"/>
      <c r="AEC17" s="196"/>
      <c r="AED17" s="196"/>
      <c r="AEE17" s="196"/>
      <c r="AEF17" s="196"/>
      <c r="AEG17" s="196"/>
      <c r="AEH17" s="196"/>
      <c r="AEI17" s="196"/>
      <c r="AEJ17" s="196"/>
      <c r="AEK17" s="196"/>
      <c r="AEL17" s="196"/>
      <c r="AEM17" s="196"/>
      <c r="AEN17" s="196"/>
      <c r="AEO17" s="196"/>
      <c r="AEP17" s="196"/>
      <c r="AEQ17" s="196"/>
      <c r="AER17" s="196"/>
      <c r="AES17" s="196"/>
      <c r="AET17" s="196"/>
      <c r="AEU17" s="196"/>
      <c r="AEV17" s="196"/>
      <c r="AEW17" s="196"/>
      <c r="AEX17" s="196"/>
      <c r="AEY17" s="196"/>
      <c r="AEZ17" s="196"/>
      <c r="AFA17" s="196"/>
      <c r="AFB17" s="196"/>
      <c r="AFC17" s="196"/>
      <c r="AFD17" s="196"/>
      <c r="AFE17" s="196"/>
      <c r="AFF17" s="196"/>
      <c r="AFG17" s="196"/>
      <c r="AFH17" s="196"/>
      <c r="AFI17" s="196"/>
      <c r="AFJ17" s="196"/>
      <c r="AFK17" s="196"/>
      <c r="AFL17" s="196"/>
      <c r="AFM17" s="196"/>
      <c r="AFN17" s="196"/>
      <c r="AFO17" s="196"/>
      <c r="AFP17" s="196"/>
      <c r="AFQ17" s="196"/>
      <c r="AFR17" s="196"/>
      <c r="AFS17" s="196"/>
      <c r="AFT17" s="196"/>
      <c r="AFU17" s="196"/>
      <c r="AFV17" s="196"/>
      <c r="AFW17" s="196"/>
      <c r="AFX17" s="196"/>
      <c r="AFY17" s="196"/>
      <c r="AFZ17" s="196"/>
      <c r="AGA17" s="196"/>
      <c r="AGB17" s="196"/>
      <c r="AGC17" s="196"/>
      <c r="AGD17" s="196"/>
      <c r="AGE17" s="196"/>
      <c r="AGF17" s="196"/>
      <c r="AGG17" s="196"/>
      <c r="AGH17" s="196"/>
      <c r="AGI17" s="196"/>
      <c r="AGJ17" s="196"/>
      <c r="AGK17" s="196"/>
      <c r="AGL17" s="196"/>
      <c r="AGM17" s="196"/>
      <c r="AGN17" s="196"/>
      <c r="AGO17" s="196"/>
      <c r="AGP17" s="196"/>
      <c r="AGQ17" s="196"/>
      <c r="AGR17" s="196"/>
      <c r="AGS17" s="196"/>
      <c r="AGT17" s="196"/>
      <c r="AGU17" s="196"/>
      <c r="AGV17" s="196"/>
      <c r="AGW17" s="196"/>
      <c r="AGX17" s="196"/>
      <c r="AGY17" s="196"/>
      <c r="AGZ17" s="196"/>
      <c r="AHA17" s="196"/>
      <c r="AHB17" s="196"/>
      <c r="AHC17" s="196"/>
      <c r="AHD17" s="196"/>
      <c r="AHE17" s="196"/>
      <c r="AHF17" s="196"/>
      <c r="AHG17" s="196"/>
      <c r="AHH17" s="196"/>
      <c r="AHI17" s="196"/>
      <c r="AHJ17" s="196"/>
      <c r="AHK17" s="196"/>
      <c r="AHL17" s="196"/>
      <c r="AHM17" s="196"/>
      <c r="AHN17" s="196"/>
      <c r="AHO17" s="196"/>
      <c r="AHP17" s="196"/>
      <c r="AHQ17" s="196"/>
      <c r="AHR17" s="196"/>
      <c r="AHS17" s="196"/>
      <c r="AHT17" s="196"/>
      <c r="AHU17" s="196"/>
      <c r="AHV17" s="196"/>
      <c r="AHW17" s="196"/>
      <c r="AHX17" s="196"/>
      <c r="AHY17" s="196"/>
      <c r="AHZ17" s="196"/>
      <c r="AIA17" s="196"/>
      <c r="AIB17" s="196"/>
      <c r="AIC17" s="196"/>
      <c r="AID17" s="196"/>
      <c r="AIE17" s="196"/>
      <c r="AIF17" s="196"/>
      <c r="AIG17" s="196"/>
      <c r="AIH17" s="196"/>
      <c r="AII17" s="196"/>
      <c r="AIJ17" s="196"/>
      <c r="AIK17" s="196"/>
      <c r="AIL17" s="196"/>
      <c r="AIM17" s="196"/>
      <c r="AIN17" s="196"/>
      <c r="AIO17" s="196"/>
      <c r="AIP17" s="196"/>
      <c r="AIQ17" s="196"/>
      <c r="AIR17" s="196"/>
      <c r="AIS17" s="196"/>
      <c r="AIT17" s="196"/>
      <c r="AIU17" s="196"/>
      <c r="AIV17" s="196"/>
      <c r="AIW17" s="196"/>
      <c r="AIX17" s="196"/>
      <c r="AIY17" s="196"/>
      <c r="AIZ17" s="196"/>
      <c r="AJA17" s="196"/>
      <c r="AJB17" s="196"/>
      <c r="AJC17" s="196"/>
      <c r="AJD17" s="196"/>
      <c r="AJE17" s="196"/>
      <c r="AJF17" s="196"/>
      <c r="AJG17" s="196"/>
      <c r="AJH17" s="196"/>
      <c r="AJI17" s="196"/>
      <c r="AJJ17" s="196"/>
      <c r="AJK17" s="196"/>
      <c r="AJL17" s="196"/>
      <c r="AJM17" s="196"/>
      <c r="AJN17" s="196"/>
      <c r="AJO17" s="196"/>
      <c r="AJP17" s="196"/>
      <c r="AJQ17" s="196"/>
      <c r="AJR17" s="196"/>
      <c r="AJS17" s="196"/>
      <c r="AJT17" s="196"/>
      <c r="AJU17" s="196"/>
      <c r="AJV17" s="196"/>
      <c r="AJW17" s="196"/>
      <c r="AJX17" s="196"/>
      <c r="AJY17" s="196"/>
      <c r="AJZ17" s="196"/>
      <c r="AKA17" s="196"/>
      <c r="AKB17" s="196"/>
      <c r="AKC17" s="196"/>
      <c r="AKD17" s="196"/>
      <c r="AKE17" s="196"/>
      <c r="AKF17" s="196"/>
      <c r="AKG17" s="196"/>
      <c r="AKH17" s="196"/>
      <c r="AKI17" s="196"/>
      <c r="AKJ17" s="196"/>
      <c r="AKK17" s="196"/>
      <c r="AKL17" s="196"/>
      <c r="AKM17" s="196"/>
      <c r="AKN17" s="196"/>
      <c r="AKO17" s="196"/>
      <c r="AKP17" s="196"/>
      <c r="AKQ17" s="196"/>
      <c r="AKR17" s="196"/>
      <c r="AKS17" s="196"/>
      <c r="AKT17" s="196"/>
      <c r="AKU17" s="196"/>
      <c r="AKV17" s="196"/>
      <c r="AKW17" s="196"/>
      <c r="AKX17" s="196"/>
      <c r="AKY17" s="196"/>
      <c r="AKZ17" s="196"/>
      <c r="ALA17" s="196"/>
      <c r="ALB17" s="196"/>
      <c r="ALC17" s="196"/>
      <c r="ALD17" s="196"/>
      <c r="ALE17" s="196"/>
      <c r="ALF17" s="196"/>
      <c r="ALG17" s="196"/>
      <c r="ALH17" s="196"/>
      <c r="ALI17" s="196"/>
      <c r="ALJ17" s="196"/>
      <c r="ALK17" s="196"/>
      <c r="ALL17" s="196"/>
      <c r="ALM17" s="196"/>
      <c r="ALN17" s="196"/>
      <c r="ALO17" s="196"/>
      <c r="ALP17" s="196"/>
      <c r="ALQ17" s="196"/>
      <c r="ALR17" s="196"/>
      <c r="ALS17" s="196"/>
      <c r="ALT17" s="196"/>
      <c r="ALU17" s="196"/>
      <c r="ALV17" s="196"/>
      <c r="ALW17" s="196"/>
      <c r="ALX17" s="196"/>
      <c r="ALY17" s="196"/>
      <c r="ALZ17" s="196"/>
      <c r="AMA17" s="196"/>
      <c r="AMB17" s="196"/>
      <c r="AMC17" s="196"/>
      <c r="AMD17" s="196"/>
      <c r="AME17" s="196"/>
      <c r="AMF17" s="196"/>
      <c r="AMG17" s="196"/>
      <c r="AMH17" s="196"/>
      <c r="AMI17" s="196"/>
      <c r="AMJ17" s="196"/>
      <c r="AMK17" s="196"/>
      <c r="AML17" s="196"/>
      <c r="AMM17" s="196"/>
      <c r="AMN17" s="196"/>
      <c r="AMO17" s="196"/>
      <c r="AMP17" s="196"/>
      <c r="AMQ17" s="196"/>
      <c r="AMR17" s="196"/>
      <c r="AMS17" s="196"/>
      <c r="AMT17" s="196"/>
      <c r="AMU17" s="196"/>
      <c r="AMV17" s="196"/>
      <c r="AMW17" s="196"/>
      <c r="AMX17" s="196"/>
      <c r="AMY17" s="196"/>
      <c r="AMZ17" s="196"/>
      <c r="ANA17" s="196"/>
      <c r="ANB17" s="196"/>
      <c r="ANC17" s="196"/>
      <c r="AND17" s="196"/>
      <c r="ANE17" s="196"/>
      <c r="ANF17" s="196"/>
      <c r="ANG17" s="196"/>
      <c r="ANH17" s="196"/>
      <c r="ANI17" s="196"/>
      <c r="ANJ17" s="196"/>
      <c r="ANK17" s="196"/>
      <c r="ANL17" s="196"/>
      <c r="ANM17" s="196"/>
      <c r="ANN17" s="196"/>
      <c r="ANO17" s="196"/>
      <c r="ANP17" s="196"/>
      <c r="ANQ17" s="196"/>
      <c r="ANR17" s="196"/>
      <c r="ANS17" s="196"/>
      <c r="ANT17" s="196"/>
      <c r="ANU17" s="196"/>
      <c r="ANV17" s="196"/>
      <c r="ANW17" s="196"/>
      <c r="ANX17" s="196"/>
      <c r="ANY17" s="196"/>
      <c r="ANZ17" s="196"/>
      <c r="AOA17" s="196"/>
      <c r="AOB17" s="196"/>
      <c r="AOC17" s="196"/>
      <c r="AOD17" s="196"/>
      <c r="AOE17" s="196"/>
      <c r="AOF17" s="196"/>
      <c r="AOG17" s="196"/>
      <c r="AOH17" s="196"/>
      <c r="AOI17" s="196"/>
      <c r="AOJ17" s="196"/>
      <c r="AOK17" s="196"/>
      <c r="AOL17" s="196"/>
      <c r="AOM17" s="196"/>
      <c r="AON17" s="196"/>
      <c r="AOO17" s="196"/>
      <c r="AOP17" s="196"/>
      <c r="AOQ17" s="196"/>
      <c r="AOR17" s="196"/>
      <c r="AOS17" s="196"/>
      <c r="AOT17" s="196"/>
      <c r="AOU17" s="196"/>
      <c r="AOV17" s="196"/>
      <c r="AOW17" s="196"/>
      <c r="AOX17" s="196"/>
      <c r="AOY17" s="196"/>
      <c r="AOZ17" s="196"/>
      <c r="APA17" s="196"/>
      <c r="APB17" s="196"/>
      <c r="APC17" s="196"/>
      <c r="APD17" s="196"/>
      <c r="APE17" s="196"/>
      <c r="APF17" s="196"/>
      <c r="APG17" s="196"/>
      <c r="APH17" s="196"/>
      <c r="API17" s="196"/>
      <c r="APJ17" s="196"/>
      <c r="APK17" s="196"/>
      <c r="APL17" s="196"/>
      <c r="APM17" s="196"/>
      <c r="APN17" s="196"/>
      <c r="APO17" s="196"/>
      <c r="APP17" s="196"/>
      <c r="APQ17" s="196"/>
      <c r="APR17" s="196"/>
      <c r="APS17" s="196"/>
      <c r="APT17" s="196"/>
      <c r="APU17" s="196"/>
      <c r="APV17" s="196"/>
      <c r="APW17" s="196"/>
      <c r="APX17" s="196"/>
      <c r="APY17" s="196"/>
      <c r="APZ17" s="196"/>
      <c r="AQA17" s="196"/>
      <c r="AQB17" s="196"/>
      <c r="AQC17" s="196"/>
      <c r="AQD17" s="196"/>
      <c r="AQE17" s="196"/>
      <c r="AQF17" s="196"/>
      <c r="AQG17" s="196"/>
      <c r="AQH17" s="196"/>
      <c r="AQI17" s="196"/>
      <c r="AQJ17" s="196"/>
      <c r="AQK17" s="196"/>
      <c r="AQL17" s="196"/>
      <c r="AQM17" s="196"/>
      <c r="AQN17" s="196"/>
      <c r="AQO17" s="196"/>
      <c r="AQP17" s="196"/>
      <c r="AQQ17" s="196"/>
      <c r="AQR17" s="196"/>
      <c r="AQS17" s="196"/>
      <c r="AQT17" s="196"/>
      <c r="AQU17" s="196"/>
      <c r="AQV17" s="196"/>
      <c r="AQW17" s="196"/>
      <c r="AQX17" s="196"/>
      <c r="AQY17" s="196"/>
      <c r="AQZ17" s="196"/>
      <c r="ARA17" s="196"/>
      <c r="ARB17" s="196"/>
      <c r="ARC17" s="196"/>
      <c r="ARD17" s="196"/>
      <c r="ARE17" s="196"/>
      <c r="ARF17" s="196"/>
      <c r="ARG17" s="196"/>
      <c r="ARH17" s="196"/>
      <c r="ARI17" s="196"/>
      <c r="ARJ17" s="196"/>
      <c r="ARK17" s="196"/>
      <c r="ARL17" s="196"/>
      <c r="ARM17" s="196"/>
      <c r="ARN17" s="196"/>
      <c r="ARO17" s="196"/>
      <c r="ARP17" s="196"/>
      <c r="ARQ17" s="196"/>
      <c r="ARR17" s="196"/>
      <c r="ARS17" s="196"/>
      <c r="ART17" s="196"/>
      <c r="ARU17" s="196"/>
      <c r="ARV17" s="196"/>
      <c r="ARW17" s="196"/>
      <c r="ARX17" s="196"/>
      <c r="ARY17" s="196"/>
      <c r="ARZ17" s="196"/>
      <c r="ASA17" s="196"/>
      <c r="ASB17" s="196"/>
      <c r="ASC17" s="196"/>
      <c r="ASD17" s="196"/>
      <c r="ASE17" s="196"/>
      <c r="ASF17" s="196"/>
      <c r="ASG17" s="196"/>
      <c r="ASH17" s="196"/>
      <c r="ASI17" s="196"/>
      <c r="ASJ17" s="196"/>
      <c r="ASK17" s="196"/>
      <c r="ASL17" s="196"/>
      <c r="ASM17" s="196"/>
      <c r="ASN17" s="196"/>
      <c r="ASO17" s="196"/>
      <c r="ASP17" s="196"/>
      <c r="ASQ17" s="196"/>
      <c r="ASR17" s="196"/>
      <c r="ASS17" s="196"/>
      <c r="AST17" s="196"/>
      <c r="ASU17" s="196"/>
      <c r="ASV17" s="196"/>
      <c r="ASW17" s="196"/>
      <c r="ASX17" s="196"/>
      <c r="ASY17" s="196"/>
      <c r="ASZ17" s="196"/>
      <c r="ATA17" s="196"/>
      <c r="ATB17" s="196"/>
      <c r="ATC17" s="196"/>
      <c r="ATD17" s="196"/>
      <c r="ATE17" s="196"/>
      <c r="ATF17" s="196"/>
      <c r="ATG17" s="196"/>
      <c r="ATH17" s="196"/>
      <c r="ATI17" s="196"/>
      <c r="ATJ17" s="196"/>
      <c r="ATK17" s="196"/>
      <c r="ATL17" s="196"/>
      <c r="ATM17" s="196"/>
      <c r="ATN17" s="196"/>
      <c r="ATO17" s="196"/>
      <c r="ATP17" s="196"/>
      <c r="ATQ17" s="196"/>
      <c r="ATR17" s="196"/>
      <c r="ATS17" s="196"/>
      <c r="ATT17" s="196"/>
      <c r="ATU17" s="196"/>
      <c r="ATV17" s="196"/>
      <c r="ATW17" s="196"/>
      <c r="ATX17" s="196"/>
      <c r="ATY17" s="196"/>
      <c r="ATZ17" s="196"/>
      <c r="AUA17" s="196"/>
      <c r="AUB17" s="196"/>
      <c r="AUC17" s="196"/>
      <c r="AUD17" s="196"/>
      <c r="AUE17" s="196"/>
      <c r="AUF17" s="196"/>
      <c r="AUG17" s="196"/>
      <c r="AUH17" s="196"/>
      <c r="AUI17" s="196"/>
      <c r="AUJ17" s="196"/>
      <c r="AUK17" s="196"/>
      <c r="AUL17" s="196"/>
      <c r="AUM17" s="196"/>
      <c r="AUN17" s="196"/>
      <c r="AUO17" s="196"/>
      <c r="AUP17" s="196"/>
      <c r="AUQ17" s="196"/>
      <c r="AUR17" s="196"/>
      <c r="AUS17" s="196"/>
      <c r="AUT17" s="196"/>
      <c r="AUU17" s="196"/>
      <c r="AUV17" s="196"/>
      <c r="AUW17" s="196"/>
      <c r="AUX17" s="196"/>
      <c r="AUY17" s="196"/>
      <c r="AUZ17" s="196"/>
      <c r="AVA17" s="196"/>
      <c r="AVB17" s="196"/>
      <c r="AVC17" s="196"/>
      <c r="AVD17" s="196"/>
      <c r="AVE17" s="196"/>
      <c r="AVF17" s="196"/>
      <c r="AVG17" s="196"/>
      <c r="AVH17" s="196"/>
      <c r="AVI17" s="196"/>
      <c r="AVJ17" s="196"/>
      <c r="AVK17" s="196"/>
      <c r="AVL17" s="196"/>
      <c r="AVM17" s="196"/>
      <c r="AVN17" s="196"/>
      <c r="AVO17" s="196"/>
      <c r="AVP17" s="196"/>
      <c r="AVQ17" s="196"/>
      <c r="AVR17" s="196"/>
      <c r="AVS17" s="196"/>
      <c r="AVT17" s="196"/>
      <c r="AVU17" s="196"/>
      <c r="AVV17" s="196"/>
      <c r="AVW17" s="196"/>
      <c r="AVX17" s="196"/>
      <c r="AVY17" s="196"/>
      <c r="AVZ17" s="196"/>
      <c r="AWA17" s="196"/>
      <c r="AWB17" s="196"/>
      <c r="AWC17" s="196"/>
      <c r="AWD17" s="196"/>
      <c r="AWE17" s="196"/>
      <c r="AWF17" s="196"/>
      <c r="AWG17" s="196"/>
      <c r="AWH17" s="196"/>
      <c r="AWI17" s="196"/>
      <c r="AWJ17" s="196"/>
      <c r="AWK17" s="196"/>
      <c r="AWL17" s="196"/>
      <c r="AWM17" s="196"/>
      <c r="AWN17" s="196"/>
      <c r="AWO17" s="196"/>
      <c r="AWP17" s="196"/>
      <c r="AWQ17" s="196"/>
      <c r="AWR17" s="196"/>
      <c r="AWS17" s="196"/>
      <c r="AWT17" s="196"/>
      <c r="AWU17" s="196"/>
      <c r="AWV17" s="196"/>
      <c r="AWW17" s="196"/>
      <c r="AWX17" s="196"/>
      <c r="AWY17" s="196"/>
      <c r="AWZ17" s="196"/>
      <c r="AXA17" s="196"/>
      <c r="AXB17" s="196"/>
      <c r="AXC17" s="196"/>
      <c r="AXD17" s="196"/>
      <c r="AXE17" s="196"/>
      <c r="AXF17" s="196"/>
      <c r="AXG17" s="196"/>
      <c r="AXH17" s="196"/>
      <c r="AXI17" s="196"/>
      <c r="AXJ17" s="196"/>
      <c r="AXK17" s="196"/>
      <c r="AXL17" s="196"/>
      <c r="AXM17" s="196"/>
      <c r="AXN17" s="196"/>
      <c r="AXO17" s="196"/>
      <c r="AXP17" s="196"/>
      <c r="AXQ17" s="196"/>
      <c r="AXR17" s="196"/>
      <c r="AXS17" s="196"/>
      <c r="AXT17" s="196"/>
      <c r="AXU17" s="196"/>
      <c r="AXV17" s="196"/>
      <c r="AXW17" s="196"/>
      <c r="AXX17" s="196"/>
      <c r="AXY17" s="196"/>
      <c r="AXZ17" s="196"/>
      <c r="AYA17" s="196"/>
      <c r="AYB17" s="196"/>
      <c r="AYC17" s="196"/>
      <c r="AYD17" s="196"/>
      <c r="AYE17" s="196"/>
      <c r="AYF17" s="196"/>
      <c r="AYG17" s="196"/>
      <c r="AYH17" s="196"/>
      <c r="AYI17" s="196"/>
      <c r="AYJ17" s="196"/>
      <c r="AYK17" s="196"/>
      <c r="AYL17" s="196"/>
      <c r="AYM17" s="196"/>
      <c r="AYN17" s="196"/>
      <c r="AYO17" s="196"/>
      <c r="AYP17" s="196"/>
      <c r="AYQ17" s="196"/>
      <c r="AYR17" s="196"/>
      <c r="AYS17" s="196"/>
      <c r="AYT17" s="196"/>
      <c r="AYU17" s="196"/>
      <c r="AYV17" s="196"/>
      <c r="AYW17" s="196"/>
      <c r="AYX17" s="196"/>
      <c r="AYY17" s="196"/>
      <c r="AYZ17" s="196"/>
      <c r="AZA17" s="196"/>
      <c r="AZB17" s="196"/>
      <c r="AZC17" s="196"/>
      <c r="AZD17" s="196"/>
      <c r="AZE17" s="196"/>
      <c r="AZF17" s="196"/>
      <c r="AZG17" s="196"/>
      <c r="AZH17" s="196"/>
      <c r="AZI17" s="196"/>
      <c r="AZJ17" s="196"/>
      <c r="AZK17" s="196"/>
      <c r="AZL17" s="196"/>
      <c r="AZM17" s="196"/>
      <c r="AZN17" s="196"/>
      <c r="AZO17" s="196"/>
      <c r="AZP17" s="196"/>
      <c r="AZQ17" s="196"/>
      <c r="AZR17" s="196"/>
      <c r="AZS17" s="196"/>
      <c r="AZT17" s="196"/>
      <c r="AZU17" s="196"/>
      <c r="AZV17" s="196"/>
      <c r="AZW17" s="196"/>
      <c r="AZX17" s="196"/>
      <c r="AZY17" s="196"/>
      <c r="AZZ17" s="196"/>
      <c r="BAA17" s="196"/>
      <c r="BAB17" s="196"/>
      <c r="BAC17" s="196"/>
      <c r="BAD17" s="196"/>
      <c r="BAE17" s="196"/>
      <c r="BAF17" s="196"/>
      <c r="BAG17" s="196"/>
      <c r="BAH17" s="196"/>
      <c r="BAI17" s="196"/>
      <c r="BAJ17" s="196"/>
      <c r="BAK17" s="196"/>
      <c r="BAL17" s="196"/>
      <c r="BAM17" s="196"/>
      <c r="BAN17" s="196"/>
      <c r="BAO17" s="196"/>
      <c r="BAP17" s="196"/>
      <c r="BAQ17" s="196"/>
      <c r="BAR17" s="196"/>
      <c r="BAS17" s="196"/>
      <c r="BAT17" s="196"/>
      <c r="BAU17" s="196"/>
      <c r="BAV17" s="196"/>
      <c r="BAW17" s="196"/>
      <c r="BAX17" s="196"/>
      <c r="BAY17" s="196"/>
      <c r="BAZ17" s="196"/>
      <c r="BBA17" s="196"/>
      <c r="BBB17" s="196"/>
      <c r="BBC17" s="196"/>
      <c r="BBD17" s="196"/>
      <c r="BBE17" s="196"/>
      <c r="BBF17" s="196"/>
      <c r="BBG17" s="196"/>
      <c r="BBH17" s="196"/>
      <c r="BBI17" s="196"/>
      <c r="BBJ17" s="196"/>
      <c r="BBK17" s="196"/>
      <c r="BBL17" s="196"/>
      <c r="BBM17" s="196"/>
      <c r="BBN17" s="196"/>
      <c r="BBO17" s="196"/>
      <c r="BBP17" s="196"/>
      <c r="BBQ17" s="196"/>
      <c r="BBR17" s="196"/>
      <c r="BBS17" s="196"/>
      <c r="BBT17" s="196"/>
      <c r="BBU17" s="196"/>
      <c r="BBV17" s="196"/>
      <c r="BBW17" s="196"/>
      <c r="BBX17" s="196"/>
      <c r="BBY17" s="196"/>
      <c r="BBZ17" s="196"/>
      <c r="BCA17" s="196"/>
      <c r="BCB17" s="196"/>
      <c r="BCC17" s="196"/>
      <c r="BCD17" s="196"/>
      <c r="BCE17" s="196"/>
      <c r="BCF17" s="196"/>
      <c r="BCG17" s="196"/>
      <c r="BCH17" s="196"/>
      <c r="BCI17" s="196"/>
      <c r="BCJ17" s="196"/>
      <c r="BCK17" s="196"/>
      <c r="BCL17" s="196"/>
      <c r="BCM17" s="196"/>
      <c r="BCN17" s="196"/>
      <c r="BCO17" s="196"/>
      <c r="BCP17" s="196"/>
      <c r="BCQ17" s="196"/>
      <c r="BCR17" s="196"/>
      <c r="BCS17" s="196"/>
      <c r="BCT17" s="196"/>
      <c r="BCU17" s="196"/>
      <c r="BCV17" s="196"/>
      <c r="BCW17" s="196"/>
      <c r="BCX17" s="196"/>
      <c r="BCY17" s="196"/>
      <c r="BCZ17" s="196"/>
      <c r="BDA17" s="196"/>
      <c r="BDB17" s="196"/>
      <c r="BDC17" s="196"/>
      <c r="BDD17" s="196"/>
      <c r="BDE17" s="196"/>
      <c r="BDF17" s="196"/>
      <c r="BDG17" s="196"/>
      <c r="BDH17" s="196"/>
      <c r="BDI17" s="196"/>
      <c r="BDJ17" s="196"/>
      <c r="BDK17" s="196"/>
      <c r="BDL17" s="196"/>
      <c r="BDM17" s="196"/>
      <c r="BDN17" s="196"/>
      <c r="BDO17" s="196"/>
      <c r="BDP17" s="196"/>
      <c r="BDQ17" s="196"/>
      <c r="BDR17" s="196"/>
      <c r="BDS17" s="196"/>
      <c r="BDT17" s="196"/>
      <c r="BDU17" s="196"/>
      <c r="BDV17" s="196"/>
      <c r="BDW17" s="196"/>
      <c r="BDX17" s="196"/>
      <c r="BDY17" s="196"/>
      <c r="BDZ17" s="196"/>
      <c r="BEA17" s="196"/>
      <c r="BEB17" s="196"/>
      <c r="BEC17" s="196"/>
      <c r="BED17" s="196"/>
      <c r="BEE17" s="196"/>
      <c r="BEF17" s="196"/>
      <c r="BEG17" s="196"/>
      <c r="BEH17" s="196"/>
      <c r="BEI17" s="196"/>
      <c r="BEJ17" s="196"/>
      <c r="BEK17" s="196"/>
      <c r="BEL17" s="196"/>
      <c r="BEM17" s="196"/>
      <c r="BEN17" s="196"/>
      <c r="BEO17" s="196"/>
      <c r="BEP17" s="196"/>
      <c r="BEQ17" s="196"/>
      <c r="BER17" s="196"/>
      <c r="BES17" s="196"/>
      <c r="BET17" s="196"/>
      <c r="BEU17" s="196"/>
      <c r="BEV17" s="196"/>
      <c r="BEW17" s="196"/>
      <c r="BEX17" s="196"/>
      <c r="BEY17" s="196"/>
      <c r="BEZ17" s="196"/>
      <c r="BFA17" s="196"/>
      <c r="BFB17" s="196"/>
      <c r="BFC17" s="196"/>
      <c r="BFD17" s="196"/>
      <c r="BFE17" s="196"/>
      <c r="BFF17" s="196"/>
      <c r="BFG17" s="196"/>
      <c r="BFH17" s="196"/>
      <c r="BFI17" s="196"/>
      <c r="BFJ17" s="196"/>
      <c r="BFK17" s="196"/>
      <c r="BFL17" s="196"/>
      <c r="BFM17" s="196"/>
      <c r="BFN17" s="196"/>
      <c r="BFO17" s="196"/>
      <c r="BFP17" s="196"/>
      <c r="BFQ17" s="196"/>
      <c r="BFR17" s="196"/>
      <c r="BFS17" s="196"/>
      <c r="BFT17" s="196"/>
      <c r="BFU17" s="196"/>
      <c r="BFV17" s="196"/>
      <c r="BFW17" s="196"/>
      <c r="BFX17" s="196"/>
      <c r="BFY17" s="196"/>
      <c r="BFZ17" s="196"/>
      <c r="BGA17" s="196"/>
      <c r="BGB17" s="196"/>
      <c r="BGC17" s="196"/>
      <c r="BGD17" s="196"/>
      <c r="BGE17" s="196"/>
      <c r="BGF17" s="196"/>
      <c r="BGG17" s="196"/>
      <c r="BGH17" s="196"/>
      <c r="BGI17" s="196"/>
      <c r="BGJ17" s="196"/>
      <c r="BGK17" s="196"/>
      <c r="BGL17" s="196"/>
      <c r="BGM17" s="196"/>
      <c r="BGN17" s="196"/>
      <c r="BGO17" s="196"/>
      <c r="BGP17" s="196"/>
      <c r="BGQ17" s="196"/>
      <c r="BGR17" s="196"/>
      <c r="BGS17" s="196"/>
      <c r="BGT17" s="196"/>
      <c r="BGU17" s="196"/>
      <c r="BGV17" s="196"/>
      <c r="BGW17" s="196"/>
      <c r="BGX17" s="196"/>
      <c r="BGY17" s="196"/>
      <c r="BGZ17" s="196"/>
      <c r="BHA17" s="196"/>
      <c r="BHB17" s="196"/>
      <c r="BHC17" s="196"/>
      <c r="BHD17" s="196"/>
      <c r="BHE17" s="196"/>
      <c r="BHF17" s="196"/>
      <c r="BHG17" s="196"/>
      <c r="BHH17" s="196"/>
      <c r="BHI17" s="196"/>
      <c r="BHJ17" s="196"/>
      <c r="BHK17" s="196"/>
      <c r="BHL17" s="196"/>
      <c r="BHM17" s="196"/>
      <c r="BHN17" s="196"/>
      <c r="BHO17" s="196"/>
      <c r="BHP17" s="196"/>
      <c r="BHQ17" s="196"/>
      <c r="BHR17" s="196"/>
      <c r="BHS17" s="196"/>
      <c r="BHT17" s="196"/>
      <c r="BHU17" s="196"/>
      <c r="BHV17" s="196"/>
      <c r="BHW17" s="196"/>
      <c r="BHX17" s="196"/>
      <c r="BHY17" s="196"/>
      <c r="BHZ17" s="196"/>
      <c r="BIA17" s="196"/>
      <c r="BIB17" s="196"/>
      <c r="BIC17" s="196"/>
      <c r="BID17" s="196"/>
      <c r="BIE17" s="196"/>
      <c r="BIF17" s="196"/>
      <c r="BIG17" s="196"/>
      <c r="BIH17" s="196"/>
      <c r="BII17" s="196"/>
      <c r="BIJ17" s="196"/>
      <c r="BIK17" s="196"/>
      <c r="BIL17" s="196"/>
      <c r="BIM17" s="196"/>
      <c r="BIN17" s="196"/>
      <c r="BIO17" s="196"/>
      <c r="BIP17" s="196"/>
      <c r="BIQ17" s="196"/>
      <c r="BIR17" s="196"/>
      <c r="BIS17" s="196"/>
      <c r="BIT17" s="196"/>
      <c r="BIU17" s="196"/>
      <c r="BIV17" s="196"/>
      <c r="BIW17" s="196"/>
      <c r="BIX17" s="196"/>
      <c r="BIY17" s="196"/>
      <c r="BIZ17" s="196"/>
      <c r="BJA17" s="196"/>
      <c r="BJB17" s="196"/>
      <c r="BJC17" s="196"/>
      <c r="BJD17" s="196"/>
      <c r="BJE17" s="196"/>
      <c r="BJF17" s="196"/>
      <c r="BJG17" s="196"/>
      <c r="BJH17" s="196"/>
      <c r="BJI17" s="196"/>
      <c r="BJJ17" s="196"/>
      <c r="BJK17" s="196"/>
      <c r="BJL17" s="196"/>
      <c r="BJM17" s="196"/>
      <c r="BJN17" s="196"/>
      <c r="BJO17" s="196"/>
      <c r="BJP17" s="196"/>
      <c r="BJQ17" s="196"/>
      <c r="BJR17" s="196"/>
      <c r="BJS17" s="196"/>
      <c r="BJT17" s="196"/>
      <c r="BJU17" s="196"/>
      <c r="BJV17" s="196"/>
      <c r="BJW17" s="196"/>
      <c r="BJX17" s="196"/>
      <c r="BJY17" s="196"/>
      <c r="BJZ17" s="196"/>
      <c r="BKA17" s="196"/>
      <c r="BKB17" s="196"/>
      <c r="BKC17" s="196"/>
      <c r="BKD17" s="196"/>
      <c r="BKE17" s="196"/>
      <c r="BKF17" s="196"/>
      <c r="BKG17" s="196"/>
      <c r="BKH17" s="196"/>
      <c r="BKI17" s="196"/>
      <c r="BKJ17" s="196"/>
      <c r="BKK17" s="196"/>
      <c r="BKL17" s="196"/>
      <c r="BKM17" s="196"/>
      <c r="BKN17" s="196"/>
      <c r="BKO17" s="196"/>
      <c r="BKP17" s="196"/>
      <c r="BKQ17" s="196"/>
      <c r="BKR17" s="196"/>
      <c r="BKS17" s="196"/>
      <c r="BKT17" s="196"/>
      <c r="BKU17" s="196"/>
      <c r="BKV17" s="196"/>
      <c r="BKW17" s="196"/>
      <c r="BKX17" s="196"/>
      <c r="BKY17" s="196"/>
      <c r="BKZ17" s="196"/>
      <c r="BLA17" s="196"/>
      <c r="BLB17" s="196"/>
      <c r="BLC17" s="196"/>
      <c r="BLD17" s="196"/>
      <c r="BLE17" s="196"/>
      <c r="BLF17" s="196"/>
      <c r="BLG17" s="196"/>
      <c r="BLH17" s="196"/>
      <c r="BLI17" s="196"/>
      <c r="BLJ17" s="196"/>
      <c r="BLK17" s="196"/>
      <c r="BLL17" s="196"/>
      <c r="BLM17" s="196"/>
      <c r="BLN17" s="196"/>
      <c r="BLO17" s="196"/>
      <c r="BLP17" s="196"/>
      <c r="BLQ17" s="196"/>
      <c r="BLR17" s="196"/>
      <c r="BLS17" s="196"/>
      <c r="BLT17" s="196"/>
      <c r="BLU17" s="196"/>
      <c r="BLV17" s="196"/>
      <c r="BLW17" s="196"/>
      <c r="BLX17" s="196"/>
      <c r="BLY17" s="196"/>
      <c r="BLZ17" s="196"/>
      <c r="BMA17" s="196"/>
      <c r="BMB17" s="196"/>
      <c r="BMC17" s="196"/>
      <c r="BMD17" s="196"/>
      <c r="BME17" s="196"/>
      <c r="BMF17" s="196"/>
      <c r="BMG17" s="196"/>
      <c r="BMH17" s="196"/>
      <c r="BMI17" s="196"/>
      <c r="BMJ17" s="196"/>
      <c r="BMK17" s="196"/>
      <c r="BML17" s="196"/>
      <c r="BMM17" s="196"/>
      <c r="BMN17" s="196"/>
      <c r="BMO17" s="196"/>
      <c r="BMP17" s="196"/>
      <c r="BMQ17" s="196"/>
      <c r="BMR17" s="196"/>
      <c r="BMS17" s="196"/>
      <c r="BMT17" s="196"/>
      <c r="BMU17" s="196"/>
      <c r="BMV17" s="196"/>
      <c r="BMW17" s="196"/>
      <c r="BMX17" s="196"/>
      <c r="BMY17" s="196"/>
      <c r="BMZ17" s="196"/>
      <c r="BNA17" s="196"/>
      <c r="BNB17" s="196"/>
      <c r="BNC17" s="196"/>
      <c r="BND17" s="196"/>
      <c r="BNE17" s="196"/>
      <c r="BNF17" s="196"/>
      <c r="BNG17" s="196"/>
      <c r="BNH17" s="196"/>
      <c r="BNI17" s="196"/>
      <c r="BNJ17" s="196"/>
      <c r="BNK17" s="196"/>
      <c r="BNL17" s="196"/>
      <c r="BNM17" s="196"/>
      <c r="BNN17" s="196"/>
      <c r="BNO17" s="196"/>
      <c r="BNP17" s="196"/>
      <c r="BNQ17" s="196"/>
      <c r="BNR17" s="196"/>
      <c r="BNS17" s="196"/>
      <c r="BNT17" s="196"/>
      <c r="BNU17" s="196"/>
      <c r="BNV17" s="196"/>
      <c r="BNW17" s="196"/>
      <c r="BNX17" s="196"/>
      <c r="BNY17" s="196"/>
      <c r="BNZ17" s="196"/>
      <c r="BOA17" s="196"/>
      <c r="BOB17" s="196"/>
      <c r="BOC17" s="196"/>
      <c r="BOD17" s="196"/>
      <c r="BOE17" s="196"/>
      <c r="BOF17" s="196"/>
      <c r="BOG17" s="196"/>
      <c r="BOH17" s="196"/>
      <c r="BOI17" s="196"/>
      <c r="BOJ17" s="196"/>
      <c r="BOK17" s="196"/>
      <c r="BOL17" s="196"/>
      <c r="BOM17" s="196"/>
      <c r="BON17" s="196"/>
      <c r="BOO17" s="196"/>
      <c r="BOP17" s="196"/>
      <c r="BOQ17" s="196"/>
      <c r="BOR17" s="196"/>
      <c r="BOS17" s="196"/>
      <c r="BOT17" s="196"/>
      <c r="BOU17" s="196"/>
      <c r="BOV17" s="196"/>
      <c r="BOW17" s="196"/>
      <c r="BOX17" s="196"/>
      <c r="BOY17" s="196"/>
      <c r="BOZ17" s="196"/>
      <c r="BPA17" s="196"/>
      <c r="BPB17" s="196"/>
      <c r="BPC17" s="196"/>
      <c r="BPD17" s="196"/>
      <c r="BPE17" s="196"/>
      <c r="BPF17" s="196"/>
      <c r="BPG17" s="196"/>
      <c r="BPH17" s="196"/>
      <c r="BPI17" s="196"/>
      <c r="BPJ17" s="196"/>
      <c r="BPK17" s="196"/>
      <c r="BPL17" s="196"/>
      <c r="BPM17" s="196"/>
      <c r="BPN17" s="196"/>
      <c r="BPO17" s="196"/>
      <c r="BPP17" s="196"/>
      <c r="BPQ17" s="196"/>
      <c r="BPR17" s="196"/>
      <c r="BPS17" s="196"/>
      <c r="BPT17" s="196"/>
      <c r="BPU17" s="196"/>
      <c r="BPV17" s="196"/>
      <c r="BPW17" s="196"/>
      <c r="BPX17" s="196"/>
      <c r="BPY17" s="196"/>
      <c r="BPZ17" s="196"/>
      <c r="BQA17" s="196"/>
      <c r="BQB17" s="196"/>
      <c r="BQC17" s="196"/>
      <c r="BQD17" s="196"/>
      <c r="BQE17" s="196"/>
      <c r="BQF17" s="196"/>
      <c r="BQG17" s="196"/>
      <c r="BQH17" s="196"/>
      <c r="BQI17" s="196"/>
      <c r="BQJ17" s="196"/>
      <c r="BQK17" s="196"/>
      <c r="BQL17" s="196"/>
      <c r="BQM17" s="196"/>
      <c r="BQN17" s="196"/>
      <c r="BQO17" s="196"/>
      <c r="BQP17" s="196"/>
      <c r="BQQ17" s="196"/>
      <c r="BQR17" s="196"/>
      <c r="BQS17" s="196"/>
      <c r="BQT17" s="196"/>
      <c r="BQU17" s="196"/>
      <c r="BQV17" s="196"/>
      <c r="BQW17" s="196"/>
      <c r="BQX17" s="196"/>
      <c r="BQY17" s="196"/>
      <c r="BQZ17" s="196"/>
      <c r="BRA17" s="196"/>
      <c r="BRB17" s="196"/>
      <c r="BRC17" s="196"/>
      <c r="BRD17" s="196"/>
      <c r="BRE17" s="196"/>
      <c r="BRF17" s="196"/>
      <c r="BRG17" s="196"/>
      <c r="BRH17" s="196"/>
      <c r="BRI17" s="196"/>
      <c r="BRJ17" s="196"/>
      <c r="BRK17" s="196"/>
      <c r="BRL17" s="196"/>
      <c r="BRM17" s="196"/>
      <c r="BRN17" s="196"/>
      <c r="BRO17" s="196"/>
      <c r="BRP17" s="196"/>
      <c r="BRQ17" s="196"/>
      <c r="BRR17" s="196"/>
      <c r="BRS17" s="196"/>
      <c r="BRT17" s="196"/>
      <c r="BRU17" s="196"/>
      <c r="BRV17" s="196"/>
      <c r="BRW17" s="196"/>
      <c r="BRX17" s="196"/>
      <c r="BRY17" s="196"/>
      <c r="BRZ17" s="196"/>
      <c r="BSA17" s="196"/>
      <c r="BSB17" s="196"/>
      <c r="BSC17" s="196"/>
      <c r="BSD17" s="196"/>
      <c r="BSE17" s="196"/>
      <c r="BSF17" s="196"/>
      <c r="BSG17" s="196"/>
      <c r="BSH17" s="196"/>
      <c r="BSI17" s="196"/>
      <c r="BSJ17" s="196"/>
      <c r="BSK17" s="196"/>
      <c r="BSL17" s="196"/>
      <c r="BSM17" s="196"/>
      <c r="BSN17" s="196"/>
      <c r="BSO17" s="196"/>
      <c r="BSP17" s="196"/>
      <c r="BSQ17" s="196"/>
      <c r="BSR17" s="196"/>
      <c r="BSS17" s="196"/>
      <c r="BST17" s="196"/>
      <c r="BSU17" s="196"/>
      <c r="BSV17" s="196"/>
      <c r="BSW17" s="196"/>
      <c r="BSX17" s="196"/>
      <c r="BSY17" s="196"/>
      <c r="BSZ17" s="196"/>
      <c r="BTA17" s="196"/>
      <c r="BTB17" s="196"/>
      <c r="BTC17" s="196"/>
      <c r="BTD17" s="196"/>
      <c r="BTE17" s="196"/>
      <c r="BTF17" s="196"/>
      <c r="BTG17" s="196"/>
      <c r="BTH17" s="196"/>
      <c r="BTI17" s="196"/>
      <c r="BTJ17" s="196"/>
      <c r="BTK17" s="196"/>
      <c r="BTL17" s="196"/>
      <c r="BTM17" s="196"/>
      <c r="BTN17" s="196"/>
      <c r="BTO17" s="196"/>
      <c r="BTP17" s="196"/>
      <c r="BTQ17" s="196"/>
      <c r="BTR17" s="196"/>
      <c r="BTS17" s="196"/>
      <c r="BTT17" s="196"/>
      <c r="BTU17" s="196"/>
      <c r="BTV17" s="196"/>
      <c r="BTW17" s="196"/>
      <c r="BTX17" s="196"/>
      <c r="BTY17" s="196"/>
      <c r="BTZ17" s="196"/>
      <c r="BUA17" s="196"/>
      <c r="BUB17" s="196"/>
      <c r="BUC17" s="196"/>
      <c r="BUD17" s="196"/>
      <c r="BUE17" s="196"/>
      <c r="BUF17" s="196"/>
      <c r="BUG17" s="196"/>
      <c r="BUH17" s="196"/>
      <c r="BUI17" s="196"/>
      <c r="BUJ17" s="196"/>
      <c r="BUK17" s="196"/>
      <c r="BUL17" s="196"/>
      <c r="BUM17" s="196"/>
      <c r="BUN17" s="196"/>
      <c r="BUO17" s="196"/>
      <c r="BUP17" s="196"/>
      <c r="BUQ17" s="196"/>
      <c r="BUR17" s="196"/>
      <c r="BUS17" s="196"/>
      <c r="BUT17" s="196"/>
      <c r="BUU17" s="196"/>
      <c r="BUV17" s="196"/>
      <c r="BUW17" s="196"/>
      <c r="BUX17" s="196"/>
      <c r="BUY17" s="196"/>
      <c r="BUZ17" s="196"/>
      <c r="BVA17" s="196"/>
      <c r="BVB17" s="196"/>
      <c r="BVC17" s="196"/>
      <c r="BVD17" s="196"/>
      <c r="BVE17" s="196"/>
      <c r="BVF17" s="196"/>
      <c r="BVG17" s="196"/>
      <c r="BVH17" s="196"/>
      <c r="BVI17" s="196"/>
      <c r="BVJ17" s="196"/>
      <c r="BVK17" s="196"/>
      <c r="BVL17" s="196"/>
      <c r="BVM17" s="196"/>
      <c r="BVN17" s="196"/>
      <c r="BVO17" s="196"/>
      <c r="BVP17" s="196"/>
      <c r="BVQ17" s="196"/>
      <c r="BVR17" s="196"/>
      <c r="BVS17" s="196"/>
      <c r="BVT17" s="196"/>
      <c r="BVU17" s="196"/>
      <c r="BVV17" s="196"/>
      <c r="BVW17" s="196"/>
      <c r="BVX17" s="196"/>
      <c r="BVY17" s="196"/>
      <c r="BVZ17" s="196"/>
      <c r="BWA17" s="196"/>
      <c r="BWB17" s="196"/>
      <c r="BWC17" s="196"/>
      <c r="BWD17" s="196"/>
      <c r="BWE17" s="196"/>
      <c r="BWF17" s="196"/>
      <c r="BWG17" s="196"/>
      <c r="BWH17" s="196"/>
      <c r="BWI17" s="196"/>
      <c r="BWJ17" s="196"/>
      <c r="BWK17" s="196"/>
      <c r="BWL17" s="196"/>
      <c r="BWM17" s="196"/>
      <c r="BWN17" s="196"/>
      <c r="BWO17" s="196"/>
      <c r="BWP17" s="196"/>
      <c r="BWQ17" s="196"/>
      <c r="BWR17" s="196"/>
      <c r="BWS17" s="196"/>
      <c r="BWT17" s="196"/>
      <c r="BWU17" s="196"/>
      <c r="BWV17" s="196"/>
      <c r="BWW17" s="196"/>
      <c r="BWX17" s="196"/>
      <c r="BWY17" s="196"/>
      <c r="BWZ17" s="196"/>
      <c r="BXA17" s="196"/>
      <c r="BXB17" s="196"/>
      <c r="BXC17" s="196"/>
      <c r="BXD17" s="196"/>
      <c r="BXE17" s="196"/>
      <c r="BXF17" s="196"/>
      <c r="BXG17" s="196"/>
      <c r="BXH17" s="196"/>
      <c r="BXI17" s="196"/>
      <c r="BXJ17" s="196"/>
      <c r="BXK17" s="196"/>
      <c r="BXL17" s="196"/>
      <c r="BXM17" s="196"/>
      <c r="BXN17" s="196"/>
      <c r="BXO17" s="196"/>
      <c r="BXP17" s="196"/>
      <c r="BXQ17" s="196"/>
      <c r="BXR17" s="196"/>
      <c r="BXS17" s="196"/>
      <c r="BXT17" s="196"/>
      <c r="BXU17" s="196"/>
      <c r="BXV17" s="196"/>
      <c r="BXW17" s="196"/>
      <c r="BXX17" s="196"/>
      <c r="BXY17" s="196"/>
      <c r="BXZ17" s="196"/>
      <c r="BYA17" s="196"/>
      <c r="BYB17" s="196"/>
      <c r="BYC17" s="196"/>
      <c r="BYD17" s="196"/>
      <c r="BYE17" s="196"/>
      <c r="BYF17" s="196"/>
      <c r="BYG17" s="196"/>
      <c r="BYH17" s="196"/>
      <c r="BYI17" s="196"/>
      <c r="BYJ17" s="196"/>
      <c r="BYK17" s="196"/>
      <c r="BYL17" s="196"/>
      <c r="BYM17" s="196"/>
      <c r="BYN17" s="196"/>
      <c r="BYO17" s="196"/>
      <c r="BYP17" s="196"/>
      <c r="BYQ17" s="196"/>
      <c r="BYR17" s="196"/>
      <c r="BYS17" s="196"/>
      <c r="BYT17" s="196"/>
      <c r="BYU17" s="196"/>
      <c r="BYV17" s="196"/>
      <c r="BYW17" s="196"/>
      <c r="BYX17" s="196"/>
      <c r="BYY17" s="196"/>
      <c r="BYZ17" s="196"/>
      <c r="BZA17" s="196"/>
      <c r="BZB17" s="196"/>
      <c r="BZC17" s="196"/>
      <c r="BZD17" s="196"/>
      <c r="BZE17" s="196"/>
      <c r="BZF17" s="196"/>
      <c r="BZG17" s="196"/>
      <c r="BZH17" s="196"/>
      <c r="BZI17" s="196"/>
      <c r="BZJ17" s="196"/>
      <c r="BZK17" s="196"/>
      <c r="BZL17" s="196"/>
      <c r="BZM17" s="196"/>
      <c r="BZN17" s="196"/>
      <c r="BZO17" s="196"/>
      <c r="BZP17" s="196"/>
      <c r="BZQ17" s="196"/>
      <c r="BZR17" s="196"/>
      <c r="BZS17" s="196"/>
      <c r="BZT17" s="196"/>
      <c r="BZU17" s="196"/>
      <c r="BZV17" s="196"/>
      <c r="BZW17" s="196"/>
      <c r="BZX17" s="196"/>
      <c r="BZY17" s="196"/>
      <c r="BZZ17" s="196"/>
      <c r="CAA17" s="196"/>
      <c r="CAB17" s="196"/>
      <c r="CAC17" s="196"/>
      <c r="CAD17" s="196"/>
      <c r="CAE17" s="196"/>
      <c r="CAF17" s="196"/>
      <c r="CAG17" s="196"/>
      <c r="CAH17" s="196"/>
      <c r="CAI17" s="196"/>
      <c r="CAJ17" s="196"/>
      <c r="CAK17" s="196"/>
      <c r="CAL17" s="196"/>
      <c r="CAM17" s="196"/>
      <c r="CAN17" s="196"/>
      <c r="CAO17" s="196"/>
      <c r="CAP17" s="196"/>
      <c r="CAQ17" s="196"/>
      <c r="CAR17" s="196"/>
      <c r="CAS17" s="196"/>
      <c r="CAT17" s="196"/>
      <c r="CAU17" s="196"/>
      <c r="CAV17" s="196"/>
      <c r="CAW17" s="196"/>
      <c r="CAX17" s="196"/>
      <c r="CAY17" s="196"/>
      <c r="CAZ17" s="196"/>
      <c r="CBA17" s="196"/>
      <c r="CBB17" s="196"/>
      <c r="CBC17" s="196"/>
      <c r="CBD17" s="196"/>
      <c r="CBE17" s="196"/>
      <c r="CBF17" s="196"/>
      <c r="CBG17" s="196"/>
      <c r="CBH17" s="196"/>
      <c r="CBI17" s="196"/>
      <c r="CBJ17" s="196"/>
      <c r="CBK17" s="196"/>
      <c r="CBL17" s="196"/>
      <c r="CBM17" s="196"/>
      <c r="CBN17" s="196"/>
      <c r="CBO17" s="196"/>
      <c r="CBP17" s="196"/>
      <c r="CBQ17" s="196"/>
      <c r="CBR17" s="196"/>
      <c r="CBS17" s="196"/>
      <c r="CBT17" s="196"/>
      <c r="CBU17" s="196"/>
      <c r="CBV17" s="196"/>
      <c r="CBW17" s="196"/>
      <c r="CBX17" s="196"/>
      <c r="CBY17" s="196"/>
      <c r="CBZ17" s="196"/>
      <c r="CCA17" s="196"/>
      <c r="CCB17" s="196"/>
      <c r="CCC17" s="196"/>
      <c r="CCD17" s="196"/>
      <c r="CCE17" s="196"/>
      <c r="CCF17" s="196"/>
      <c r="CCG17" s="196"/>
      <c r="CCH17" s="196"/>
      <c r="CCI17" s="196"/>
      <c r="CCJ17" s="196"/>
      <c r="CCK17" s="196"/>
      <c r="CCL17" s="196"/>
      <c r="CCM17" s="196"/>
      <c r="CCN17" s="196"/>
      <c r="CCO17" s="196"/>
      <c r="CCP17" s="196"/>
      <c r="CCQ17" s="196"/>
      <c r="CCR17" s="196"/>
      <c r="CCS17" s="196"/>
      <c r="CCT17" s="196"/>
      <c r="CCU17" s="196"/>
      <c r="CCV17" s="196"/>
      <c r="CCW17" s="196"/>
      <c r="VEX17" s="195"/>
      <c r="VST17" s="194"/>
      <c r="VTB17" s="194"/>
    </row>
    <row r="18" spans="1:2129 15026:15026 15386:15394" s="193" customFormat="1" ht="16.149999999999999" customHeight="1" x14ac:dyDescent="0.25">
      <c r="A18" s="182" t="s">
        <v>55</v>
      </c>
      <c r="B18" s="182">
        <v>11</v>
      </c>
      <c r="C18" s="182"/>
      <c r="D18" s="182"/>
      <c r="E18" s="182"/>
      <c r="F18" s="182"/>
      <c r="G18" s="183" t="s">
        <v>227</v>
      </c>
      <c r="H18" s="184" t="s">
        <v>231</v>
      </c>
      <c r="I18" s="184"/>
      <c r="J18" s="185"/>
      <c r="K18" s="186"/>
      <c r="L18" s="186"/>
      <c r="M18" s="187"/>
      <c r="N18" s="186">
        <v>42998</v>
      </c>
      <c r="O18" s="186">
        <v>43091</v>
      </c>
      <c r="P18" s="187">
        <v>81</v>
      </c>
      <c r="Q18" s="188">
        <v>0</v>
      </c>
      <c r="R18" s="186"/>
      <c r="S18" s="186"/>
      <c r="T18" s="187"/>
      <c r="U18" s="189"/>
      <c r="V18" s="189"/>
      <c r="W18" s="189"/>
      <c r="X18" s="190"/>
      <c r="Y18" s="191"/>
      <c r="Z18" s="191"/>
      <c r="AA18" s="198"/>
      <c r="AB18" s="191"/>
      <c r="AC18" s="192"/>
      <c r="AD18" s="192"/>
      <c r="AE18" s="192"/>
      <c r="AF18" s="192"/>
      <c r="AG18" s="192"/>
      <c r="AH18" s="192"/>
      <c r="AI18" s="192"/>
      <c r="AJ18" s="192"/>
      <c r="AK18" s="192"/>
      <c r="AL18" s="192"/>
      <c r="AM18" s="192"/>
      <c r="AN18" s="192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2"/>
      <c r="AZ18" s="192"/>
      <c r="BA18" s="192"/>
      <c r="BB18" s="192"/>
      <c r="BC18" s="192"/>
      <c r="BD18" s="192"/>
      <c r="BE18" s="192"/>
      <c r="BF18" s="192"/>
      <c r="BG18" s="192"/>
      <c r="BH18" s="192"/>
      <c r="BI18" s="192"/>
      <c r="BJ18" s="192"/>
      <c r="BK18" s="192"/>
      <c r="BL18" s="192"/>
      <c r="BM18" s="192"/>
      <c r="BN18" s="192"/>
      <c r="BO18" s="192"/>
      <c r="BP18" s="192"/>
      <c r="BQ18" s="192"/>
      <c r="BR18" s="192"/>
      <c r="BS18" s="192"/>
      <c r="BT18" s="192"/>
      <c r="BU18" s="192"/>
      <c r="BV18" s="192"/>
      <c r="BW18" s="192"/>
      <c r="BX18" s="192"/>
      <c r="BY18" s="192"/>
      <c r="BZ18" s="192"/>
      <c r="CA18" s="192"/>
      <c r="CB18" s="192"/>
      <c r="CC18" s="192"/>
      <c r="CD18" s="192"/>
      <c r="CE18" s="192"/>
      <c r="CF18" s="192"/>
      <c r="CG18" s="196"/>
      <c r="CH18" s="196"/>
      <c r="CI18" s="196"/>
      <c r="CJ18" s="196"/>
      <c r="CK18" s="196"/>
      <c r="CL18" s="196"/>
      <c r="CM18" s="196"/>
      <c r="CN18" s="196"/>
      <c r="CO18" s="196"/>
      <c r="CP18" s="196"/>
      <c r="CQ18" s="196"/>
      <c r="CR18" s="196"/>
      <c r="CS18" s="196"/>
      <c r="CT18" s="196"/>
      <c r="CU18" s="196"/>
      <c r="CV18" s="196"/>
      <c r="CW18" s="196"/>
      <c r="CX18" s="196"/>
      <c r="CY18" s="196"/>
      <c r="CZ18" s="196"/>
      <c r="DA18" s="196"/>
      <c r="DB18" s="196"/>
      <c r="DC18" s="196"/>
      <c r="DD18" s="196"/>
      <c r="DE18" s="196"/>
      <c r="DF18" s="196"/>
      <c r="DG18" s="196"/>
      <c r="DH18" s="196"/>
      <c r="DI18" s="196"/>
      <c r="DJ18" s="196"/>
      <c r="DK18" s="196"/>
      <c r="DL18" s="196"/>
      <c r="DM18" s="196"/>
      <c r="DN18" s="196"/>
      <c r="DO18" s="196"/>
      <c r="DP18" s="196"/>
      <c r="DQ18" s="196"/>
      <c r="DR18" s="196"/>
      <c r="DS18" s="196"/>
      <c r="DT18" s="196"/>
      <c r="DU18" s="196"/>
      <c r="DV18" s="196"/>
      <c r="DW18" s="196"/>
      <c r="DX18" s="196"/>
      <c r="DY18" s="196"/>
      <c r="DZ18" s="196"/>
      <c r="EA18" s="196"/>
      <c r="EB18" s="196"/>
      <c r="EC18" s="196"/>
      <c r="ED18" s="196"/>
      <c r="EE18" s="196"/>
      <c r="EF18" s="196"/>
      <c r="EG18" s="196"/>
      <c r="EH18" s="196"/>
      <c r="EI18" s="196"/>
      <c r="EJ18" s="196"/>
      <c r="EK18" s="196"/>
      <c r="EL18" s="196"/>
      <c r="EM18" s="196"/>
      <c r="EN18" s="196"/>
      <c r="EO18" s="196"/>
      <c r="EP18" s="196"/>
      <c r="EQ18" s="196"/>
      <c r="ER18" s="196"/>
      <c r="ES18" s="196"/>
      <c r="ET18" s="196"/>
      <c r="EU18" s="196"/>
      <c r="EV18" s="196"/>
      <c r="EW18" s="196"/>
      <c r="EX18" s="196"/>
      <c r="EY18" s="196"/>
      <c r="EZ18" s="196"/>
      <c r="FA18" s="196"/>
      <c r="FB18" s="196"/>
      <c r="FC18" s="196"/>
      <c r="FD18" s="196"/>
      <c r="FE18" s="196"/>
      <c r="FF18" s="196"/>
      <c r="FG18" s="196"/>
      <c r="FH18" s="196"/>
      <c r="FI18" s="196"/>
      <c r="FJ18" s="196"/>
      <c r="FK18" s="196"/>
      <c r="FL18" s="196"/>
      <c r="FM18" s="196"/>
      <c r="FN18" s="196"/>
      <c r="FO18" s="196"/>
      <c r="FP18" s="196"/>
      <c r="FQ18" s="196"/>
      <c r="FR18" s="196"/>
      <c r="FS18" s="196"/>
      <c r="FT18" s="196"/>
      <c r="FU18" s="196"/>
      <c r="FV18" s="196"/>
      <c r="FW18" s="196"/>
      <c r="FX18" s="196"/>
      <c r="FY18" s="196"/>
      <c r="FZ18" s="196"/>
      <c r="GA18" s="196"/>
      <c r="GB18" s="196"/>
      <c r="GC18" s="196"/>
      <c r="GD18" s="196"/>
      <c r="GE18" s="196"/>
      <c r="GF18" s="196"/>
      <c r="GG18" s="196"/>
      <c r="GH18" s="196"/>
      <c r="GI18" s="196"/>
      <c r="GJ18" s="196"/>
      <c r="GK18" s="196"/>
      <c r="GL18" s="196"/>
      <c r="GM18" s="196"/>
      <c r="GN18" s="196"/>
      <c r="GO18" s="196"/>
      <c r="GP18" s="196"/>
      <c r="GQ18" s="196"/>
      <c r="GR18" s="196"/>
      <c r="GS18" s="196"/>
      <c r="GT18" s="196"/>
      <c r="GU18" s="196"/>
      <c r="GV18" s="196"/>
      <c r="GW18" s="196"/>
      <c r="GX18" s="196"/>
      <c r="GY18" s="196"/>
      <c r="GZ18" s="196"/>
      <c r="HA18" s="196"/>
      <c r="HB18" s="196"/>
      <c r="HC18" s="196"/>
      <c r="HD18" s="196"/>
      <c r="HE18" s="196"/>
      <c r="HF18" s="196"/>
      <c r="HG18" s="196"/>
      <c r="HH18" s="196"/>
      <c r="HI18" s="196"/>
      <c r="HJ18" s="196"/>
      <c r="HK18" s="196"/>
      <c r="HL18" s="196"/>
      <c r="HM18" s="196"/>
      <c r="HN18" s="196"/>
      <c r="HO18" s="196"/>
      <c r="HP18" s="196"/>
      <c r="HQ18" s="196"/>
      <c r="HR18" s="196"/>
      <c r="HS18" s="196"/>
      <c r="HT18" s="196"/>
      <c r="HU18" s="196"/>
      <c r="HV18" s="196"/>
      <c r="HW18" s="196"/>
      <c r="HX18" s="196"/>
      <c r="HY18" s="196"/>
      <c r="HZ18" s="196"/>
      <c r="IA18" s="196"/>
      <c r="IB18" s="196"/>
      <c r="IC18" s="196"/>
      <c r="ID18" s="196"/>
      <c r="IE18" s="196"/>
      <c r="IF18" s="196"/>
      <c r="IG18" s="196"/>
      <c r="IH18" s="196"/>
      <c r="II18" s="196"/>
      <c r="IJ18" s="196"/>
      <c r="IK18" s="196"/>
      <c r="IL18" s="196"/>
      <c r="IM18" s="196"/>
      <c r="IN18" s="196"/>
      <c r="IO18" s="196"/>
      <c r="IP18" s="196"/>
      <c r="IQ18" s="196"/>
      <c r="IR18" s="196"/>
      <c r="IS18" s="196"/>
      <c r="IT18" s="196"/>
      <c r="IU18" s="196"/>
      <c r="IV18" s="196"/>
      <c r="IW18" s="196"/>
      <c r="IX18" s="196"/>
      <c r="IY18" s="196"/>
      <c r="IZ18" s="196"/>
      <c r="JA18" s="196"/>
      <c r="JB18" s="196"/>
      <c r="JC18" s="196"/>
      <c r="JD18" s="196"/>
      <c r="JE18" s="196"/>
      <c r="JF18" s="196"/>
      <c r="JG18" s="196"/>
      <c r="JH18" s="196"/>
      <c r="JI18" s="196"/>
      <c r="JJ18" s="196"/>
      <c r="JK18" s="196"/>
      <c r="JL18" s="196"/>
      <c r="JM18" s="196"/>
      <c r="JN18" s="196"/>
      <c r="JO18" s="196"/>
      <c r="JP18" s="196"/>
      <c r="JQ18" s="196"/>
      <c r="JR18" s="196"/>
      <c r="JS18" s="196"/>
      <c r="JT18" s="196"/>
      <c r="JU18" s="196"/>
      <c r="JV18" s="196"/>
      <c r="JW18" s="196"/>
      <c r="JX18" s="196"/>
      <c r="JY18" s="196"/>
      <c r="JZ18" s="196"/>
      <c r="KA18" s="196"/>
      <c r="KB18" s="196"/>
      <c r="KC18" s="196"/>
      <c r="KD18" s="196"/>
      <c r="KE18" s="196"/>
      <c r="KF18" s="196"/>
      <c r="KG18" s="196"/>
      <c r="KH18" s="196"/>
      <c r="KI18" s="196"/>
      <c r="KJ18" s="196"/>
      <c r="KK18" s="196"/>
      <c r="KL18" s="196"/>
      <c r="KM18" s="196"/>
      <c r="KN18" s="196"/>
      <c r="KO18" s="196"/>
      <c r="KP18" s="196"/>
      <c r="KQ18" s="196"/>
      <c r="KR18" s="196"/>
      <c r="KS18" s="196"/>
      <c r="KT18" s="196"/>
      <c r="KU18" s="196"/>
      <c r="KV18" s="196"/>
      <c r="KW18" s="196"/>
      <c r="KX18" s="196"/>
      <c r="KY18" s="196"/>
      <c r="KZ18" s="196"/>
      <c r="LA18" s="196"/>
      <c r="LB18" s="196"/>
      <c r="LC18" s="196"/>
      <c r="LD18" s="196"/>
      <c r="LE18" s="196"/>
      <c r="LF18" s="196"/>
      <c r="LG18" s="196"/>
      <c r="LH18" s="196"/>
      <c r="LI18" s="196"/>
      <c r="LJ18" s="196"/>
      <c r="LK18" s="196"/>
      <c r="LL18" s="196"/>
      <c r="LM18" s="196"/>
      <c r="LN18" s="196"/>
      <c r="LO18" s="196"/>
      <c r="LP18" s="196"/>
      <c r="LQ18" s="196"/>
      <c r="LR18" s="196"/>
      <c r="LS18" s="196"/>
      <c r="LT18" s="196"/>
      <c r="LU18" s="196"/>
      <c r="LV18" s="196"/>
      <c r="LW18" s="196"/>
      <c r="LX18" s="196"/>
      <c r="LY18" s="196"/>
      <c r="LZ18" s="196"/>
      <c r="MA18" s="196"/>
      <c r="MB18" s="196"/>
      <c r="MC18" s="196"/>
      <c r="MD18" s="196"/>
      <c r="ME18" s="196"/>
      <c r="MF18" s="196"/>
      <c r="MG18" s="196"/>
      <c r="MH18" s="196"/>
      <c r="MI18" s="196"/>
      <c r="MJ18" s="196"/>
      <c r="MK18" s="196"/>
      <c r="ML18" s="196"/>
      <c r="MM18" s="196"/>
      <c r="MN18" s="196"/>
      <c r="MO18" s="196"/>
      <c r="MP18" s="196"/>
      <c r="MQ18" s="196"/>
      <c r="MR18" s="196"/>
      <c r="MS18" s="196"/>
      <c r="MT18" s="196"/>
      <c r="MU18" s="196"/>
      <c r="MV18" s="197"/>
      <c r="MW18" s="196"/>
      <c r="MX18" s="196"/>
      <c r="MY18" s="196"/>
      <c r="MZ18" s="196"/>
      <c r="NA18" s="196"/>
      <c r="NB18" s="196"/>
      <c r="NC18" s="196"/>
      <c r="ND18" s="196"/>
      <c r="NE18" s="196"/>
      <c r="NF18" s="196"/>
      <c r="NG18" s="196"/>
      <c r="NH18" s="196"/>
      <c r="NI18" s="196"/>
      <c r="NJ18" s="196"/>
      <c r="NK18" s="196"/>
      <c r="NL18" s="196"/>
      <c r="NM18" s="196"/>
      <c r="NN18" s="196"/>
      <c r="NO18" s="196"/>
      <c r="NP18" s="196"/>
      <c r="NQ18" s="196"/>
      <c r="NR18" s="196"/>
      <c r="NS18" s="196"/>
      <c r="NT18" s="196"/>
      <c r="NU18" s="196"/>
      <c r="NV18" s="196"/>
      <c r="NW18" s="196"/>
      <c r="NX18" s="196"/>
      <c r="NY18" s="196"/>
      <c r="NZ18" s="196"/>
      <c r="OA18" s="196"/>
      <c r="OB18" s="196"/>
      <c r="OC18" s="196"/>
      <c r="OD18" s="196"/>
      <c r="OE18" s="196"/>
      <c r="OF18" s="196"/>
      <c r="OG18" s="196"/>
      <c r="OH18" s="196"/>
      <c r="OI18" s="196"/>
      <c r="OJ18" s="196"/>
      <c r="OK18" s="196"/>
      <c r="OL18" s="196"/>
      <c r="OM18" s="196"/>
      <c r="ON18" s="196"/>
      <c r="OO18" s="196"/>
      <c r="OP18" s="196"/>
      <c r="OQ18" s="196"/>
      <c r="OR18" s="196"/>
      <c r="OS18" s="196"/>
      <c r="OT18" s="196"/>
      <c r="OU18" s="196"/>
      <c r="OV18" s="196"/>
      <c r="OW18" s="196"/>
      <c r="OX18" s="196"/>
      <c r="OY18" s="196"/>
      <c r="OZ18" s="196"/>
      <c r="PA18" s="196"/>
      <c r="PB18" s="196"/>
      <c r="PC18" s="196"/>
      <c r="PD18" s="196"/>
      <c r="PE18" s="196"/>
      <c r="PF18" s="196"/>
      <c r="PG18" s="196"/>
      <c r="PH18" s="196"/>
      <c r="PI18" s="196"/>
      <c r="PJ18" s="196"/>
      <c r="PK18" s="196"/>
      <c r="PL18" s="196"/>
      <c r="PM18" s="196"/>
      <c r="PN18" s="196"/>
      <c r="PO18" s="196"/>
      <c r="PP18" s="196"/>
      <c r="PQ18" s="196"/>
      <c r="PR18" s="196"/>
      <c r="PS18" s="196"/>
      <c r="PT18" s="196"/>
      <c r="PU18" s="196"/>
      <c r="PV18" s="196"/>
      <c r="PW18" s="196"/>
      <c r="PX18" s="196"/>
      <c r="PY18" s="196"/>
      <c r="PZ18" s="196"/>
      <c r="QA18" s="196"/>
      <c r="QB18" s="196"/>
      <c r="QC18" s="196"/>
      <c r="QD18" s="196"/>
      <c r="QE18" s="196"/>
      <c r="QF18" s="196"/>
      <c r="QG18" s="196"/>
      <c r="QH18" s="196"/>
      <c r="QI18" s="196"/>
      <c r="QJ18" s="196"/>
      <c r="QK18" s="196"/>
      <c r="QL18" s="196"/>
      <c r="QM18" s="196"/>
      <c r="QN18" s="196"/>
      <c r="QO18" s="196"/>
      <c r="QP18" s="196"/>
      <c r="QQ18" s="196"/>
      <c r="QR18" s="196"/>
      <c r="QS18" s="196"/>
      <c r="QT18" s="196"/>
      <c r="QU18" s="196"/>
      <c r="QV18" s="196"/>
      <c r="QW18" s="196"/>
      <c r="QX18" s="196"/>
      <c r="QY18" s="196"/>
      <c r="QZ18" s="196"/>
      <c r="RA18" s="196"/>
      <c r="RB18" s="196"/>
      <c r="RC18" s="196"/>
      <c r="RD18" s="196"/>
      <c r="RE18" s="196"/>
      <c r="RF18" s="196"/>
      <c r="RG18" s="196"/>
      <c r="RH18" s="196"/>
      <c r="RI18" s="196"/>
      <c r="RJ18" s="196"/>
      <c r="RK18" s="196"/>
      <c r="RL18" s="196"/>
      <c r="RM18" s="196"/>
      <c r="RN18" s="196"/>
      <c r="RO18" s="196"/>
      <c r="RP18" s="196"/>
      <c r="RQ18" s="196"/>
      <c r="RR18" s="196"/>
      <c r="RS18" s="196"/>
      <c r="RT18" s="196"/>
      <c r="RU18" s="196"/>
      <c r="RV18" s="196"/>
      <c r="RW18" s="196"/>
      <c r="RX18" s="196"/>
      <c r="RY18" s="196"/>
      <c r="RZ18" s="196"/>
      <c r="SA18" s="196"/>
      <c r="SB18" s="196"/>
      <c r="SC18" s="196"/>
      <c r="SD18" s="196"/>
      <c r="SE18" s="196"/>
      <c r="SF18" s="196"/>
      <c r="SG18" s="196"/>
      <c r="SH18" s="196"/>
      <c r="SI18" s="196"/>
      <c r="SJ18" s="196"/>
      <c r="SK18" s="196"/>
      <c r="SL18" s="196"/>
      <c r="SM18" s="196"/>
      <c r="SN18" s="196"/>
      <c r="SO18" s="196"/>
      <c r="SP18" s="196"/>
      <c r="SQ18" s="196"/>
      <c r="SR18" s="196"/>
      <c r="SS18" s="196"/>
      <c r="ST18" s="196"/>
      <c r="SU18" s="196"/>
      <c r="SV18" s="196"/>
      <c r="SW18" s="196"/>
      <c r="SX18" s="196"/>
      <c r="SY18" s="196"/>
      <c r="SZ18" s="196"/>
      <c r="TA18" s="196"/>
      <c r="TB18" s="196"/>
      <c r="TC18" s="196"/>
      <c r="TD18" s="196"/>
      <c r="TE18" s="196"/>
      <c r="TF18" s="196"/>
      <c r="TG18" s="196"/>
      <c r="TH18" s="196"/>
      <c r="TI18" s="196"/>
      <c r="TJ18" s="196"/>
      <c r="TK18" s="196"/>
      <c r="TL18" s="196"/>
      <c r="TM18" s="196"/>
      <c r="TN18" s="196"/>
      <c r="TO18" s="196"/>
      <c r="TP18" s="196"/>
      <c r="TQ18" s="196"/>
      <c r="TR18" s="196"/>
      <c r="TS18" s="196"/>
      <c r="TT18" s="196"/>
      <c r="TU18" s="196"/>
      <c r="TV18" s="196"/>
      <c r="TW18" s="196"/>
      <c r="TX18" s="196"/>
      <c r="TY18" s="196"/>
      <c r="TZ18" s="196"/>
      <c r="UA18" s="196"/>
      <c r="UB18" s="196"/>
      <c r="UC18" s="196"/>
      <c r="UD18" s="196"/>
      <c r="UE18" s="196"/>
      <c r="UF18" s="196"/>
      <c r="UG18" s="196"/>
      <c r="UH18" s="196"/>
      <c r="UI18" s="196"/>
      <c r="UJ18" s="196"/>
      <c r="UK18" s="196"/>
      <c r="UL18" s="196"/>
      <c r="UM18" s="196"/>
      <c r="UN18" s="196"/>
      <c r="UO18" s="196"/>
      <c r="UP18" s="196"/>
      <c r="UQ18" s="196"/>
      <c r="UR18" s="196"/>
      <c r="US18" s="196"/>
      <c r="UT18" s="196"/>
      <c r="UU18" s="196"/>
      <c r="UV18" s="196"/>
      <c r="UW18" s="196"/>
      <c r="UX18" s="196"/>
      <c r="UY18" s="196"/>
      <c r="UZ18" s="196"/>
      <c r="VA18" s="196"/>
      <c r="VB18" s="196"/>
      <c r="VC18" s="196"/>
      <c r="VD18" s="196"/>
      <c r="VE18" s="196"/>
      <c r="VF18" s="196"/>
      <c r="VG18" s="196"/>
      <c r="VH18" s="196"/>
      <c r="VI18" s="196"/>
      <c r="VJ18" s="196"/>
      <c r="VK18" s="196"/>
      <c r="VL18" s="196"/>
      <c r="VM18" s="196"/>
      <c r="VN18" s="196"/>
      <c r="VO18" s="196"/>
      <c r="VP18" s="196"/>
      <c r="VQ18" s="196"/>
      <c r="VR18" s="196"/>
      <c r="VS18" s="196"/>
      <c r="VT18" s="196"/>
      <c r="VU18" s="196"/>
      <c r="VV18" s="196"/>
      <c r="VW18" s="196"/>
      <c r="VX18" s="196"/>
      <c r="VY18" s="196"/>
      <c r="VZ18" s="196"/>
      <c r="WA18" s="196"/>
      <c r="WB18" s="196"/>
      <c r="WC18" s="196"/>
      <c r="WD18" s="196"/>
      <c r="WE18" s="196"/>
      <c r="WF18" s="196"/>
      <c r="WG18" s="196"/>
      <c r="WH18" s="196"/>
      <c r="WI18" s="196"/>
      <c r="WJ18" s="196"/>
      <c r="WK18" s="196"/>
      <c r="WL18" s="196"/>
      <c r="WM18" s="196"/>
      <c r="WN18" s="196"/>
      <c r="WO18" s="196"/>
      <c r="WP18" s="196"/>
      <c r="WQ18" s="196"/>
      <c r="WR18" s="196"/>
      <c r="WS18" s="196"/>
      <c r="WT18" s="196"/>
      <c r="WU18" s="196"/>
      <c r="WV18" s="196"/>
      <c r="WW18" s="196"/>
      <c r="WX18" s="196"/>
      <c r="WY18" s="196"/>
      <c r="WZ18" s="196"/>
      <c r="XA18" s="196"/>
      <c r="XB18" s="196"/>
      <c r="XC18" s="196"/>
      <c r="XD18" s="196"/>
      <c r="XE18" s="196"/>
      <c r="XF18" s="196"/>
      <c r="XG18" s="196"/>
      <c r="XH18" s="196"/>
      <c r="XI18" s="196"/>
      <c r="XJ18" s="196"/>
      <c r="XK18" s="196"/>
      <c r="XL18" s="196"/>
      <c r="XM18" s="196"/>
      <c r="XN18" s="196"/>
      <c r="XO18" s="196"/>
      <c r="XP18" s="196"/>
      <c r="XQ18" s="196"/>
      <c r="XR18" s="196"/>
      <c r="XS18" s="196"/>
      <c r="XT18" s="196"/>
      <c r="XU18" s="196"/>
      <c r="XV18" s="196"/>
      <c r="XW18" s="196"/>
      <c r="XX18" s="196"/>
      <c r="XY18" s="196"/>
      <c r="XZ18" s="196"/>
      <c r="YA18" s="196"/>
      <c r="YB18" s="196"/>
      <c r="YC18" s="196"/>
      <c r="YD18" s="196"/>
      <c r="YE18" s="196"/>
      <c r="YF18" s="196"/>
      <c r="YG18" s="196"/>
      <c r="YH18" s="196"/>
      <c r="YI18" s="196"/>
      <c r="YJ18" s="196"/>
      <c r="YK18" s="196"/>
      <c r="YL18" s="196"/>
      <c r="YM18" s="196"/>
      <c r="YN18" s="196"/>
      <c r="YO18" s="196"/>
      <c r="YP18" s="196"/>
      <c r="YQ18" s="196"/>
      <c r="YR18" s="196"/>
      <c r="YS18" s="196"/>
      <c r="YT18" s="196"/>
      <c r="YU18" s="196"/>
      <c r="YV18" s="196"/>
      <c r="YW18" s="196"/>
      <c r="YX18" s="196"/>
      <c r="YY18" s="196"/>
      <c r="YZ18" s="196"/>
      <c r="ZA18" s="196"/>
      <c r="ZB18" s="196"/>
      <c r="ZC18" s="196"/>
      <c r="ZD18" s="196"/>
      <c r="ZE18" s="196"/>
      <c r="ZF18" s="196"/>
      <c r="ZG18" s="196"/>
      <c r="ZH18" s="196"/>
      <c r="ZI18" s="196"/>
      <c r="ZJ18" s="196"/>
      <c r="ZK18" s="196"/>
      <c r="ZL18" s="196"/>
      <c r="ZM18" s="196"/>
      <c r="ZN18" s="196"/>
      <c r="ZO18" s="196"/>
      <c r="ZP18" s="196"/>
      <c r="ZQ18" s="196"/>
      <c r="ZR18" s="196"/>
      <c r="ZS18" s="196"/>
      <c r="ZT18" s="196"/>
      <c r="ZU18" s="196"/>
      <c r="ZV18" s="196"/>
      <c r="ZW18" s="196"/>
      <c r="ZX18" s="196"/>
      <c r="ZY18" s="196"/>
      <c r="ZZ18" s="196"/>
      <c r="AAA18" s="196"/>
      <c r="AAB18" s="196"/>
      <c r="AAC18" s="196"/>
      <c r="AAD18" s="196"/>
      <c r="AAE18" s="196"/>
      <c r="AAF18" s="196"/>
      <c r="AAG18" s="196"/>
      <c r="AAH18" s="196"/>
      <c r="AAI18" s="196"/>
      <c r="AAJ18" s="196"/>
      <c r="AAK18" s="196"/>
      <c r="AAL18" s="196"/>
      <c r="AAM18" s="196"/>
      <c r="AAN18" s="196"/>
      <c r="AAO18" s="196"/>
      <c r="AAP18" s="196"/>
      <c r="AAQ18" s="196"/>
      <c r="AAR18" s="196"/>
      <c r="AAS18" s="196"/>
      <c r="AAT18" s="196"/>
      <c r="AAU18" s="196"/>
      <c r="AAV18" s="196"/>
      <c r="AAW18" s="196"/>
      <c r="AAX18" s="196"/>
      <c r="AAY18" s="196"/>
      <c r="AAZ18" s="196"/>
      <c r="ABA18" s="196"/>
      <c r="ABB18" s="196"/>
      <c r="ABC18" s="196"/>
      <c r="ABD18" s="196"/>
      <c r="ABE18" s="196"/>
      <c r="ABF18" s="196"/>
      <c r="ABG18" s="196"/>
      <c r="ABH18" s="196"/>
      <c r="ABI18" s="196"/>
      <c r="ABJ18" s="196"/>
      <c r="ABK18" s="196"/>
      <c r="ABL18" s="196"/>
      <c r="ABM18" s="196"/>
      <c r="ABN18" s="196"/>
      <c r="ABO18" s="196"/>
      <c r="ABP18" s="196"/>
      <c r="ABQ18" s="196"/>
      <c r="ABR18" s="196"/>
      <c r="ABS18" s="196"/>
      <c r="ABT18" s="196"/>
      <c r="ABU18" s="196"/>
      <c r="ABV18" s="196"/>
      <c r="ABW18" s="196"/>
      <c r="ABX18" s="196"/>
      <c r="ABY18" s="196"/>
      <c r="ABZ18" s="196"/>
      <c r="ACA18" s="196"/>
      <c r="ACB18" s="196"/>
      <c r="ACC18" s="196"/>
      <c r="ACD18" s="196"/>
      <c r="ACE18" s="196"/>
      <c r="ACF18" s="196"/>
      <c r="ACG18" s="196"/>
      <c r="ACH18" s="196"/>
      <c r="ACI18" s="196"/>
      <c r="ACJ18" s="196"/>
      <c r="ACK18" s="196"/>
      <c r="ACL18" s="196"/>
      <c r="ACM18" s="196"/>
      <c r="ACN18" s="196"/>
      <c r="ACO18" s="196"/>
      <c r="ACP18" s="196"/>
      <c r="ACQ18" s="196"/>
      <c r="ACR18" s="196"/>
      <c r="ACS18" s="196"/>
      <c r="ACT18" s="196"/>
      <c r="ACU18" s="196"/>
      <c r="ACV18" s="196"/>
      <c r="ACW18" s="196"/>
      <c r="ACX18" s="196"/>
      <c r="ACY18" s="196"/>
      <c r="ACZ18" s="196"/>
      <c r="ADA18" s="196"/>
      <c r="ADB18" s="196"/>
      <c r="ADC18" s="196"/>
      <c r="ADD18" s="196"/>
      <c r="ADE18" s="196"/>
      <c r="ADF18" s="196"/>
      <c r="ADG18" s="196"/>
      <c r="ADH18" s="196"/>
      <c r="ADI18" s="196"/>
      <c r="ADJ18" s="196"/>
      <c r="ADK18" s="196"/>
      <c r="ADL18" s="196"/>
      <c r="ADM18" s="196"/>
      <c r="ADN18" s="196"/>
      <c r="ADO18" s="196"/>
      <c r="ADP18" s="196"/>
      <c r="ADQ18" s="196"/>
      <c r="ADR18" s="196"/>
      <c r="ADS18" s="196"/>
      <c r="ADT18" s="196"/>
      <c r="ADU18" s="196"/>
      <c r="ADV18" s="196"/>
      <c r="ADW18" s="196"/>
      <c r="ADX18" s="196"/>
      <c r="ADY18" s="196"/>
      <c r="ADZ18" s="196"/>
      <c r="AEA18" s="196"/>
      <c r="AEB18" s="196"/>
      <c r="AEC18" s="196"/>
      <c r="AED18" s="196"/>
      <c r="AEE18" s="196"/>
      <c r="AEF18" s="196"/>
      <c r="AEG18" s="196"/>
      <c r="AEH18" s="196"/>
      <c r="AEI18" s="196"/>
      <c r="AEJ18" s="196"/>
      <c r="AEK18" s="196"/>
      <c r="AEL18" s="196"/>
      <c r="AEM18" s="196"/>
      <c r="AEN18" s="196"/>
      <c r="AEO18" s="196"/>
      <c r="AEP18" s="196"/>
      <c r="AEQ18" s="196"/>
      <c r="AER18" s="196"/>
      <c r="AES18" s="196"/>
      <c r="AET18" s="196"/>
      <c r="AEU18" s="196"/>
      <c r="AEV18" s="196"/>
      <c r="AEW18" s="196"/>
      <c r="AEX18" s="196"/>
      <c r="AEY18" s="196"/>
      <c r="AEZ18" s="196"/>
      <c r="AFA18" s="196"/>
      <c r="AFB18" s="196"/>
      <c r="AFC18" s="196"/>
      <c r="AFD18" s="196"/>
      <c r="AFE18" s="196"/>
      <c r="AFF18" s="196"/>
      <c r="AFG18" s="196"/>
      <c r="AFH18" s="196"/>
      <c r="AFI18" s="196"/>
      <c r="AFJ18" s="196"/>
      <c r="AFK18" s="196"/>
      <c r="AFL18" s="196"/>
      <c r="AFM18" s="196"/>
      <c r="AFN18" s="196"/>
      <c r="AFO18" s="196"/>
      <c r="AFP18" s="196"/>
      <c r="AFQ18" s="196"/>
      <c r="AFR18" s="196"/>
      <c r="AFS18" s="196"/>
      <c r="AFT18" s="196"/>
      <c r="AFU18" s="196"/>
      <c r="AFV18" s="196"/>
      <c r="AFW18" s="196"/>
      <c r="AFX18" s="196"/>
      <c r="AFY18" s="196"/>
      <c r="AFZ18" s="196"/>
      <c r="AGA18" s="196"/>
      <c r="AGB18" s="196"/>
      <c r="AGC18" s="196"/>
      <c r="AGD18" s="196"/>
      <c r="AGE18" s="196"/>
      <c r="AGF18" s="196"/>
      <c r="AGG18" s="196"/>
      <c r="AGH18" s="196"/>
      <c r="AGI18" s="196"/>
      <c r="AGJ18" s="196"/>
      <c r="AGK18" s="196"/>
      <c r="AGL18" s="196"/>
      <c r="AGM18" s="196"/>
      <c r="AGN18" s="196"/>
      <c r="AGO18" s="196"/>
      <c r="AGP18" s="196"/>
      <c r="AGQ18" s="196"/>
      <c r="AGR18" s="196"/>
      <c r="AGS18" s="196"/>
      <c r="AGT18" s="196"/>
      <c r="AGU18" s="196"/>
      <c r="AGV18" s="196"/>
      <c r="AGW18" s="196"/>
      <c r="AGX18" s="196"/>
      <c r="AGY18" s="196"/>
      <c r="AGZ18" s="196"/>
      <c r="AHA18" s="196"/>
      <c r="AHB18" s="196"/>
      <c r="AHC18" s="196"/>
      <c r="AHD18" s="196"/>
      <c r="AHE18" s="196"/>
      <c r="AHF18" s="196"/>
      <c r="AHG18" s="196"/>
      <c r="AHH18" s="196"/>
      <c r="AHI18" s="196"/>
      <c r="AHJ18" s="196"/>
      <c r="AHK18" s="196"/>
      <c r="AHL18" s="196"/>
      <c r="AHM18" s="196"/>
      <c r="AHN18" s="196"/>
      <c r="AHO18" s="196"/>
      <c r="AHP18" s="196"/>
      <c r="AHQ18" s="196"/>
      <c r="AHR18" s="196"/>
      <c r="AHS18" s="196"/>
      <c r="AHT18" s="196"/>
      <c r="AHU18" s="196"/>
      <c r="AHV18" s="196"/>
      <c r="AHW18" s="196"/>
      <c r="AHX18" s="196"/>
      <c r="AHY18" s="196"/>
      <c r="AHZ18" s="196"/>
      <c r="AIA18" s="196"/>
      <c r="AIB18" s="196"/>
      <c r="AIC18" s="196"/>
      <c r="AID18" s="196"/>
      <c r="AIE18" s="196"/>
      <c r="AIF18" s="196"/>
      <c r="AIG18" s="196"/>
      <c r="AIH18" s="196"/>
      <c r="AII18" s="196"/>
      <c r="AIJ18" s="196"/>
      <c r="AIK18" s="196"/>
      <c r="AIL18" s="196"/>
      <c r="AIM18" s="196"/>
      <c r="AIN18" s="196"/>
      <c r="AIO18" s="196"/>
      <c r="AIP18" s="196"/>
      <c r="AIQ18" s="196"/>
      <c r="AIR18" s="196"/>
      <c r="AIS18" s="196"/>
      <c r="AIT18" s="196"/>
      <c r="AIU18" s="196"/>
      <c r="AIV18" s="196"/>
      <c r="AIW18" s="196"/>
      <c r="AIX18" s="196"/>
      <c r="AIY18" s="196"/>
      <c r="AIZ18" s="196"/>
      <c r="AJA18" s="196"/>
      <c r="AJB18" s="196"/>
      <c r="AJC18" s="196"/>
      <c r="AJD18" s="196"/>
      <c r="AJE18" s="196"/>
      <c r="AJF18" s="196"/>
      <c r="AJG18" s="196"/>
      <c r="AJH18" s="196"/>
      <c r="AJI18" s="196"/>
      <c r="AJJ18" s="196"/>
      <c r="AJK18" s="196"/>
      <c r="AJL18" s="196"/>
      <c r="AJM18" s="196"/>
      <c r="AJN18" s="196"/>
      <c r="AJO18" s="196"/>
      <c r="AJP18" s="196"/>
      <c r="AJQ18" s="196"/>
      <c r="AJR18" s="196"/>
      <c r="AJS18" s="196"/>
      <c r="AJT18" s="196"/>
      <c r="AJU18" s="196"/>
      <c r="AJV18" s="196"/>
      <c r="AJW18" s="196"/>
      <c r="AJX18" s="196"/>
      <c r="AJY18" s="196"/>
      <c r="AJZ18" s="196"/>
      <c r="AKA18" s="196"/>
      <c r="AKB18" s="196"/>
      <c r="AKC18" s="196"/>
      <c r="AKD18" s="196"/>
      <c r="AKE18" s="196"/>
      <c r="AKF18" s="196"/>
      <c r="AKG18" s="196"/>
      <c r="AKH18" s="196"/>
      <c r="AKI18" s="196"/>
      <c r="AKJ18" s="196"/>
      <c r="AKK18" s="196"/>
      <c r="AKL18" s="196"/>
      <c r="AKM18" s="196"/>
      <c r="AKN18" s="196"/>
      <c r="AKO18" s="196"/>
      <c r="AKP18" s="196"/>
      <c r="AKQ18" s="196"/>
      <c r="AKR18" s="196"/>
      <c r="AKS18" s="196"/>
      <c r="AKT18" s="196"/>
      <c r="AKU18" s="196"/>
      <c r="AKV18" s="196"/>
      <c r="AKW18" s="196"/>
      <c r="AKX18" s="196"/>
      <c r="AKY18" s="196"/>
      <c r="AKZ18" s="196"/>
      <c r="ALA18" s="196"/>
      <c r="ALB18" s="196"/>
      <c r="ALC18" s="196"/>
      <c r="ALD18" s="196"/>
      <c r="ALE18" s="196"/>
      <c r="ALF18" s="196"/>
      <c r="ALG18" s="196"/>
      <c r="ALH18" s="196"/>
      <c r="ALI18" s="196"/>
      <c r="ALJ18" s="196"/>
      <c r="ALK18" s="196"/>
      <c r="ALL18" s="196"/>
      <c r="ALM18" s="196"/>
      <c r="ALN18" s="196"/>
      <c r="ALO18" s="196"/>
      <c r="ALP18" s="196"/>
      <c r="ALQ18" s="196"/>
      <c r="ALR18" s="196"/>
      <c r="ALS18" s="196"/>
      <c r="ALT18" s="196"/>
      <c r="ALU18" s="196"/>
      <c r="ALV18" s="196"/>
      <c r="ALW18" s="196"/>
      <c r="ALX18" s="196"/>
      <c r="ALY18" s="196"/>
      <c r="ALZ18" s="196"/>
      <c r="AMA18" s="196"/>
      <c r="AMB18" s="196"/>
      <c r="AMC18" s="196"/>
      <c r="AMD18" s="196"/>
      <c r="AME18" s="196"/>
      <c r="AMF18" s="196"/>
      <c r="AMG18" s="196"/>
      <c r="AMH18" s="196"/>
      <c r="AMI18" s="196"/>
      <c r="AMJ18" s="196"/>
      <c r="AMK18" s="196"/>
      <c r="AML18" s="196"/>
      <c r="AMM18" s="196"/>
      <c r="AMN18" s="196"/>
      <c r="AMO18" s="196"/>
      <c r="AMP18" s="196"/>
      <c r="AMQ18" s="196"/>
      <c r="AMR18" s="196"/>
      <c r="AMS18" s="196"/>
      <c r="AMT18" s="196"/>
      <c r="AMU18" s="196"/>
      <c r="AMV18" s="196"/>
      <c r="AMW18" s="196"/>
      <c r="AMX18" s="196"/>
      <c r="AMY18" s="196"/>
      <c r="AMZ18" s="196"/>
      <c r="ANA18" s="196"/>
      <c r="ANB18" s="196"/>
      <c r="ANC18" s="196"/>
      <c r="AND18" s="196"/>
      <c r="ANE18" s="196"/>
      <c r="ANF18" s="196"/>
      <c r="ANG18" s="196"/>
      <c r="ANH18" s="196"/>
      <c r="ANI18" s="196"/>
      <c r="ANJ18" s="196"/>
      <c r="ANK18" s="196"/>
      <c r="ANL18" s="196"/>
      <c r="ANM18" s="196"/>
      <c r="ANN18" s="196"/>
      <c r="ANO18" s="196"/>
      <c r="ANP18" s="196"/>
      <c r="ANQ18" s="196"/>
      <c r="ANR18" s="196"/>
      <c r="ANS18" s="196"/>
      <c r="ANT18" s="196"/>
      <c r="ANU18" s="196"/>
      <c r="ANV18" s="196"/>
      <c r="ANW18" s="196"/>
      <c r="ANX18" s="196"/>
      <c r="ANY18" s="196"/>
      <c r="ANZ18" s="196"/>
      <c r="AOA18" s="196"/>
      <c r="AOB18" s="196"/>
      <c r="AOC18" s="196"/>
      <c r="AOD18" s="196"/>
      <c r="AOE18" s="196"/>
      <c r="AOF18" s="196"/>
      <c r="AOG18" s="196"/>
      <c r="AOH18" s="196"/>
      <c r="AOI18" s="196"/>
      <c r="AOJ18" s="196"/>
      <c r="AOK18" s="196"/>
      <c r="AOL18" s="196"/>
      <c r="AOM18" s="196"/>
      <c r="AON18" s="196"/>
      <c r="AOO18" s="196"/>
      <c r="AOP18" s="196"/>
      <c r="AOQ18" s="196"/>
      <c r="AOR18" s="196"/>
      <c r="AOS18" s="196"/>
      <c r="AOT18" s="196"/>
      <c r="AOU18" s="196"/>
      <c r="AOV18" s="196"/>
      <c r="AOW18" s="196"/>
      <c r="AOX18" s="196"/>
      <c r="AOY18" s="196"/>
      <c r="AOZ18" s="196"/>
      <c r="APA18" s="196"/>
      <c r="APB18" s="196"/>
      <c r="APC18" s="196"/>
      <c r="APD18" s="196"/>
      <c r="APE18" s="196"/>
      <c r="APF18" s="196"/>
      <c r="APG18" s="196"/>
      <c r="APH18" s="196"/>
      <c r="API18" s="196"/>
      <c r="APJ18" s="196"/>
      <c r="APK18" s="196"/>
      <c r="APL18" s="196"/>
      <c r="APM18" s="196"/>
      <c r="APN18" s="196"/>
      <c r="APO18" s="196"/>
      <c r="APP18" s="196"/>
      <c r="APQ18" s="196"/>
      <c r="APR18" s="196"/>
      <c r="APS18" s="196"/>
      <c r="APT18" s="196"/>
      <c r="APU18" s="196"/>
      <c r="APV18" s="196"/>
      <c r="APW18" s="196"/>
      <c r="APX18" s="196"/>
      <c r="APY18" s="196"/>
      <c r="APZ18" s="196"/>
      <c r="AQA18" s="196"/>
      <c r="AQB18" s="196"/>
      <c r="AQC18" s="196"/>
      <c r="AQD18" s="196"/>
      <c r="AQE18" s="196"/>
      <c r="AQF18" s="196"/>
      <c r="AQG18" s="196"/>
      <c r="AQH18" s="196"/>
      <c r="AQI18" s="196"/>
      <c r="AQJ18" s="196"/>
      <c r="AQK18" s="196"/>
      <c r="AQL18" s="196"/>
      <c r="AQM18" s="196"/>
      <c r="AQN18" s="196"/>
      <c r="AQO18" s="196"/>
      <c r="AQP18" s="196"/>
      <c r="AQQ18" s="196"/>
      <c r="AQR18" s="196"/>
      <c r="AQS18" s="196"/>
      <c r="AQT18" s="196"/>
      <c r="AQU18" s="196"/>
      <c r="AQV18" s="196"/>
      <c r="AQW18" s="196"/>
      <c r="AQX18" s="196"/>
      <c r="AQY18" s="196"/>
      <c r="AQZ18" s="196"/>
      <c r="ARA18" s="196"/>
      <c r="ARB18" s="196"/>
      <c r="ARC18" s="196"/>
      <c r="ARD18" s="196"/>
      <c r="ARE18" s="196"/>
      <c r="ARF18" s="196"/>
      <c r="ARG18" s="196"/>
      <c r="ARH18" s="196"/>
      <c r="ARI18" s="196"/>
      <c r="ARJ18" s="196"/>
      <c r="ARK18" s="196"/>
      <c r="ARL18" s="196"/>
      <c r="ARM18" s="196"/>
      <c r="ARN18" s="196"/>
      <c r="ARO18" s="196"/>
      <c r="ARP18" s="196"/>
      <c r="ARQ18" s="196"/>
      <c r="ARR18" s="196"/>
      <c r="ARS18" s="196"/>
      <c r="ART18" s="196"/>
      <c r="ARU18" s="196"/>
      <c r="ARV18" s="196"/>
      <c r="ARW18" s="196"/>
      <c r="ARX18" s="196"/>
      <c r="ARY18" s="196"/>
      <c r="ARZ18" s="196"/>
      <c r="ASA18" s="196"/>
      <c r="ASB18" s="196"/>
      <c r="ASC18" s="196"/>
      <c r="ASD18" s="196"/>
      <c r="ASE18" s="196"/>
      <c r="ASF18" s="196"/>
      <c r="ASG18" s="196"/>
      <c r="ASH18" s="196"/>
      <c r="ASI18" s="196"/>
      <c r="ASJ18" s="196"/>
      <c r="ASK18" s="196"/>
      <c r="ASL18" s="196"/>
      <c r="ASM18" s="196"/>
      <c r="ASN18" s="196"/>
      <c r="ASO18" s="196"/>
      <c r="ASP18" s="196"/>
      <c r="ASQ18" s="196"/>
      <c r="ASR18" s="196"/>
      <c r="ASS18" s="196"/>
      <c r="AST18" s="196"/>
      <c r="ASU18" s="196"/>
      <c r="ASV18" s="196"/>
      <c r="ASW18" s="196"/>
      <c r="ASX18" s="196"/>
      <c r="ASY18" s="196"/>
      <c r="ASZ18" s="196"/>
      <c r="ATA18" s="196"/>
      <c r="ATB18" s="196"/>
      <c r="ATC18" s="196"/>
      <c r="ATD18" s="196"/>
      <c r="ATE18" s="196"/>
      <c r="ATF18" s="196"/>
      <c r="ATG18" s="196"/>
      <c r="ATH18" s="196"/>
      <c r="ATI18" s="196"/>
      <c r="ATJ18" s="196"/>
      <c r="ATK18" s="196"/>
      <c r="ATL18" s="196"/>
      <c r="ATM18" s="196"/>
      <c r="ATN18" s="196"/>
      <c r="ATO18" s="196"/>
      <c r="ATP18" s="196"/>
      <c r="ATQ18" s="196"/>
      <c r="ATR18" s="196"/>
      <c r="ATS18" s="196"/>
      <c r="ATT18" s="196"/>
      <c r="ATU18" s="196"/>
      <c r="ATV18" s="196"/>
      <c r="ATW18" s="196"/>
      <c r="ATX18" s="196"/>
      <c r="ATY18" s="196"/>
      <c r="ATZ18" s="196"/>
      <c r="AUA18" s="196"/>
      <c r="AUB18" s="196"/>
      <c r="AUC18" s="196"/>
      <c r="AUD18" s="196"/>
      <c r="AUE18" s="196"/>
      <c r="AUF18" s="196"/>
      <c r="AUG18" s="196"/>
      <c r="AUH18" s="196"/>
      <c r="AUI18" s="196"/>
      <c r="AUJ18" s="196"/>
      <c r="AUK18" s="196"/>
      <c r="AUL18" s="196"/>
      <c r="AUM18" s="196"/>
      <c r="AUN18" s="196"/>
      <c r="AUO18" s="196"/>
      <c r="AUP18" s="196"/>
      <c r="AUQ18" s="196"/>
      <c r="AUR18" s="196"/>
      <c r="AUS18" s="196"/>
      <c r="AUT18" s="196"/>
      <c r="AUU18" s="196"/>
      <c r="AUV18" s="196"/>
      <c r="AUW18" s="196"/>
      <c r="AUX18" s="196"/>
      <c r="AUY18" s="196"/>
      <c r="AUZ18" s="196"/>
      <c r="AVA18" s="196"/>
      <c r="AVB18" s="196"/>
      <c r="AVC18" s="196"/>
      <c r="AVD18" s="196"/>
      <c r="AVE18" s="196"/>
      <c r="AVF18" s="196"/>
      <c r="AVG18" s="196"/>
      <c r="AVH18" s="196"/>
      <c r="AVI18" s="196"/>
      <c r="AVJ18" s="196"/>
      <c r="AVK18" s="196"/>
      <c r="AVL18" s="196"/>
      <c r="AVM18" s="196"/>
      <c r="AVN18" s="196"/>
      <c r="AVO18" s="196"/>
      <c r="AVP18" s="196"/>
      <c r="AVQ18" s="196"/>
      <c r="AVR18" s="196"/>
      <c r="AVS18" s="196"/>
      <c r="AVT18" s="196"/>
      <c r="AVU18" s="196"/>
      <c r="AVV18" s="196"/>
      <c r="AVW18" s="196"/>
      <c r="AVX18" s="196"/>
      <c r="AVY18" s="196"/>
      <c r="AVZ18" s="196"/>
      <c r="AWA18" s="196"/>
      <c r="AWB18" s="196"/>
      <c r="AWC18" s="196"/>
      <c r="AWD18" s="196"/>
      <c r="AWE18" s="196"/>
      <c r="AWF18" s="196"/>
      <c r="AWG18" s="196"/>
      <c r="AWH18" s="196"/>
      <c r="AWI18" s="196"/>
      <c r="AWJ18" s="196"/>
      <c r="AWK18" s="196"/>
      <c r="AWL18" s="196"/>
      <c r="AWM18" s="196"/>
      <c r="AWN18" s="196"/>
      <c r="AWO18" s="196"/>
      <c r="AWP18" s="196"/>
      <c r="AWQ18" s="196"/>
      <c r="AWR18" s="196"/>
      <c r="AWS18" s="196"/>
      <c r="AWT18" s="196"/>
      <c r="AWU18" s="196"/>
      <c r="AWV18" s="196"/>
      <c r="AWW18" s="196"/>
      <c r="AWX18" s="196"/>
      <c r="AWY18" s="196"/>
      <c r="AWZ18" s="196"/>
      <c r="AXA18" s="196"/>
      <c r="AXB18" s="196"/>
      <c r="AXC18" s="196"/>
      <c r="AXD18" s="196"/>
      <c r="AXE18" s="196"/>
      <c r="AXF18" s="196"/>
      <c r="AXG18" s="196"/>
      <c r="AXH18" s="196"/>
      <c r="AXI18" s="196"/>
      <c r="AXJ18" s="196"/>
      <c r="AXK18" s="196"/>
      <c r="AXL18" s="196"/>
      <c r="AXM18" s="196"/>
      <c r="AXN18" s="196"/>
      <c r="AXO18" s="196"/>
      <c r="AXP18" s="196"/>
      <c r="AXQ18" s="196"/>
      <c r="AXR18" s="196"/>
      <c r="AXS18" s="196"/>
      <c r="AXT18" s="196"/>
      <c r="AXU18" s="196"/>
      <c r="AXV18" s="196"/>
      <c r="AXW18" s="196"/>
      <c r="AXX18" s="196"/>
      <c r="AXY18" s="196"/>
      <c r="AXZ18" s="196"/>
      <c r="AYA18" s="196"/>
      <c r="AYB18" s="196"/>
      <c r="AYC18" s="196"/>
      <c r="AYD18" s="196"/>
      <c r="AYE18" s="196"/>
      <c r="AYF18" s="196"/>
      <c r="AYG18" s="196"/>
      <c r="AYH18" s="196"/>
      <c r="AYI18" s="196"/>
      <c r="AYJ18" s="196"/>
      <c r="AYK18" s="196"/>
      <c r="AYL18" s="196"/>
      <c r="AYM18" s="196"/>
      <c r="AYN18" s="196"/>
      <c r="AYO18" s="196"/>
      <c r="AYP18" s="196"/>
      <c r="AYQ18" s="196"/>
      <c r="AYR18" s="196"/>
      <c r="AYS18" s="196"/>
      <c r="AYT18" s="196"/>
      <c r="AYU18" s="196"/>
      <c r="AYV18" s="196"/>
      <c r="AYW18" s="196"/>
      <c r="AYX18" s="196"/>
      <c r="AYY18" s="196"/>
      <c r="AYZ18" s="196"/>
      <c r="AZA18" s="196"/>
      <c r="AZB18" s="196"/>
      <c r="AZC18" s="196"/>
      <c r="AZD18" s="196"/>
      <c r="AZE18" s="196"/>
      <c r="AZF18" s="196"/>
      <c r="AZG18" s="196"/>
      <c r="AZH18" s="196"/>
      <c r="AZI18" s="196"/>
      <c r="AZJ18" s="196"/>
      <c r="AZK18" s="196"/>
      <c r="AZL18" s="196"/>
      <c r="AZM18" s="196"/>
      <c r="AZN18" s="196"/>
      <c r="AZO18" s="196"/>
      <c r="AZP18" s="196"/>
      <c r="AZQ18" s="196"/>
      <c r="AZR18" s="196"/>
      <c r="AZS18" s="196"/>
      <c r="AZT18" s="196"/>
      <c r="AZU18" s="196"/>
      <c r="AZV18" s="196"/>
      <c r="AZW18" s="196"/>
      <c r="AZX18" s="196"/>
      <c r="AZY18" s="196"/>
      <c r="AZZ18" s="196"/>
      <c r="BAA18" s="196"/>
      <c r="BAB18" s="196"/>
      <c r="BAC18" s="196"/>
      <c r="BAD18" s="196"/>
      <c r="BAE18" s="196"/>
      <c r="BAF18" s="196"/>
      <c r="BAG18" s="196"/>
      <c r="BAH18" s="196"/>
      <c r="BAI18" s="196"/>
      <c r="BAJ18" s="196"/>
      <c r="BAK18" s="196"/>
      <c r="BAL18" s="196"/>
      <c r="BAM18" s="196"/>
      <c r="BAN18" s="196"/>
      <c r="BAO18" s="196"/>
      <c r="BAP18" s="196"/>
      <c r="BAQ18" s="196"/>
      <c r="BAR18" s="196"/>
      <c r="BAS18" s="196"/>
      <c r="BAT18" s="196"/>
      <c r="BAU18" s="196"/>
      <c r="BAV18" s="196"/>
      <c r="BAW18" s="196"/>
      <c r="BAX18" s="196"/>
      <c r="BAY18" s="196"/>
      <c r="BAZ18" s="196"/>
      <c r="BBA18" s="196"/>
      <c r="BBB18" s="196"/>
      <c r="BBC18" s="196"/>
      <c r="BBD18" s="196"/>
      <c r="BBE18" s="196"/>
      <c r="BBF18" s="196"/>
      <c r="BBG18" s="196"/>
      <c r="BBH18" s="196"/>
      <c r="BBI18" s="196"/>
      <c r="BBJ18" s="196"/>
      <c r="BBK18" s="196"/>
      <c r="BBL18" s="196"/>
      <c r="BBM18" s="196"/>
      <c r="BBN18" s="196"/>
      <c r="BBO18" s="196"/>
      <c r="BBP18" s="196"/>
      <c r="BBQ18" s="196"/>
      <c r="BBR18" s="196"/>
      <c r="BBS18" s="196"/>
      <c r="BBT18" s="196"/>
      <c r="BBU18" s="196"/>
      <c r="BBV18" s="196"/>
      <c r="BBW18" s="196"/>
      <c r="BBX18" s="196"/>
      <c r="BBY18" s="196"/>
      <c r="BBZ18" s="196"/>
      <c r="BCA18" s="196"/>
      <c r="BCB18" s="196"/>
      <c r="BCC18" s="196"/>
      <c r="BCD18" s="196"/>
      <c r="BCE18" s="196"/>
      <c r="BCF18" s="196"/>
      <c r="BCG18" s="196"/>
      <c r="BCH18" s="196"/>
      <c r="BCI18" s="196"/>
      <c r="BCJ18" s="196"/>
      <c r="BCK18" s="196"/>
      <c r="BCL18" s="196"/>
      <c r="BCM18" s="196"/>
      <c r="BCN18" s="196"/>
      <c r="BCO18" s="196"/>
      <c r="BCP18" s="196"/>
      <c r="BCQ18" s="196"/>
      <c r="BCR18" s="196"/>
      <c r="BCS18" s="196"/>
      <c r="BCT18" s="196"/>
      <c r="BCU18" s="196"/>
      <c r="BCV18" s="196"/>
      <c r="BCW18" s="196"/>
      <c r="BCX18" s="196"/>
      <c r="BCY18" s="196"/>
      <c r="BCZ18" s="196"/>
      <c r="BDA18" s="196"/>
      <c r="BDB18" s="196"/>
      <c r="BDC18" s="196"/>
      <c r="BDD18" s="196"/>
      <c r="BDE18" s="196"/>
      <c r="BDF18" s="196"/>
      <c r="BDG18" s="196"/>
      <c r="BDH18" s="196"/>
      <c r="BDI18" s="196"/>
      <c r="BDJ18" s="196"/>
      <c r="BDK18" s="196"/>
      <c r="BDL18" s="196"/>
      <c r="BDM18" s="196"/>
      <c r="BDN18" s="196"/>
      <c r="BDO18" s="196"/>
      <c r="BDP18" s="196"/>
      <c r="BDQ18" s="196"/>
      <c r="BDR18" s="196"/>
      <c r="BDS18" s="196"/>
      <c r="BDT18" s="196"/>
      <c r="BDU18" s="196"/>
      <c r="BDV18" s="196"/>
      <c r="BDW18" s="196"/>
      <c r="BDX18" s="196"/>
      <c r="BDY18" s="196"/>
      <c r="BDZ18" s="196"/>
      <c r="BEA18" s="196"/>
      <c r="BEB18" s="196"/>
      <c r="BEC18" s="196"/>
      <c r="BED18" s="196"/>
      <c r="BEE18" s="196"/>
      <c r="BEF18" s="196"/>
      <c r="BEG18" s="196"/>
      <c r="BEH18" s="196"/>
      <c r="BEI18" s="196"/>
      <c r="BEJ18" s="196"/>
      <c r="BEK18" s="196"/>
      <c r="BEL18" s="196"/>
      <c r="BEM18" s="196"/>
      <c r="BEN18" s="196"/>
      <c r="BEO18" s="196"/>
      <c r="BEP18" s="196"/>
      <c r="BEQ18" s="196"/>
      <c r="BER18" s="196"/>
      <c r="BES18" s="196"/>
      <c r="BET18" s="196"/>
      <c r="BEU18" s="196"/>
      <c r="BEV18" s="196"/>
      <c r="BEW18" s="196"/>
      <c r="BEX18" s="196"/>
      <c r="BEY18" s="196"/>
      <c r="BEZ18" s="196"/>
      <c r="BFA18" s="196"/>
      <c r="BFB18" s="196"/>
      <c r="BFC18" s="196"/>
      <c r="BFD18" s="196"/>
      <c r="BFE18" s="196"/>
      <c r="BFF18" s="196"/>
      <c r="BFG18" s="196"/>
      <c r="BFH18" s="196"/>
      <c r="BFI18" s="196"/>
      <c r="BFJ18" s="196"/>
      <c r="BFK18" s="196"/>
      <c r="BFL18" s="196"/>
      <c r="BFM18" s="196"/>
      <c r="BFN18" s="196"/>
      <c r="BFO18" s="196"/>
      <c r="BFP18" s="196"/>
      <c r="BFQ18" s="196"/>
      <c r="BFR18" s="196"/>
      <c r="BFS18" s="196"/>
      <c r="BFT18" s="196"/>
      <c r="BFU18" s="196"/>
      <c r="BFV18" s="196"/>
      <c r="BFW18" s="196"/>
      <c r="BFX18" s="196"/>
      <c r="BFY18" s="196"/>
      <c r="BFZ18" s="196"/>
      <c r="BGA18" s="196"/>
      <c r="BGB18" s="196"/>
      <c r="BGC18" s="196"/>
      <c r="BGD18" s="196"/>
      <c r="BGE18" s="196"/>
      <c r="BGF18" s="196"/>
      <c r="BGG18" s="196"/>
      <c r="BGH18" s="196"/>
      <c r="BGI18" s="196"/>
      <c r="BGJ18" s="196"/>
      <c r="BGK18" s="196"/>
      <c r="BGL18" s="196"/>
      <c r="BGM18" s="196"/>
      <c r="BGN18" s="196"/>
      <c r="BGO18" s="196"/>
      <c r="BGP18" s="196"/>
      <c r="BGQ18" s="196"/>
      <c r="BGR18" s="196"/>
      <c r="BGS18" s="196"/>
      <c r="BGT18" s="196"/>
      <c r="BGU18" s="196"/>
      <c r="BGV18" s="196"/>
      <c r="BGW18" s="196"/>
      <c r="BGX18" s="196"/>
      <c r="BGY18" s="196"/>
      <c r="BGZ18" s="196"/>
      <c r="BHA18" s="196"/>
      <c r="BHB18" s="196"/>
      <c r="BHC18" s="196"/>
      <c r="BHD18" s="196"/>
      <c r="BHE18" s="196"/>
      <c r="BHF18" s="196"/>
      <c r="BHG18" s="196"/>
      <c r="BHH18" s="196"/>
      <c r="BHI18" s="196"/>
      <c r="BHJ18" s="196"/>
      <c r="BHK18" s="196"/>
      <c r="BHL18" s="196"/>
      <c r="BHM18" s="196"/>
      <c r="BHN18" s="196"/>
      <c r="BHO18" s="196"/>
      <c r="BHP18" s="196"/>
      <c r="BHQ18" s="196"/>
      <c r="BHR18" s="196"/>
      <c r="BHS18" s="196"/>
      <c r="BHT18" s="196"/>
      <c r="BHU18" s="196"/>
      <c r="BHV18" s="196"/>
      <c r="BHW18" s="196"/>
      <c r="BHX18" s="196"/>
      <c r="BHY18" s="196"/>
      <c r="BHZ18" s="196"/>
      <c r="BIA18" s="196"/>
      <c r="BIB18" s="196"/>
      <c r="BIC18" s="196"/>
      <c r="BID18" s="196"/>
      <c r="BIE18" s="196"/>
      <c r="BIF18" s="196"/>
      <c r="BIG18" s="196"/>
      <c r="BIH18" s="196"/>
      <c r="BII18" s="196"/>
      <c r="BIJ18" s="196"/>
      <c r="BIK18" s="196"/>
      <c r="BIL18" s="196"/>
      <c r="BIM18" s="196"/>
      <c r="BIN18" s="196"/>
      <c r="BIO18" s="196"/>
      <c r="BIP18" s="196"/>
      <c r="BIQ18" s="196"/>
      <c r="BIR18" s="196"/>
      <c r="BIS18" s="196"/>
      <c r="BIT18" s="196"/>
      <c r="BIU18" s="196"/>
      <c r="BIV18" s="196"/>
      <c r="BIW18" s="196"/>
      <c r="BIX18" s="196"/>
      <c r="BIY18" s="196"/>
      <c r="BIZ18" s="196"/>
      <c r="BJA18" s="196"/>
      <c r="BJB18" s="196"/>
      <c r="BJC18" s="196"/>
      <c r="BJD18" s="196"/>
      <c r="BJE18" s="196"/>
      <c r="BJF18" s="196"/>
      <c r="BJG18" s="196"/>
      <c r="BJH18" s="196"/>
      <c r="BJI18" s="196"/>
      <c r="BJJ18" s="196"/>
      <c r="BJK18" s="196"/>
      <c r="BJL18" s="196"/>
      <c r="BJM18" s="196"/>
      <c r="BJN18" s="196"/>
      <c r="BJO18" s="196"/>
      <c r="BJP18" s="196"/>
      <c r="BJQ18" s="196"/>
      <c r="BJR18" s="196"/>
      <c r="BJS18" s="196"/>
      <c r="BJT18" s="196"/>
      <c r="BJU18" s="196"/>
      <c r="BJV18" s="196"/>
      <c r="BJW18" s="196"/>
      <c r="BJX18" s="196"/>
      <c r="BJY18" s="196"/>
      <c r="BJZ18" s="196"/>
      <c r="BKA18" s="196"/>
      <c r="BKB18" s="196"/>
      <c r="BKC18" s="196"/>
      <c r="BKD18" s="196"/>
      <c r="BKE18" s="196"/>
      <c r="BKF18" s="196"/>
      <c r="BKG18" s="196"/>
      <c r="BKH18" s="196"/>
      <c r="BKI18" s="196"/>
      <c r="BKJ18" s="196"/>
      <c r="BKK18" s="196"/>
      <c r="BKL18" s="196"/>
      <c r="BKM18" s="196"/>
      <c r="BKN18" s="196"/>
      <c r="BKO18" s="196"/>
      <c r="BKP18" s="196"/>
      <c r="BKQ18" s="196"/>
      <c r="BKR18" s="196"/>
      <c r="BKS18" s="196"/>
      <c r="BKT18" s="196"/>
      <c r="BKU18" s="196"/>
      <c r="BKV18" s="196"/>
      <c r="BKW18" s="196"/>
      <c r="BKX18" s="196"/>
      <c r="BKY18" s="196"/>
      <c r="BKZ18" s="196"/>
      <c r="BLA18" s="196"/>
      <c r="BLB18" s="196"/>
      <c r="BLC18" s="196"/>
      <c r="BLD18" s="196"/>
      <c r="BLE18" s="196"/>
      <c r="BLF18" s="196"/>
      <c r="BLG18" s="196"/>
      <c r="BLH18" s="196"/>
      <c r="BLI18" s="196"/>
      <c r="BLJ18" s="196"/>
      <c r="BLK18" s="196"/>
      <c r="BLL18" s="196"/>
      <c r="BLM18" s="196"/>
      <c r="BLN18" s="196"/>
      <c r="BLO18" s="196"/>
      <c r="BLP18" s="196"/>
      <c r="BLQ18" s="196"/>
      <c r="BLR18" s="196"/>
      <c r="BLS18" s="196"/>
      <c r="BLT18" s="196"/>
      <c r="BLU18" s="196"/>
      <c r="BLV18" s="196"/>
      <c r="BLW18" s="196"/>
      <c r="BLX18" s="196"/>
      <c r="BLY18" s="196"/>
      <c r="BLZ18" s="196"/>
      <c r="BMA18" s="196"/>
      <c r="BMB18" s="196"/>
      <c r="BMC18" s="196"/>
      <c r="BMD18" s="196"/>
      <c r="BME18" s="196"/>
      <c r="BMF18" s="196"/>
      <c r="BMG18" s="196"/>
      <c r="BMH18" s="196"/>
      <c r="BMI18" s="196"/>
      <c r="BMJ18" s="196"/>
      <c r="BMK18" s="196"/>
      <c r="BML18" s="196"/>
      <c r="BMM18" s="196"/>
      <c r="BMN18" s="196"/>
      <c r="BMO18" s="196"/>
      <c r="BMP18" s="196"/>
      <c r="BMQ18" s="196"/>
      <c r="BMR18" s="196"/>
      <c r="BMS18" s="196"/>
      <c r="BMT18" s="196"/>
      <c r="BMU18" s="196"/>
      <c r="BMV18" s="196"/>
      <c r="BMW18" s="196"/>
      <c r="BMX18" s="196"/>
      <c r="BMY18" s="196"/>
      <c r="BMZ18" s="196"/>
      <c r="BNA18" s="196"/>
      <c r="BNB18" s="196"/>
      <c r="BNC18" s="196"/>
      <c r="BND18" s="196"/>
      <c r="BNE18" s="196"/>
      <c r="BNF18" s="196"/>
      <c r="BNG18" s="196"/>
      <c r="BNH18" s="196"/>
      <c r="BNI18" s="196"/>
      <c r="BNJ18" s="196"/>
      <c r="BNK18" s="196"/>
      <c r="BNL18" s="196"/>
      <c r="BNM18" s="196"/>
      <c r="BNN18" s="196"/>
      <c r="BNO18" s="196"/>
      <c r="BNP18" s="196"/>
      <c r="BNQ18" s="196"/>
      <c r="BNR18" s="196"/>
      <c r="BNS18" s="196"/>
      <c r="BNT18" s="196"/>
      <c r="BNU18" s="196"/>
      <c r="BNV18" s="196"/>
      <c r="BNW18" s="196"/>
      <c r="BNX18" s="196"/>
      <c r="BNY18" s="196"/>
      <c r="BNZ18" s="196"/>
      <c r="BOA18" s="196"/>
      <c r="BOB18" s="196"/>
      <c r="BOC18" s="196"/>
      <c r="BOD18" s="196"/>
      <c r="BOE18" s="196"/>
      <c r="BOF18" s="196"/>
      <c r="BOG18" s="196"/>
      <c r="BOH18" s="196"/>
      <c r="BOI18" s="196"/>
      <c r="BOJ18" s="196"/>
      <c r="BOK18" s="196"/>
      <c r="BOL18" s="196"/>
      <c r="BOM18" s="196"/>
      <c r="BON18" s="196"/>
      <c r="BOO18" s="196"/>
      <c r="BOP18" s="196"/>
      <c r="BOQ18" s="196"/>
      <c r="BOR18" s="196"/>
      <c r="BOS18" s="196"/>
      <c r="BOT18" s="196"/>
      <c r="BOU18" s="196"/>
      <c r="BOV18" s="196"/>
      <c r="BOW18" s="196"/>
      <c r="BOX18" s="196"/>
      <c r="BOY18" s="196"/>
      <c r="BOZ18" s="196"/>
      <c r="BPA18" s="196"/>
      <c r="BPB18" s="196"/>
      <c r="BPC18" s="196"/>
      <c r="BPD18" s="196"/>
      <c r="BPE18" s="196"/>
      <c r="BPF18" s="196"/>
      <c r="BPG18" s="196"/>
      <c r="BPH18" s="196"/>
      <c r="BPI18" s="196"/>
      <c r="BPJ18" s="196"/>
      <c r="BPK18" s="196"/>
      <c r="BPL18" s="196"/>
      <c r="BPM18" s="196"/>
      <c r="BPN18" s="196"/>
      <c r="BPO18" s="196"/>
      <c r="BPP18" s="196"/>
      <c r="BPQ18" s="196"/>
      <c r="BPR18" s="196"/>
      <c r="BPS18" s="196"/>
      <c r="BPT18" s="196"/>
      <c r="BPU18" s="196"/>
      <c r="BPV18" s="196"/>
      <c r="BPW18" s="196"/>
      <c r="BPX18" s="196"/>
      <c r="BPY18" s="196"/>
      <c r="BPZ18" s="196"/>
      <c r="BQA18" s="196"/>
      <c r="BQB18" s="196"/>
      <c r="BQC18" s="196"/>
      <c r="BQD18" s="196"/>
      <c r="BQE18" s="196"/>
      <c r="BQF18" s="196"/>
      <c r="BQG18" s="196"/>
      <c r="BQH18" s="196"/>
      <c r="BQI18" s="196"/>
      <c r="BQJ18" s="196"/>
      <c r="BQK18" s="196"/>
      <c r="BQL18" s="196"/>
      <c r="BQM18" s="196"/>
      <c r="BQN18" s="196"/>
      <c r="BQO18" s="196"/>
      <c r="BQP18" s="196"/>
      <c r="BQQ18" s="196"/>
      <c r="BQR18" s="196"/>
      <c r="BQS18" s="196"/>
      <c r="BQT18" s="196"/>
      <c r="BQU18" s="196"/>
      <c r="BQV18" s="196"/>
      <c r="BQW18" s="196"/>
      <c r="BQX18" s="196"/>
      <c r="BQY18" s="196"/>
      <c r="BQZ18" s="196"/>
      <c r="BRA18" s="196"/>
      <c r="BRB18" s="196"/>
      <c r="BRC18" s="196"/>
      <c r="BRD18" s="196"/>
      <c r="BRE18" s="196"/>
      <c r="BRF18" s="196"/>
      <c r="BRG18" s="196"/>
      <c r="BRH18" s="196"/>
      <c r="BRI18" s="196"/>
      <c r="BRJ18" s="196"/>
      <c r="BRK18" s="196"/>
      <c r="BRL18" s="196"/>
      <c r="BRM18" s="196"/>
      <c r="BRN18" s="196"/>
      <c r="BRO18" s="196"/>
      <c r="BRP18" s="196"/>
      <c r="BRQ18" s="196"/>
      <c r="BRR18" s="196"/>
      <c r="BRS18" s="196"/>
      <c r="BRT18" s="196"/>
      <c r="BRU18" s="196"/>
      <c r="BRV18" s="196"/>
      <c r="BRW18" s="196"/>
      <c r="BRX18" s="196"/>
      <c r="BRY18" s="196"/>
      <c r="BRZ18" s="196"/>
      <c r="BSA18" s="196"/>
      <c r="BSB18" s="196"/>
      <c r="BSC18" s="196"/>
      <c r="BSD18" s="196"/>
      <c r="BSE18" s="196"/>
      <c r="BSF18" s="196"/>
      <c r="BSG18" s="196"/>
      <c r="BSH18" s="196"/>
      <c r="BSI18" s="196"/>
      <c r="BSJ18" s="196"/>
      <c r="BSK18" s="196"/>
      <c r="BSL18" s="196"/>
      <c r="BSM18" s="196"/>
      <c r="BSN18" s="196"/>
      <c r="BSO18" s="196"/>
      <c r="BSP18" s="196"/>
      <c r="BSQ18" s="196"/>
      <c r="BSR18" s="196"/>
      <c r="BSS18" s="196"/>
      <c r="BST18" s="196"/>
      <c r="BSU18" s="196"/>
      <c r="BSV18" s="196"/>
      <c r="BSW18" s="196"/>
      <c r="BSX18" s="196"/>
      <c r="BSY18" s="196"/>
      <c r="BSZ18" s="196"/>
      <c r="BTA18" s="196"/>
      <c r="BTB18" s="196"/>
      <c r="BTC18" s="196"/>
      <c r="BTD18" s="196"/>
      <c r="BTE18" s="196"/>
      <c r="BTF18" s="196"/>
      <c r="BTG18" s="196"/>
      <c r="BTH18" s="196"/>
      <c r="BTI18" s="196"/>
      <c r="BTJ18" s="196"/>
      <c r="BTK18" s="196"/>
      <c r="BTL18" s="196"/>
      <c r="BTM18" s="196"/>
      <c r="BTN18" s="196"/>
      <c r="BTO18" s="196"/>
      <c r="BTP18" s="196"/>
      <c r="BTQ18" s="196"/>
      <c r="BTR18" s="196"/>
      <c r="BTS18" s="196"/>
      <c r="BTT18" s="196"/>
      <c r="BTU18" s="196"/>
      <c r="BTV18" s="196"/>
      <c r="BTW18" s="196"/>
      <c r="BTX18" s="196"/>
      <c r="BTY18" s="196"/>
      <c r="BTZ18" s="196"/>
      <c r="BUA18" s="196"/>
      <c r="BUB18" s="196"/>
      <c r="BUC18" s="196"/>
      <c r="BUD18" s="196"/>
      <c r="BUE18" s="196"/>
      <c r="BUF18" s="196"/>
      <c r="BUG18" s="196"/>
      <c r="BUH18" s="196"/>
      <c r="BUI18" s="196"/>
      <c r="BUJ18" s="196"/>
      <c r="BUK18" s="196"/>
      <c r="BUL18" s="196"/>
      <c r="BUM18" s="196"/>
      <c r="BUN18" s="196"/>
      <c r="BUO18" s="196"/>
      <c r="BUP18" s="196"/>
      <c r="BUQ18" s="196"/>
      <c r="BUR18" s="196"/>
      <c r="BUS18" s="196"/>
      <c r="BUT18" s="196"/>
      <c r="BUU18" s="196"/>
      <c r="BUV18" s="196"/>
      <c r="BUW18" s="196"/>
      <c r="BUX18" s="196"/>
      <c r="BUY18" s="196"/>
      <c r="BUZ18" s="196"/>
      <c r="BVA18" s="196"/>
      <c r="BVB18" s="196"/>
      <c r="BVC18" s="196"/>
      <c r="BVD18" s="196"/>
      <c r="BVE18" s="196"/>
      <c r="BVF18" s="196"/>
      <c r="BVG18" s="196"/>
      <c r="BVH18" s="196"/>
      <c r="BVI18" s="196"/>
      <c r="BVJ18" s="196"/>
      <c r="BVK18" s="196"/>
      <c r="BVL18" s="196"/>
      <c r="BVM18" s="196"/>
      <c r="BVN18" s="196"/>
      <c r="BVO18" s="196"/>
      <c r="BVP18" s="196"/>
      <c r="BVQ18" s="196"/>
      <c r="BVR18" s="196"/>
      <c r="BVS18" s="196"/>
      <c r="BVT18" s="196"/>
      <c r="BVU18" s="196"/>
      <c r="BVV18" s="196"/>
      <c r="BVW18" s="196"/>
      <c r="BVX18" s="196"/>
      <c r="BVY18" s="196"/>
      <c r="BVZ18" s="196"/>
      <c r="BWA18" s="196"/>
      <c r="BWB18" s="196"/>
      <c r="BWC18" s="196"/>
      <c r="BWD18" s="196"/>
      <c r="BWE18" s="196"/>
      <c r="BWF18" s="196"/>
      <c r="BWG18" s="196"/>
      <c r="BWH18" s="196"/>
      <c r="BWI18" s="196"/>
      <c r="BWJ18" s="196"/>
      <c r="BWK18" s="196"/>
      <c r="BWL18" s="196"/>
      <c r="BWM18" s="196"/>
      <c r="BWN18" s="196"/>
      <c r="BWO18" s="196"/>
      <c r="BWP18" s="196"/>
      <c r="BWQ18" s="196"/>
      <c r="BWR18" s="196"/>
      <c r="BWS18" s="196"/>
      <c r="BWT18" s="196"/>
      <c r="BWU18" s="196"/>
      <c r="BWV18" s="196"/>
      <c r="BWW18" s="196"/>
      <c r="BWX18" s="196"/>
      <c r="BWY18" s="196"/>
      <c r="BWZ18" s="196"/>
      <c r="BXA18" s="196"/>
      <c r="BXB18" s="196"/>
      <c r="BXC18" s="196"/>
      <c r="BXD18" s="196"/>
      <c r="BXE18" s="196"/>
      <c r="BXF18" s="196"/>
      <c r="BXG18" s="196"/>
      <c r="BXH18" s="196"/>
      <c r="BXI18" s="196"/>
      <c r="BXJ18" s="196"/>
      <c r="BXK18" s="196"/>
      <c r="BXL18" s="196"/>
      <c r="BXM18" s="196"/>
      <c r="BXN18" s="196"/>
      <c r="BXO18" s="196"/>
      <c r="BXP18" s="196"/>
      <c r="BXQ18" s="196"/>
      <c r="BXR18" s="196"/>
      <c r="BXS18" s="196"/>
      <c r="BXT18" s="196"/>
      <c r="BXU18" s="196"/>
      <c r="BXV18" s="196"/>
      <c r="BXW18" s="196"/>
      <c r="BXX18" s="196"/>
      <c r="BXY18" s="196"/>
      <c r="BXZ18" s="196"/>
      <c r="BYA18" s="196"/>
      <c r="BYB18" s="196"/>
      <c r="BYC18" s="196"/>
      <c r="BYD18" s="196"/>
      <c r="BYE18" s="196"/>
      <c r="BYF18" s="196"/>
      <c r="BYG18" s="196"/>
      <c r="BYH18" s="196"/>
      <c r="BYI18" s="196"/>
      <c r="BYJ18" s="196"/>
      <c r="BYK18" s="196"/>
      <c r="BYL18" s="196"/>
      <c r="BYM18" s="196"/>
      <c r="BYN18" s="196"/>
      <c r="BYO18" s="196"/>
      <c r="BYP18" s="196"/>
      <c r="BYQ18" s="196"/>
      <c r="BYR18" s="196"/>
      <c r="BYS18" s="196"/>
      <c r="BYT18" s="196"/>
      <c r="BYU18" s="196"/>
      <c r="BYV18" s="196"/>
      <c r="BYW18" s="196"/>
      <c r="BYX18" s="196"/>
      <c r="BYY18" s="196"/>
      <c r="BYZ18" s="196"/>
      <c r="BZA18" s="196"/>
      <c r="BZB18" s="196"/>
      <c r="BZC18" s="196"/>
      <c r="BZD18" s="196"/>
      <c r="BZE18" s="196"/>
      <c r="BZF18" s="196"/>
      <c r="BZG18" s="196"/>
      <c r="BZH18" s="196"/>
      <c r="BZI18" s="196"/>
      <c r="BZJ18" s="196"/>
      <c r="BZK18" s="196"/>
      <c r="BZL18" s="196"/>
      <c r="BZM18" s="196"/>
      <c r="BZN18" s="196"/>
      <c r="BZO18" s="196"/>
      <c r="BZP18" s="196"/>
      <c r="BZQ18" s="196"/>
      <c r="BZR18" s="196"/>
      <c r="BZS18" s="196"/>
      <c r="BZT18" s="196"/>
      <c r="BZU18" s="196"/>
      <c r="BZV18" s="196"/>
      <c r="BZW18" s="196"/>
      <c r="BZX18" s="196"/>
      <c r="BZY18" s="196"/>
      <c r="BZZ18" s="196"/>
      <c r="CAA18" s="196"/>
      <c r="CAB18" s="196"/>
      <c r="CAC18" s="196"/>
      <c r="CAD18" s="196"/>
      <c r="CAE18" s="196"/>
      <c r="CAF18" s="196"/>
      <c r="CAG18" s="196"/>
      <c r="CAH18" s="196"/>
      <c r="CAI18" s="196"/>
      <c r="CAJ18" s="196"/>
      <c r="CAK18" s="196"/>
      <c r="CAL18" s="196"/>
      <c r="CAM18" s="196"/>
      <c r="CAN18" s="196"/>
      <c r="CAO18" s="196"/>
      <c r="CAP18" s="196"/>
      <c r="CAQ18" s="196"/>
      <c r="CAR18" s="196"/>
      <c r="CAS18" s="196"/>
      <c r="CAT18" s="196"/>
      <c r="CAU18" s="196"/>
      <c r="CAV18" s="196"/>
      <c r="CAW18" s="196"/>
      <c r="CAX18" s="196"/>
      <c r="CAY18" s="196"/>
      <c r="CAZ18" s="196"/>
      <c r="CBA18" s="196"/>
      <c r="CBB18" s="196"/>
      <c r="CBC18" s="196"/>
      <c r="CBD18" s="196"/>
      <c r="CBE18" s="196"/>
      <c r="CBF18" s="196"/>
      <c r="CBG18" s="196"/>
      <c r="CBH18" s="196"/>
      <c r="CBI18" s="196"/>
      <c r="CBJ18" s="196"/>
      <c r="CBK18" s="196"/>
      <c r="CBL18" s="196"/>
      <c r="CBM18" s="196"/>
      <c r="CBN18" s="196"/>
      <c r="CBO18" s="196"/>
      <c r="CBP18" s="196"/>
      <c r="CBQ18" s="196"/>
      <c r="CBR18" s="196"/>
      <c r="CBS18" s="196"/>
      <c r="CBT18" s="196"/>
      <c r="CBU18" s="196"/>
      <c r="CBV18" s="196"/>
      <c r="CBW18" s="196"/>
      <c r="CBX18" s="196"/>
      <c r="CBY18" s="196"/>
      <c r="CBZ18" s="196"/>
      <c r="CCA18" s="196"/>
      <c r="CCB18" s="196"/>
      <c r="CCC18" s="196"/>
      <c r="CCD18" s="196"/>
      <c r="CCE18" s="196"/>
      <c r="CCF18" s="196"/>
      <c r="CCG18" s="196"/>
      <c r="CCH18" s="196"/>
      <c r="CCI18" s="196"/>
      <c r="CCJ18" s="196"/>
      <c r="CCK18" s="196"/>
      <c r="CCL18" s="196"/>
      <c r="CCM18" s="196"/>
      <c r="CCN18" s="196"/>
      <c r="CCO18" s="196"/>
      <c r="CCP18" s="196"/>
      <c r="CCQ18" s="196"/>
      <c r="CCR18" s="196"/>
      <c r="CCS18" s="196"/>
      <c r="CCT18" s="196"/>
      <c r="CCU18" s="196"/>
      <c r="CCV18" s="196"/>
      <c r="CCW18" s="196"/>
      <c r="VEX18" s="195"/>
      <c r="VST18" s="194"/>
      <c r="VTB18" s="194"/>
    </row>
    <row r="19" spans="1:2129 15026:15026 15386:15394" s="193" customFormat="1" ht="16.149999999999999" customHeight="1" x14ac:dyDescent="0.25">
      <c r="A19" s="236" t="s">
        <v>55</v>
      </c>
      <c r="B19" s="236">
        <v>5</v>
      </c>
      <c r="C19" s="236"/>
      <c r="D19" s="236"/>
      <c r="E19" s="236"/>
      <c r="F19" s="236"/>
      <c r="G19" s="237" t="s">
        <v>230</v>
      </c>
      <c r="H19" s="238" t="s">
        <v>232</v>
      </c>
      <c r="I19" s="238"/>
      <c r="J19" s="239"/>
      <c r="K19" s="240"/>
      <c r="L19" s="240"/>
      <c r="M19" s="241"/>
      <c r="N19" s="240">
        <v>43087</v>
      </c>
      <c r="O19" s="240">
        <v>43126</v>
      </c>
      <c r="P19" s="241">
        <v>35</v>
      </c>
      <c r="Q19" s="242">
        <v>0</v>
      </c>
      <c r="R19" s="240"/>
      <c r="S19" s="240"/>
      <c r="T19" s="241"/>
      <c r="U19" s="243"/>
      <c r="V19" s="243"/>
      <c r="W19" s="243"/>
      <c r="X19" s="244"/>
      <c r="Y19" s="245"/>
      <c r="Z19" s="245"/>
      <c r="AA19" s="246"/>
      <c r="AB19" s="245"/>
      <c r="AC19" s="247"/>
      <c r="AD19" s="247"/>
      <c r="AE19" s="247"/>
      <c r="AF19" s="247"/>
      <c r="AG19" s="247"/>
      <c r="AH19" s="247"/>
      <c r="AI19" s="247"/>
      <c r="AJ19" s="247"/>
      <c r="AK19" s="247"/>
      <c r="AL19" s="247"/>
      <c r="AM19" s="247"/>
      <c r="AN19" s="247"/>
      <c r="AO19" s="247"/>
      <c r="AP19" s="247"/>
      <c r="AQ19" s="247"/>
      <c r="AR19" s="247"/>
      <c r="AS19" s="247"/>
      <c r="AT19" s="247"/>
      <c r="AU19" s="247"/>
      <c r="AV19" s="247"/>
      <c r="AW19" s="247"/>
      <c r="AX19" s="247"/>
      <c r="AY19" s="247"/>
      <c r="AZ19" s="247"/>
      <c r="BA19" s="247"/>
      <c r="BB19" s="247"/>
      <c r="BC19" s="247"/>
      <c r="BD19" s="247"/>
      <c r="BE19" s="247"/>
      <c r="BF19" s="247"/>
      <c r="BG19" s="247"/>
      <c r="BH19" s="247"/>
      <c r="BI19" s="247"/>
      <c r="BJ19" s="247"/>
      <c r="BK19" s="247"/>
      <c r="BL19" s="247"/>
      <c r="BM19" s="247"/>
      <c r="BN19" s="247"/>
      <c r="BO19" s="247"/>
      <c r="BP19" s="247"/>
      <c r="BQ19" s="247"/>
      <c r="BR19" s="247"/>
      <c r="BS19" s="247"/>
      <c r="BT19" s="247"/>
      <c r="BU19" s="247"/>
      <c r="BV19" s="247"/>
      <c r="BW19" s="247"/>
      <c r="BX19" s="247"/>
      <c r="BY19" s="247"/>
      <c r="BZ19" s="247"/>
      <c r="CA19" s="247"/>
      <c r="CB19" s="247"/>
      <c r="CC19" s="247"/>
      <c r="CD19" s="247"/>
      <c r="CE19" s="247"/>
      <c r="CF19" s="247"/>
      <c r="CG19" s="248"/>
      <c r="CH19" s="248"/>
      <c r="CI19" s="248"/>
      <c r="CJ19" s="248"/>
      <c r="CK19" s="248"/>
      <c r="CL19" s="248"/>
      <c r="CM19" s="248"/>
      <c r="CN19" s="248"/>
      <c r="CO19" s="248"/>
      <c r="CP19" s="248"/>
      <c r="CQ19" s="248"/>
      <c r="CR19" s="248"/>
      <c r="CS19" s="248"/>
      <c r="CT19" s="248"/>
      <c r="CU19" s="248"/>
      <c r="CV19" s="248"/>
      <c r="CW19" s="248"/>
      <c r="CX19" s="248"/>
      <c r="CY19" s="248"/>
      <c r="CZ19" s="248"/>
      <c r="DA19" s="248"/>
      <c r="DB19" s="248"/>
      <c r="DC19" s="248"/>
      <c r="DD19" s="248"/>
      <c r="DE19" s="248"/>
      <c r="DF19" s="248"/>
      <c r="DG19" s="248"/>
      <c r="DH19" s="248"/>
      <c r="DI19" s="248"/>
      <c r="DJ19" s="248"/>
      <c r="DK19" s="248"/>
      <c r="DL19" s="248"/>
      <c r="DM19" s="248"/>
      <c r="DN19" s="248"/>
      <c r="DO19" s="248"/>
      <c r="DP19" s="248"/>
      <c r="DQ19" s="248"/>
      <c r="DR19" s="248"/>
      <c r="DS19" s="248"/>
      <c r="DT19" s="248"/>
      <c r="DU19" s="248"/>
      <c r="DV19" s="248"/>
      <c r="DW19" s="248"/>
      <c r="DX19" s="248"/>
      <c r="DY19" s="248"/>
      <c r="DZ19" s="248"/>
      <c r="EA19" s="248"/>
      <c r="EB19" s="248"/>
      <c r="EC19" s="248"/>
      <c r="ED19" s="248"/>
      <c r="EE19" s="248"/>
      <c r="EF19" s="248"/>
      <c r="EG19" s="248"/>
      <c r="EH19" s="248"/>
      <c r="EI19" s="248"/>
      <c r="EJ19" s="248"/>
      <c r="EK19" s="248"/>
      <c r="EL19" s="248"/>
      <c r="EM19" s="248"/>
      <c r="EN19" s="248"/>
      <c r="EO19" s="248"/>
      <c r="EP19" s="248"/>
      <c r="EQ19" s="248"/>
      <c r="ER19" s="248"/>
      <c r="ES19" s="248"/>
      <c r="ET19" s="248"/>
      <c r="EU19" s="248"/>
      <c r="EV19" s="248"/>
      <c r="EW19" s="248"/>
      <c r="EX19" s="248"/>
      <c r="EY19" s="248"/>
      <c r="EZ19" s="248"/>
      <c r="FA19" s="248"/>
      <c r="FB19" s="248"/>
      <c r="FC19" s="248"/>
      <c r="FD19" s="248"/>
      <c r="FE19" s="248"/>
      <c r="FF19" s="248"/>
      <c r="FG19" s="248"/>
      <c r="FH19" s="248"/>
      <c r="FI19" s="248"/>
      <c r="FJ19" s="248"/>
      <c r="FK19" s="248"/>
      <c r="FL19" s="248"/>
      <c r="FM19" s="248"/>
      <c r="FN19" s="248"/>
      <c r="FO19" s="248"/>
      <c r="FP19" s="248"/>
      <c r="FQ19" s="248"/>
      <c r="FR19" s="248"/>
      <c r="FS19" s="248"/>
      <c r="FT19" s="248"/>
      <c r="FU19" s="248"/>
      <c r="FV19" s="248"/>
      <c r="FW19" s="248"/>
      <c r="FX19" s="248"/>
      <c r="FY19" s="248"/>
      <c r="FZ19" s="248"/>
      <c r="GA19" s="248"/>
      <c r="GB19" s="248"/>
      <c r="GC19" s="248"/>
      <c r="GD19" s="248"/>
      <c r="GE19" s="248"/>
      <c r="GF19" s="248"/>
      <c r="GG19" s="248"/>
      <c r="GH19" s="248"/>
      <c r="GI19" s="248"/>
      <c r="GJ19" s="248"/>
      <c r="GK19" s="248"/>
      <c r="GL19" s="248"/>
      <c r="GM19" s="248"/>
      <c r="GN19" s="248"/>
      <c r="GO19" s="248"/>
      <c r="GP19" s="248"/>
      <c r="GQ19" s="248"/>
      <c r="GR19" s="248"/>
      <c r="GS19" s="248"/>
      <c r="GT19" s="248"/>
      <c r="GU19" s="248"/>
      <c r="GV19" s="248"/>
      <c r="GW19" s="248"/>
      <c r="GX19" s="248"/>
      <c r="GY19" s="248"/>
      <c r="GZ19" s="248"/>
      <c r="HA19" s="248"/>
      <c r="HB19" s="248"/>
      <c r="HC19" s="248"/>
      <c r="HD19" s="248"/>
      <c r="HE19" s="248"/>
      <c r="HF19" s="248"/>
      <c r="HG19" s="248"/>
      <c r="HH19" s="248"/>
      <c r="HI19" s="248"/>
      <c r="HJ19" s="248"/>
      <c r="HK19" s="248"/>
      <c r="HL19" s="248"/>
      <c r="HM19" s="248"/>
      <c r="HN19" s="248"/>
      <c r="HO19" s="248"/>
      <c r="HP19" s="248"/>
      <c r="HQ19" s="248"/>
      <c r="HR19" s="248"/>
      <c r="HS19" s="248"/>
      <c r="HT19" s="248"/>
      <c r="HU19" s="248"/>
      <c r="HV19" s="248"/>
      <c r="HW19" s="248"/>
      <c r="HX19" s="248"/>
      <c r="HY19" s="248"/>
      <c r="HZ19" s="248"/>
      <c r="IA19" s="248"/>
      <c r="IB19" s="248"/>
      <c r="IC19" s="248"/>
      <c r="ID19" s="248"/>
      <c r="IE19" s="248"/>
      <c r="IF19" s="248"/>
      <c r="IG19" s="248"/>
      <c r="IH19" s="248"/>
      <c r="II19" s="248"/>
      <c r="IJ19" s="248"/>
      <c r="IK19" s="248"/>
      <c r="IL19" s="248"/>
      <c r="IM19" s="248"/>
      <c r="IN19" s="248"/>
      <c r="IO19" s="248"/>
      <c r="IP19" s="248"/>
      <c r="IQ19" s="248"/>
      <c r="IR19" s="248"/>
      <c r="IS19" s="248"/>
      <c r="IT19" s="248"/>
      <c r="IU19" s="248"/>
      <c r="IV19" s="248"/>
      <c r="IW19" s="248"/>
      <c r="IX19" s="248"/>
      <c r="IY19" s="248"/>
      <c r="IZ19" s="248"/>
      <c r="JA19" s="248"/>
      <c r="JB19" s="248"/>
      <c r="JC19" s="248"/>
      <c r="JD19" s="248"/>
      <c r="JE19" s="248"/>
      <c r="JF19" s="248"/>
      <c r="JG19" s="248"/>
      <c r="JH19" s="248"/>
      <c r="JI19" s="248"/>
      <c r="JJ19" s="248"/>
      <c r="JK19" s="248"/>
      <c r="JL19" s="248"/>
      <c r="JM19" s="248"/>
      <c r="JN19" s="248"/>
      <c r="JO19" s="248"/>
      <c r="JP19" s="248"/>
      <c r="JQ19" s="248"/>
      <c r="JR19" s="248"/>
      <c r="JS19" s="248"/>
      <c r="JT19" s="248"/>
      <c r="JU19" s="248"/>
      <c r="JV19" s="248"/>
      <c r="JW19" s="248"/>
      <c r="JX19" s="248"/>
      <c r="JY19" s="248"/>
      <c r="JZ19" s="248"/>
      <c r="KA19" s="248"/>
      <c r="KB19" s="248"/>
      <c r="KC19" s="248"/>
      <c r="KD19" s="248"/>
      <c r="KE19" s="248"/>
      <c r="KF19" s="248"/>
      <c r="KG19" s="248"/>
      <c r="KH19" s="248"/>
      <c r="KI19" s="248"/>
      <c r="KJ19" s="248"/>
      <c r="KK19" s="248"/>
      <c r="KL19" s="248"/>
      <c r="KM19" s="248"/>
      <c r="KN19" s="248"/>
      <c r="KO19" s="248"/>
      <c r="KP19" s="248"/>
      <c r="KQ19" s="248"/>
      <c r="KR19" s="248"/>
      <c r="KS19" s="248"/>
      <c r="KT19" s="248"/>
      <c r="KU19" s="248"/>
      <c r="KV19" s="248"/>
      <c r="KW19" s="248"/>
      <c r="KX19" s="248"/>
      <c r="KY19" s="248"/>
      <c r="KZ19" s="248"/>
      <c r="LA19" s="248"/>
      <c r="LB19" s="248"/>
      <c r="LC19" s="248"/>
      <c r="LD19" s="248"/>
      <c r="LE19" s="248"/>
      <c r="LF19" s="248"/>
      <c r="LG19" s="248"/>
      <c r="LH19" s="248"/>
      <c r="LI19" s="248"/>
      <c r="LJ19" s="248"/>
      <c r="LK19" s="248"/>
      <c r="LL19" s="248"/>
      <c r="LM19" s="248"/>
      <c r="LN19" s="248"/>
      <c r="LO19" s="248"/>
      <c r="LP19" s="248"/>
      <c r="LQ19" s="248"/>
      <c r="LR19" s="248"/>
      <c r="LS19" s="248"/>
      <c r="LT19" s="248"/>
      <c r="LU19" s="248"/>
      <c r="LV19" s="248"/>
      <c r="LW19" s="248"/>
      <c r="LX19" s="248"/>
      <c r="LY19" s="248"/>
      <c r="LZ19" s="248"/>
      <c r="MA19" s="248"/>
      <c r="MB19" s="248"/>
      <c r="MC19" s="248"/>
      <c r="MD19" s="248"/>
      <c r="ME19" s="248"/>
      <c r="MF19" s="248"/>
      <c r="MG19" s="248"/>
      <c r="MH19" s="248"/>
      <c r="MI19" s="248"/>
      <c r="MJ19" s="248"/>
      <c r="MK19" s="248"/>
      <c r="ML19" s="248"/>
      <c r="MM19" s="248"/>
      <c r="MN19" s="248"/>
      <c r="MO19" s="248"/>
      <c r="MP19" s="248"/>
      <c r="MQ19" s="248"/>
      <c r="MR19" s="248"/>
      <c r="MS19" s="248"/>
      <c r="MT19" s="248"/>
      <c r="MU19" s="248"/>
      <c r="MV19" s="249"/>
      <c r="MW19" s="248"/>
      <c r="MX19" s="248"/>
      <c r="MY19" s="248"/>
      <c r="MZ19" s="248"/>
      <c r="NA19" s="248"/>
      <c r="NB19" s="248"/>
      <c r="NC19" s="248"/>
      <c r="ND19" s="248"/>
      <c r="NE19" s="248"/>
      <c r="NF19" s="248"/>
      <c r="NG19" s="248"/>
      <c r="NH19" s="248"/>
      <c r="NI19" s="248"/>
      <c r="NJ19" s="248"/>
      <c r="NK19" s="248"/>
      <c r="NL19" s="248"/>
      <c r="NM19" s="248"/>
      <c r="NN19" s="248"/>
      <c r="NO19" s="248"/>
      <c r="NP19" s="248"/>
      <c r="NQ19" s="248"/>
      <c r="NR19" s="248"/>
      <c r="NS19" s="248"/>
      <c r="NT19" s="248"/>
      <c r="NU19" s="248"/>
      <c r="NV19" s="248"/>
      <c r="NW19" s="248"/>
      <c r="NX19" s="248"/>
      <c r="NY19" s="248"/>
      <c r="NZ19" s="248"/>
      <c r="OA19" s="248"/>
      <c r="OB19" s="248"/>
      <c r="OC19" s="248"/>
      <c r="OD19" s="248"/>
      <c r="OE19" s="248"/>
      <c r="OF19" s="248"/>
      <c r="OG19" s="248"/>
      <c r="OH19" s="248"/>
      <c r="OI19" s="248"/>
      <c r="OJ19" s="248"/>
      <c r="OK19" s="248"/>
      <c r="OL19" s="248"/>
      <c r="OM19" s="248"/>
      <c r="ON19" s="248"/>
      <c r="OO19" s="248"/>
      <c r="OP19" s="248"/>
      <c r="OQ19" s="248"/>
      <c r="OR19" s="248"/>
      <c r="OS19" s="248"/>
      <c r="OT19" s="248"/>
      <c r="OU19" s="248"/>
      <c r="OV19" s="248"/>
      <c r="OW19" s="248"/>
      <c r="OX19" s="248"/>
      <c r="OY19" s="248"/>
      <c r="OZ19" s="248"/>
      <c r="PA19" s="248"/>
      <c r="PB19" s="248"/>
      <c r="PC19" s="248"/>
      <c r="PD19" s="248"/>
      <c r="PE19" s="248"/>
      <c r="PF19" s="248"/>
      <c r="PG19" s="248"/>
      <c r="PH19" s="248"/>
      <c r="PI19" s="248"/>
      <c r="PJ19" s="248"/>
      <c r="PK19" s="248"/>
      <c r="PL19" s="248"/>
      <c r="PM19" s="248"/>
      <c r="PN19" s="248"/>
      <c r="PO19" s="248"/>
      <c r="PP19" s="248"/>
      <c r="PQ19" s="248"/>
      <c r="PR19" s="248"/>
      <c r="PS19" s="248"/>
      <c r="PT19" s="248"/>
      <c r="PU19" s="248"/>
      <c r="PV19" s="248"/>
      <c r="PW19" s="248"/>
      <c r="PX19" s="248"/>
      <c r="PY19" s="248"/>
      <c r="PZ19" s="248"/>
      <c r="QA19" s="248"/>
      <c r="QB19" s="248"/>
      <c r="QC19" s="248"/>
      <c r="QD19" s="248"/>
      <c r="QE19" s="248"/>
      <c r="QF19" s="248"/>
      <c r="QG19" s="248"/>
      <c r="QH19" s="248"/>
      <c r="QI19" s="248"/>
      <c r="QJ19" s="248"/>
      <c r="QK19" s="248"/>
      <c r="QL19" s="248"/>
      <c r="QM19" s="248"/>
      <c r="QN19" s="248"/>
      <c r="QO19" s="248"/>
      <c r="QP19" s="248"/>
      <c r="QQ19" s="248"/>
      <c r="QR19" s="248"/>
      <c r="QS19" s="248"/>
      <c r="QT19" s="248"/>
      <c r="QU19" s="248"/>
      <c r="QV19" s="248"/>
      <c r="QW19" s="248"/>
      <c r="QX19" s="248"/>
      <c r="QY19" s="248"/>
      <c r="QZ19" s="248"/>
      <c r="RA19" s="248"/>
      <c r="RB19" s="248"/>
      <c r="RC19" s="248"/>
      <c r="RD19" s="248"/>
      <c r="RE19" s="248"/>
      <c r="RF19" s="248"/>
      <c r="RG19" s="248"/>
      <c r="RH19" s="248"/>
      <c r="RI19" s="248"/>
      <c r="RJ19" s="248"/>
      <c r="RK19" s="248"/>
      <c r="RL19" s="248"/>
      <c r="RM19" s="248"/>
      <c r="RN19" s="248"/>
      <c r="RO19" s="248"/>
      <c r="RP19" s="248"/>
      <c r="RQ19" s="248"/>
      <c r="RR19" s="248"/>
      <c r="RS19" s="248"/>
      <c r="RT19" s="248"/>
      <c r="RU19" s="248"/>
      <c r="RV19" s="248"/>
      <c r="RW19" s="248"/>
      <c r="RX19" s="248"/>
      <c r="RY19" s="248"/>
      <c r="RZ19" s="248"/>
      <c r="SA19" s="248"/>
      <c r="SB19" s="248"/>
      <c r="SC19" s="248"/>
      <c r="SD19" s="248"/>
      <c r="SE19" s="248"/>
      <c r="SF19" s="248"/>
      <c r="SG19" s="248"/>
      <c r="SH19" s="248"/>
      <c r="SI19" s="248"/>
      <c r="SJ19" s="248"/>
      <c r="SK19" s="248"/>
      <c r="SL19" s="248"/>
      <c r="SM19" s="248"/>
      <c r="SN19" s="248"/>
      <c r="SO19" s="248"/>
      <c r="SP19" s="248"/>
      <c r="SQ19" s="248"/>
      <c r="SR19" s="248"/>
      <c r="SS19" s="248"/>
      <c r="ST19" s="248"/>
      <c r="SU19" s="248"/>
      <c r="SV19" s="248"/>
      <c r="SW19" s="248"/>
      <c r="SX19" s="248"/>
      <c r="SY19" s="248"/>
      <c r="SZ19" s="248"/>
      <c r="TA19" s="248"/>
      <c r="TB19" s="248"/>
      <c r="TC19" s="248"/>
      <c r="TD19" s="248"/>
      <c r="TE19" s="248"/>
      <c r="TF19" s="248"/>
      <c r="TG19" s="248"/>
      <c r="TH19" s="248"/>
      <c r="TI19" s="248"/>
      <c r="TJ19" s="248"/>
      <c r="TK19" s="248"/>
      <c r="TL19" s="248"/>
      <c r="TM19" s="248"/>
      <c r="TN19" s="248"/>
      <c r="TO19" s="248"/>
      <c r="TP19" s="248"/>
      <c r="TQ19" s="248"/>
      <c r="TR19" s="248"/>
      <c r="TS19" s="248"/>
      <c r="TT19" s="248"/>
      <c r="TU19" s="248"/>
      <c r="TV19" s="248"/>
      <c r="TW19" s="248"/>
      <c r="TX19" s="248"/>
      <c r="TY19" s="248"/>
      <c r="TZ19" s="248"/>
      <c r="UA19" s="248"/>
      <c r="UB19" s="248"/>
      <c r="UC19" s="248"/>
      <c r="UD19" s="248"/>
      <c r="UE19" s="248"/>
      <c r="UF19" s="248"/>
      <c r="UG19" s="248"/>
      <c r="UH19" s="248"/>
      <c r="UI19" s="248"/>
      <c r="UJ19" s="248"/>
      <c r="UK19" s="248"/>
      <c r="UL19" s="248"/>
      <c r="UM19" s="248"/>
      <c r="UN19" s="248"/>
      <c r="UO19" s="248"/>
      <c r="UP19" s="248"/>
      <c r="UQ19" s="248"/>
      <c r="UR19" s="248"/>
      <c r="US19" s="248"/>
      <c r="UT19" s="248"/>
      <c r="UU19" s="248"/>
      <c r="UV19" s="248"/>
      <c r="UW19" s="248"/>
      <c r="UX19" s="248"/>
      <c r="UY19" s="248"/>
      <c r="UZ19" s="248"/>
      <c r="VA19" s="248"/>
      <c r="VB19" s="248"/>
      <c r="VC19" s="248"/>
      <c r="VD19" s="248"/>
      <c r="VE19" s="248"/>
      <c r="VF19" s="248"/>
      <c r="VG19" s="248"/>
      <c r="VH19" s="248"/>
      <c r="VI19" s="248"/>
      <c r="VJ19" s="248"/>
      <c r="VK19" s="248"/>
      <c r="VL19" s="248"/>
      <c r="VM19" s="248"/>
      <c r="VN19" s="248"/>
      <c r="VO19" s="248"/>
      <c r="VP19" s="248"/>
      <c r="VQ19" s="248"/>
      <c r="VR19" s="248"/>
      <c r="VS19" s="248"/>
      <c r="VT19" s="248"/>
      <c r="VU19" s="248"/>
      <c r="VV19" s="248"/>
      <c r="VW19" s="248"/>
      <c r="VX19" s="248"/>
      <c r="VY19" s="248"/>
      <c r="VZ19" s="248"/>
      <c r="WA19" s="248"/>
      <c r="WB19" s="248"/>
      <c r="WC19" s="248"/>
      <c r="WD19" s="248"/>
      <c r="WE19" s="248"/>
      <c r="WF19" s="248"/>
      <c r="WG19" s="248"/>
      <c r="WH19" s="248"/>
      <c r="WI19" s="248"/>
      <c r="WJ19" s="248"/>
      <c r="WK19" s="248"/>
      <c r="WL19" s="248"/>
      <c r="WM19" s="248"/>
      <c r="WN19" s="248"/>
      <c r="WO19" s="248"/>
      <c r="WP19" s="248"/>
      <c r="WQ19" s="248"/>
      <c r="WR19" s="248"/>
      <c r="WS19" s="248"/>
      <c r="WT19" s="248"/>
      <c r="WU19" s="248"/>
      <c r="WV19" s="248"/>
      <c r="WW19" s="248"/>
      <c r="WX19" s="248"/>
      <c r="WY19" s="248"/>
      <c r="WZ19" s="248"/>
      <c r="XA19" s="248"/>
      <c r="XB19" s="248"/>
      <c r="XC19" s="248"/>
      <c r="XD19" s="248"/>
      <c r="XE19" s="248"/>
      <c r="XF19" s="248"/>
      <c r="XG19" s="248"/>
      <c r="XH19" s="248"/>
      <c r="XI19" s="248"/>
      <c r="XJ19" s="248"/>
      <c r="XK19" s="248"/>
      <c r="XL19" s="248"/>
      <c r="XM19" s="248"/>
      <c r="XN19" s="248"/>
      <c r="XO19" s="248"/>
      <c r="XP19" s="248"/>
      <c r="XQ19" s="248"/>
      <c r="XR19" s="248"/>
      <c r="XS19" s="248"/>
      <c r="XT19" s="248"/>
      <c r="XU19" s="248"/>
      <c r="XV19" s="248"/>
      <c r="XW19" s="248"/>
      <c r="XX19" s="248"/>
      <c r="XY19" s="248"/>
      <c r="XZ19" s="248"/>
      <c r="YA19" s="248"/>
      <c r="YB19" s="248"/>
      <c r="YC19" s="248"/>
      <c r="YD19" s="248"/>
      <c r="YE19" s="248"/>
      <c r="YF19" s="248"/>
      <c r="YG19" s="248"/>
      <c r="YH19" s="248"/>
      <c r="YI19" s="248"/>
      <c r="YJ19" s="248"/>
      <c r="YK19" s="248"/>
      <c r="YL19" s="248"/>
      <c r="YM19" s="248"/>
      <c r="YN19" s="248"/>
      <c r="YO19" s="248"/>
      <c r="YP19" s="248"/>
      <c r="YQ19" s="248"/>
      <c r="YR19" s="248"/>
      <c r="YS19" s="248"/>
      <c r="YT19" s="248"/>
      <c r="YU19" s="248"/>
      <c r="YV19" s="248"/>
      <c r="YW19" s="248"/>
      <c r="YX19" s="248"/>
      <c r="YY19" s="248"/>
      <c r="YZ19" s="248"/>
      <c r="ZA19" s="248"/>
      <c r="ZB19" s="248"/>
      <c r="ZC19" s="248"/>
      <c r="ZD19" s="248"/>
      <c r="ZE19" s="248"/>
      <c r="ZF19" s="248"/>
      <c r="ZG19" s="248"/>
      <c r="ZH19" s="248"/>
      <c r="ZI19" s="248"/>
      <c r="ZJ19" s="248"/>
      <c r="ZK19" s="248"/>
      <c r="ZL19" s="248"/>
      <c r="ZM19" s="248"/>
      <c r="ZN19" s="248"/>
      <c r="ZO19" s="248"/>
      <c r="ZP19" s="248"/>
      <c r="ZQ19" s="248"/>
      <c r="ZR19" s="248"/>
      <c r="ZS19" s="248"/>
      <c r="ZT19" s="248"/>
      <c r="ZU19" s="248"/>
      <c r="ZV19" s="248"/>
      <c r="ZW19" s="248"/>
      <c r="ZX19" s="248"/>
      <c r="ZY19" s="248"/>
      <c r="ZZ19" s="248"/>
      <c r="AAA19" s="248"/>
      <c r="AAB19" s="248"/>
      <c r="AAC19" s="248"/>
      <c r="AAD19" s="248"/>
      <c r="AAE19" s="248"/>
      <c r="AAF19" s="248"/>
      <c r="AAG19" s="248"/>
      <c r="AAH19" s="248"/>
      <c r="AAI19" s="248"/>
      <c r="AAJ19" s="248"/>
      <c r="AAK19" s="248"/>
      <c r="AAL19" s="248"/>
      <c r="AAM19" s="248"/>
      <c r="AAN19" s="248"/>
      <c r="AAO19" s="248"/>
      <c r="AAP19" s="248"/>
      <c r="AAQ19" s="248"/>
      <c r="AAR19" s="248"/>
      <c r="AAS19" s="248"/>
      <c r="AAT19" s="248"/>
      <c r="AAU19" s="248"/>
      <c r="AAV19" s="248"/>
      <c r="AAW19" s="248"/>
      <c r="AAX19" s="248"/>
      <c r="AAY19" s="248"/>
      <c r="AAZ19" s="248"/>
      <c r="ABA19" s="248"/>
      <c r="ABB19" s="248"/>
      <c r="ABC19" s="248"/>
      <c r="ABD19" s="248"/>
      <c r="ABE19" s="248"/>
      <c r="ABF19" s="248"/>
      <c r="ABG19" s="248"/>
      <c r="ABH19" s="248"/>
      <c r="ABI19" s="248"/>
      <c r="ABJ19" s="248"/>
      <c r="ABK19" s="248"/>
      <c r="ABL19" s="248"/>
      <c r="ABM19" s="248"/>
      <c r="ABN19" s="248"/>
      <c r="ABO19" s="248"/>
      <c r="ABP19" s="248"/>
      <c r="ABQ19" s="248"/>
      <c r="ABR19" s="248"/>
      <c r="ABS19" s="248"/>
      <c r="ABT19" s="248"/>
      <c r="ABU19" s="248"/>
      <c r="ABV19" s="248"/>
      <c r="ABW19" s="248"/>
      <c r="ABX19" s="248"/>
      <c r="ABY19" s="248"/>
      <c r="ABZ19" s="248"/>
      <c r="ACA19" s="248"/>
      <c r="ACB19" s="248"/>
      <c r="ACC19" s="248"/>
      <c r="ACD19" s="248"/>
      <c r="ACE19" s="248"/>
      <c r="ACF19" s="248"/>
      <c r="ACG19" s="248"/>
      <c r="ACH19" s="248"/>
      <c r="ACI19" s="248"/>
      <c r="ACJ19" s="248"/>
      <c r="ACK19" s="248"/>
      <c r="ACL19" s="248"/>
      <c r="ACM19" s="248"/>
      <c r="ACN19" s="248"/>
      <c r="ACO19" s="248"/>
      <c r="ACP19" s="248"/>
      <c r="ACQ19" s="248"/>
      <c r="ACR19" s="248"/>
      <c r="ACS19" s="248"/>
      <c r="ACT19" s="248"/>
      <c r="ACU19" s="248"/>
      <c r="ACV19" s="248"/>
      <c r="ACW19" s="248"/>
      <c r="ACX19" s="248"/>
      <c r="ACY19" s="248"/>
      <c r="ACZ19" s="248"/>
      <c r="ADA19" s="248"/>
      <c r="ADB19" s="248"/>
      <c r="ADC19" s="248"/>
      <c r="ADD19" s="248"/>
      <c r="ADE19" s="248"/>
      <c r="ADF19" s="248"/>
      <c r="ADG19" s="248"/>
      <c r="ADH19" s="248"/>
      <c r="ADI19" s="248"/>
      <c r="ADJ19" s="248"/>
      <c r="ADK19" s="248"/>
      <c r="ADL19" s="248"/>
      <c r="ADM19" s="248"/>
      <c r="ADN19" s="248"/>
      <c r="ADO19" s="248"/>
      <c r="ADP19" s="248"/>
      <c r="ADQ19" s="248"/>
      <c r="ADR19" s="248"/>
      <c r="ADS19" s="248"/>
      <c r="ADT19" s="248"/>
      <c r="ADU19" s="248"/>
      <c r="ADV19" s="248"/>
      <c r="ADW19" s="248"/>
      <c r="ADX19" s="248"/>
      <c r="ADY19" s="248"/>
      <c r="ADZ19" s="248"/>
      <c r="AEA19" s="248"/>
      <c r="AEB19" s="248"/>
      <c r="AEC19" s="248"/>
      <c r="AED19" s="248"/>
      <c r="AEE19" s="248"/>
      <c r="AEF19" s="248"/>
      <c r="AEG19" s="248"/>
      <c r="AEH19" s="248"/>
      <c r="AEI19" s="248"/>
      <c r="AEJ19" s="248"/>
      <c r="AEK19" s="248"/>
      <c r="AEL19" s="248"/>
      <c r="AEM19" s="248"/>
      <c r="AEN19" s="248"/>
      <c r="AEO19" s="248"/>
      <c r="AEP19" s="248"/>
      <c r="AEQ19" s="248"/>
      <c r="AER19" s="248"/>
      <c r="AES19" s="248"/>
      <c r="AET19" s="248"/>
      <c r="AEU19" s="248"/>
      <c r="AEV19" s="248"/>
      <c r="AEW19" s="248"/>
      <c r="AEX19" s="248"/>
      <c r="AEY19" s="248"/>
      <c r="AEZ19" s="248"/>
      <c r="AFA19" s="248"/>
      <c r="AFB19" s="248"/>
      <c r="AFC19" s="248"/>
      <c r="AFD19" s="248"/>
      <c r="AFE19" s="248"/>
      <c r="AFF19" s="248"/>
      <c r="AFG19" s="248"/>
      <c r="AFH19" s="248"/>
      <c r="AFI19" s="248"/>
      <c r="AFJ19" s="248"/>
      <c r="AFK19" s="248"/>
      <c r="AFL19" s="248"/>
      <c r="AFM19" s="248"/>
      <c r="AFN19" s="248"/>
      <c r="AFO19" s="248"/>
      <c r="AFP19" s="248"/>
      <c r="AFQ19" s="248"/>
      <c r="AFR19" s="248"/>
      <c r="AFS19" s="248"/>
      <c r="AFT19" s="248"/>
      <c r="AFU19" s="248"/>
      <c r="AFV19" s="248"/>
      <c r="AFW19" s="248"/>
      <c r="AFX19" s="248"/>
      <c r="AFY19" s="248"/>
      <c r="AFZ19" s="248"/>
      <c r="AGA19" s="248"/>
      <c r="AGB19" s="248"/>
      <c r="AGC19" s="248"/>
      <c r="AGD19" s="248"/>
      <c r="AGE19" s="248"/>
      <c r="AGF19" s="248"/>
      <c r="AGG19" s="248"/>
      <c r="AGH19" s="248"/>
      <c r="AGI19" s="248"/>
      <c r="AGJ19" s="248"/>
      <c r="AGK19" s="248"/>
      <c r="AGL19" s="248"/>
      <c r="AGM19" s="248"/>
      <c r="AGN19" s="248"/>
      <c r="AGO19" s="248"/>
      <c r="AGP19" s="248"/>
      <c r="AGQ19" s="248"/>
      <c r="AGR19" s="248"/>
      <c r="AGS19" s="248"/>
      <c r="AGT19" s="248"/>
      <c r="AGU19" s="248"/>
      <c r="AGV19" s="248"/>
      <c r="AGW19" s="248"/>
      <c r="AGX19" s="248"/>
      <c r="AGY19" s="248"/>
      <c r="AGZ19" s="248"/>
      <c r="AHA19" s="248"/>
      <c r="AHB19" s="248"/>
      <c r="AHC19" s="248"/>
      <c r="AHD19" s="248"/>
      <c r="AHE19" s="248"/>
      <c r="AHF19" s="248"/>
      <c r="AHG19" s="248"/>
      <c r="AHH19" s="248"/>
      <c r="AHI19" s="248"/>
      <c r="AHJ19" s="248"/>
      <c r="AHK19" s="248"/>
      <c r="AHL19" s="248"/>
      <c r="AHM19" s="248"/>
      <c r="AHN19" s="248"/>
      <c r="AHO19" s="248"/>
      <c r="AHP19" s="248"/>
      <c r="AHQ19" s="248"/>
      <c r="AHR19" s="248"/>
      <c r="AHS19" s="248"/>
      <c r="AHT19" s="248"/>
      <c r="AHU19" s="248"/>
      <c r="AHV19" s="248"/>
      <c r="AHW19" s="248"/>
      <c r="AHX19" s="248"/>
      <c r="AHY19" s="248"/>
      <c r="AHZ19" s="248"/>
      <c r="AIA19" s="248"/>
      <c r="AIB19" s="248"/>
      <c r="AIC19" s="248"/>
      <c r="AID19" s="248"/>
      <c r="AIE19" s="248"/>
      <c r="AIF19" s="248"/>
      <c r="AIG19" s="248"/>
      <c r="AIH19" s="248"/>
      <c r="AII19" s="248"/>
      <c r="AIJ19" s="248"/>
      <c r="AIK19" s="248"/>
      <c r="AIL19" s="248"/>
      <c r="AIM19" s="248"/>
      <c r="AIN19" s="248"/>
      <c r="AIO19" s="248"/>
      <c r="AIP19" s="248"/>
      <c r="AIQ19" s="248"/>
      <c r="AIR19" s="248"/>
      <c r="AIS19" s="248"/>
      <c r="AIT19" s="248"/>
      <c r="AIU19" s="248"/>
      <c r="AIV19" s="248"/>
      <c r="AIW19" s="248"/>
      <c r="AIX19" s="248"/>
      <c r="AIY19" s="248"/>
      <c r="AIZ19" s="248"/>
      <c r="AJA19" s="248"/>
      <c r="AJB19" s="248"/>
      <c r="AJC19" s="248"/>
      <c r="AJD19" s="248"/>
      <c r="AJE19" s="248"/>
      <c r="AJF19" s="248"/>
      <c r="AJG19" s="248"/>
      <c r="AJH19" s="248"/>
      <c r="AJI19" s="248"/>
      <c r="AJJ19" s="248"/>
      <c r="AJK19" s="248"/>
      <c r="AJL19" s="248"/>
      <c r="AJM19" s="248"/>
      <c r="AJN19" s="248"/>
      <c r="AJO19" s="248"/>
      <c r="AJP19" s="248"/>
      <c r="AJQ19" s="248"/>
      <c r="AJR19" s="248"/>
      <c r="AJS19" s="248"/>
      <c r="AJT19" s="248"/>
      <c r="AJU19" s="248"/>
      <c r="AJV19" s="248"/>
      <c r="AJW19" s="248"/>
      <c r="AJX19" s="248"/>
      <c r="AJY19" s="248"/>
      <c r="AJZ19" s="248"/>
      <c r="AKA19" s="248"/>
      <c r="AKB19" s="248"/>
      <c r="AKC19" s="248"/>
      <c r="AKD19" s="248"/>
      <c r="AKE19" s="248"/>
      <c r="AKF19" s="248"/>
      <c r="AKG19" s="248"/>
      <c r="AKH19" s="248"/>
      <c r="AKI19" s="248"/>
      <c r="AKJ19" s="248"/>
      <c r="AKK19" s="248"/>
      <c r="AKL19" s="248"/>
      <c r="AKM19" s="248"/>
      <c r="AKN19" s="248"/>
      <c r="AKO19" s="248"/>
      <c r="AKP19" s="248"/>
      <c r="AKQ19" s="248"/>
      <c r="AKR19" s="248"/>
      <c r="AKS19" s="248"/>
      <c r="AKT19" s="248"/>
      <c r="AKU19" s="248"/>
      <c r="AKV19" s="248"/>
      <c r="AKW19" s="248"/>
      <c r="AKX19" s="248"/>
      <c r="AKY19" s="248"/>
      <c r="AKZ19" s="248"/>
      <c r="ALA19" s="248"/>
      <c r="ALB19" s="248"/>
      <c r="ALC19" s="248"/>
      <c r="ALD19" s="248"/>
      <c r="ALE19" s="248"/>
      <c r="ALF19" s="248"/>
      <c r="ALG19" s="248"/>
      <c r="ALH19" s="248"/>
      <c r="ALI19" s="248"/>
      <c r="ALJ19" s="248"/>
      <c r="ALK19" s="248"/>
      <c r="ALL19" s="248"/>
      <c r="ALM19" s="248"/>
      <c r="ALN19" s="248"/>
      <c r="ALO19" s="248"/>
      <c r="ALP19" s="248"/>
      <c r="ALQ19" s="248"/>
      <c r="ALR19" s="248"/>
      <c r="ALS19" s="248"/>
      <c r="ALT19" s="248"/>
      <c r="ALU19" s="248"/>
      <c r="ALV19" s="248"/>
      <c r="ALW19" s="248"/>
      <c r="ALX19" s="248"/>
      <c r="ALY19" s="248"/>
      <c r="ALZ19" s="248"/>
      <c r="AMA19" s="248"/>
      <c r="AMB19" s="248"/>
      <c r="AMC19" s="248"/>
      <c r="AMD19" s="248"/>
      <c r="AME19" s="248"/>
      <c r="AMF19" s="248"/>
      <c r="AMG19" s="248"/>
      <c r="AMH19" s="248"/>
      <c r="AMI19" s="248"/>
      <c r="AMJ19" s="248"/>
      <c r="AMK19" s="248"/>
      <c r="AML19" s="248"/>
      <c r="AMM19" s="248"/>
      <c r="AMN19" s="248"/>
      <c r="AMO19" s="248"/>
      <c r="AMP19" s="248"/>
      <c r="AMQ19" s="248"/>
      <c r="AMR19" s="248"/>
      <c r="AMS19" s="248"/>
      <c r="AMT19" s="248"/>
      <c r="AMU19" s="248"/>
      <c r="AMV19" s="248"/>
      <c r="AMW19" s="248"/>
      <c r="AMX19" s="248"/>
      <c r="AMY19" s="248"/>
      <c r="AMZ19" s="248"/>
      <c r="ANA19" s="248"/>
      <c r="ANB19" s="248"/>
      <c r="ANC19" s="248"/>
      <c r="AND19" s="248"/>
      <c r="ANE19" s="248"/>
      <c r="ANF19" s="248"/>
      <c r="ANG19" s="248"/>
      <c r="ANH19" s="248"/>
      <c r="ANI19" s="248"/>
      <c r="ANJ19" s="248"/>
      <c r="ANK19" s="248"/>
      <c r="ANL19" s="248"/>
      <c r="ANM19" s="248"/>
      <c r="ANN19" s="248"/>
      <c r="ANO19" s="248"/>
      <c r="ANP19" s="248"/>
      <c r="ANQ19" s="248"/>
      <c r="ANR19" s="248"/>
      <c r="ANS19" s="248"/>
      <c r="ANT19" s="248"/>
      <c r="ANU19" s="248"/>
      <c r="ANV19" s="248"/>
      <c r="ANW19" s="248"/>
      <c r="ANX19" s="248"/>
      <c r="ANY19" s="248"/>
      <c r="ANZ19" s="248"/>
      <c r="AOA19" s="248"/>
      <c r="AOB19" s="248"/>
      <c r="AOC19" s="248"/>
      <c r="AOD19" s="248"/>
      <c r="AOE19" s="248"/>
      <c r="AOF19" s="248"/>
      <c r="AOG19" s="248"/>
      <c r="AOH19" s="248"/>
      <c r="AOI19" s="248"/>
      <c r="AOJ19" s="248"/>
      <c r="AOK19" s="248"/>
      <c r="AOL19" s="248"/>
      <c r="AOM19" s="248"/>
      <c r="AON19" s="248"/>
      <c r="AOO19" s="248"/>
      <c r="AOP19" s="248"/>
      <c r="AOQ19" s="248"/>
      <c r="AOR19" s="248"/>
      <c r="AOS19" s="248"/>
      <c r="AOT19" s="248"/>
      <c r="AOU19" s="248"/>
      <c r="AOV19" s="248"/>
      <c r="AOW19" s="248"/>
      <c r="AOX19" s="248"/>
      <c r="AOY19" s="248"/>
      <c r="AOZ19" s="248"/>
      <c r="APA19" s="248"/>
      <c r="APB19" s="248"/>
      <c r="APC19" s="248"/>
      <c r="APD19" s="248"/>
      <c r="APE19" s="248"/>
      <c r="APF19" s="248"/>
      <c r="APG19" s="248"/>
      <c r="APH19" s="248"/>
      <c r="API19" s="248"/>
      <c r="APJ19" s="248"/>
      <c r="APK19" s="248"/>
      <c r="APL19" s="248"/>
      <c r="APM19" s="248"/>
      <c r="APN19" s="248"/>
      <c r="APO19" s="248"/>
      <c r="APP19" s="248"/>
      <c r="APQ19" s="248"/>
      <c r="APR19" s="248"/>
      <c r="APS19" s="248"/>
      <c r="APT19" s="248"/>
      <c r="APU19" s="248"/>
      <c r="APV19" s="248"/>
      <c r="APW19" s="248"/>
      <c r="APX19" s="248"/>
      <c r="APY19" s="248"/>
      <c r="APZ19" s="248"/>
      <c r="AQA19" s="248"/>
      <c r="AQB19" s="248"/>
      <c r="AQC19" s="248"/>
      <c r="AQD19" s="248"/>
      <c r="AQE19" s="248"/>
      <c r="AQF19" s="248"/>
      <c r="AQG19" s="248"/>
      <c r="AQH19" s="248"/>
      <c r="AQI19" s="248"/>
      <c r="AQJ19" s="248"/>
      <c r="AQK19" s="248"/>
      <c r="AQL19" s="248"/>
      <c r="AQM19" s="248"/>
      <c r="AQN19" s="248"/>
      <c r="AQO19" s="248"/>
      <c r="AQP19" s="248"/>
      <c r="AQQ19" s="248"/>
      <c r="AQR19" s="248"/>
      <c r="AQS19" s="248"/>
      <c r="AQT19" s="248"/>
      <c r="AQU19" s="248"/>
      <c r="AQV19" s="248"/>
      <c r="AQW19" s="248"/>
      <c r="AQX19" s="248"/>
      <c r="AQY19" s="248"/>
      <c r="AQZ19" s="248"/>
      <c r="ARA19" s="248"/>
      <c r="ARB19" s="248"/>
      <c r="ARC19" s="248"/>
      <c r="ARD19" s="248"/>
      <c r="ARE19" s="248"/>
      <c r="ARF19" s="248"/>
      <c r="ARG19" s="248"/>
      <c r="ARH19" s="248"/>
      <c r="ARI19" s="248"/>
      <c r="ARJ19" s="248"/>
      <c r="ARK19" s="248"/>
      <c r="ARL19" s="248"/>
      <c r="ARM19" s="248"/>
      <c r="ARN19" s="248"/>
      <c r="ARO19" s="248"/>
      <c r="ARP19" s="248"/>
      <c r="ARQ19" s="248"/>
      <c r="ARR19" s="248"/>
      <c r="ARS19" s="248"/>
      <c r="ART19" s="248"/>
      <c r="ARU19" s="248"/>
      <c r="ARV19" s="248"/>
      <c r="ARW19" s="248"/>
      <c r="ARX19" s="248"/>
      <c r="ARY19" s="248"/>
      <c r="ARZ19" s="248"/>
      <c r="ASA19" s="248"/>
      <c r="ASB19" s="248"/>
      <c r="ASC19" s="248"/>
      <c r="ASD19" s="248"/>
      <c r="ASE19" s="248"/>
      <c r="ASF19" s="248"/>
      <c r="ASG19" s="248"/>
      <c r="ASH19" s="248"/>
      <c r="ASI19" s="248"/>
      <c r="ASJ19" s="248"/>
      <c r="ASK19" s="248"/>
      <c r="ASL19" s="248"/>
      <c r="ASM19" s="248"/>
      <c r="ASN19" s="248"/>
      <c r="ASO19" s="248"/>
      <c r="ASP19" s="248"/>
      <c r="ASQ19" s="248"/>
      <c r="ASR19" s="248"/>
      <c r="ASS19" s="248"/>
      <c r="AST19" s="248"/>
      <c r="ASU19" s="248"/>
      <c r="ASV19" s="248"/>
      <c r="ASW19" s="248"/>
      <c r="ASX19" s="248"/>
      <c r="ASY19" s="248"/>
      <c r="ASZ19" s="248"/>
      <c r="ATA19" s="248"/>
      <c r="ATB19" s="248"/>
      <c r="ATC19" s="248"/>
      <c r="ATD19" s="248"/>
      <c r="ATE19" s="248"/>
      <c r="ATF19" s="248"/>
      <c r="ATG19" s="248"/>
      <c r="ATH19" s="248"/>
      <c r="ATI19" s="248"/>
      <c r="ATJ19" s="248"/>
      <c r="ATK19" s="248"/>
      <c r="ATL19" s="248"/>
      <c r="ATM19" s="248"/>
      <c r="ATN19" s="248"/>
      <c r="ATO19" s="248"/>
      <c r="ATP19" s="248"/>
      <c r="ATQ19" s="248"/>
      <c r="ATR19" s="248"/>
      <c r="ATS19" s="248"/>
      <c r="ATT19" s="248"/>
      <c r="ATU19" s="248"/>
      <c r="ATV19" s="248"/>
      <c r="ATW19" s="248"/>
      <c r="ATX19" s="248"/>
      <c r="ATY19" s="248"/>
      <c r="ATZ19" s="248"/>
      <c r="AUA19" s="248"/>
      <c r="AUB19" s="248"/>
      <c r="AUC19" s="248"/>
      <c r="AUD19" s="248"/>
      <c r="AUE19" s="248"/>
      <c r="AUF19" s="248"/>
      <c r="AUG19" s="248"/>
      <c r="AUH19" s="248"/>
      <c r="AUI19" s="248"/>
      <c r="AUJ19" s="248"/>
      <c r="AUK19" s="248"/>
      <c r="AUL19" s="248"/>
      <c r="AUM19" s="248"/>
      <c r="AUN19" s="248"/>
      <c r="AUO19" s="248"/>
      <c r="AUP19" s="248"/>
      <c r="AUQ19" s="248"/>
      <c r="AUR19" s="248"/>
      <c r="AUS19" s="248"/>
      <c r="AUT19" s="248"/>
      <c r="AUU19" s="248"/>
      <c r="AUV19" s="248"/>
      <c r="AUW19" s="248"/>
      <c r="AUX19" s="248"/>
      <c r="AUY19" s="248"/>
      <c r="AUZ19" s="248"/>
      <c r="AVA19" s="248"/>
      <c r="AVB19" s="248"/>
      <c r="AVC19" s="248"/>
      <c r="AVD19" s="248"/>
      <c r="AVE19" s="248"/>
      <c r="AVF19" s="248"/>
      <c r="AVG19" s="248"/>
      <c r="AVH19" s="248"/>
      <c r="AVI19" s="248"/>
      <c r="AVJ19" s="248"/>
      <c r="AVK19" s="248"/>
      <c r="AVL19" s="248"/>
      <c r="AVM19" s="248"/>
      <c r="AVN19" s="248"/>
      <c r="AVO19" s="248"/>
      <c r="AVP19" s="248"/>
      <c r="AVQ19" s="248"/>
      <c r="AVR19" s="248"/>
      <c r="AVS19" s="248"/>
      <c r="AVT19" s="248"/>
      <c r="AVU19" s="248"/>
      <c r="AVV19" s="248"/>
      <c r="AVW19" s="248"/>
      <c r="AVX19" s="248"/>
      <c r="AVY19" s="248"/>
      <c r="AVZ19" s="248"/>
      <c r="AWA19" s="248"/>
      <c r="AWB19" s="248"/>
      <c r="AWC19" s="248"/>
      <c r="AWD19" s="248"/>
      <c r="AWE19" s="248"/>
      <c r="AWF19" s="248"/>
      <c r="AWG19" s="248"/>
      <c r="AWH19" s="248"/>
      <c r="AWI19" s="248"/>
      <c r="AWJ19" s="248"/>
      <c r="AWK19" s="248"/>
      <c r="AWL19" s="248"/>
      <c r="AWM19" s="248"/>
      <c r="AWN19" s="248"/>
      <c r="AWO19" s="248"/>
      <c r="AWP19" s="248"/>
      <c r="AWQ19" s="248"/>
      <c r="AWR19" s="248"/>
      <c r="AWS19" s="248"/>
      <c r="AWT19" s="248"/>
      <c r="AWU19" s="248"/>
      <c r="AWV19" s="248"/>
      <c r="AWW19" s="248"/>
      <c r="AWX19" s="248"/>
      <c r="AWY19" s="248"/>
      <c r="AWZ19" s="248"/>
      <c r="AXA19" s="248"/>
      <c r="AXB19" s="248"/>
      <c r="AXC19" s="248"/>
      <c r="AXD19" s="248"/>
      <c r="AXE19" s="248"/>
      <c r="AXF19" s="248"/>
      <c r="AXG19" s="248"/>
      <c r="AXH19" s="248"/>
      <c r="AXI19" s="248"/>
      <c r="AXJ19" s="248"/>
      <c r="AXK19" s="248"/>
      <c r="AXL19" s="248"/>
      <c r="AXM19" s="248"/>
      <c r="AXN19" s="248"/>
      <c r="AXO19" s="248"/>
      <c r="AXP19" s="248"/>
      <c r="AXQ19" s="248"/>
      <c r="AXR19" s="248"/>
      <c r="AXS19" s="248"/>
      <c r="AXT19" s="248"/>
      <c r="AXU19" s="248"/>
      <c r="AXV19" s="248"/>
      <c r="AXW19" s="248"/>
      <c r="AXX19" s="248"/>
      <c r="AXY19" s="248"/>
      <c r="AXZ19" s="248"/>
      <c r="AYA19" s="248"/>
      <c r="AYB19" s="248"/>
      <c r="AYC19" s="248"/>
      <c r="AYD19" s="248"/>
      <c r="AYE19" s="248"/>
      <c r="AYF19" s="248"/>
      <c r="AYG19" s="248"/>
      <c r="AYH19" s="248"/>
      <c r="AYI19" s="248"/>
      <c r="AYJ19" s="248"/>
      <c r="AYK19" s="248"/>
      <c r="AYL19" s="248"/>
      <c r="AYM19" s="248"/>
      <c r="AYN19" s="248"/>
      <c r="AYO19" s="248"/>
      <c r="AYP19" s="248"/>
      <c r="AYQ19" s="248"/>
      <c r="AYR19" s="248"/>
      <c r="AYS19" s="248"/>
      <c r="AYT19" s="248"/>
      <c r="AYU19" s="248"/>
      <c r="AYV19" s="248"/>
      <c r="AYW19" s="248"/>
      <c r="AYX19" s="248"/>
      <c r="AYY19" s="248"/>
      <c r="AYZ19" s="248"/>
      <c r="AZA19" s="248"/>
      <c r="AZB19" s="248"/>
      <c r="AZC19" s="248"/>
      <c r="AZD19" s="248"/>
      <c r="AZE19" s="248"/>
      <c r="AZF19" s="248"/>
      <c r="AZG19" s="248"/>
      <c r="AZH19" s="248"/>
      <c r="AZI19" s="248"/>
      <c r="AZJ19" s="248"/>
      <c r="AZK19" s="248"/>
      <c r="AZL19" s="248"/>
      <c r="AZM19" s="248"/>
      <c r="AZN19" s="248"/>
      <c r="AZO19" s="248"/>
      <c r="AZP19" s="248"/>
      <c r="AZQ19" s="248"/>
      <c r="AZR19" s="248"/>
      <c r="AZS19" s="248"/>
      <c r="AZT19" s="248"/>
      <c r="AZU19" s="248"/>
      <c r="AZV19" s="248"/>
      <c r="AZW19" s="248"/>
      <c r="AZX19" s="248"/>
      <c r="AZY19" s="248"/>
      <c r="AZZ19" s="248"/>
      <c r="BAA19" s="248"/>
      <c r="BAB19" s="248"/>
      <c r="BAC19" s="248"/>
      <c r="BAD19" s="248"/>
      <c r="BAE19" s="248"/>
      <c r="BAF19" s="248"/>
      <c r="BAG19" s="248"/>
      <c r="BAH19" s="248"/>
      <c r="BAI19" s="248"/>
      <c r="BAJ19" s="248"/>
      <c r="BAK19" s="248"/>
      <c r="BAL19" s="248"/>
      <c r="BAM19" s="248"/>
      <c r="BAN19" s="248"/>
      <c r="BAO19" s="248"/>
      <c r="BAP19" s="248"/>
      <c r="BAQ19" s="248"/>
      <c r="BAR19" s="248"/>
      <c r="BAS19" s="248"/>
      <c r="BAT19" s="248"/>
      <c r="BAU19" s="248"/>
      <c r="BAV19" s="248"/>
      <c r="BAW19" s="248"/>
      <c r="BAX19" s="248"/>
      <c r="BAY19" s="248"/>
      <c r="BAZ19" s="248"/>
      <c r="BBA19" s="248"/>
      <c r="BBB19" s="248"/>
      <c r="BBC19" s="248"/>
      <c r="BBD19" s="248"/>
      <c r="BBE19" s="248"/>
      <c r="BBF19" s="248"/>
      <c r="BBG19" s="248"/>
      <c r="BBH19" s="248"/>
      <c r="BBI19" s="248"/>
      <c r="BBJ19" s="248"/>
      <c r="BBK19" s="248"/>
      <c r="BBL19" s="248"/>
      <c r="BBM19" s="248"/>
      <c r="BBN19" s="248"/>
      <c r="BBO19" s="248"/>
      <c r="BBP19" s="248"/>
      <c r="BBQ19" s="248"/>
      <c r="BBR19" s="248"/>
      <c r="BBS19" s="248"/>
      <c r="BBT19" s="248"/>
      <c r="BBU19" s="248"/>
      <c r="BBV19" s="248"/>
      <c r="BBW19" s="248"/>
      <c r="BBX19" s="248"/>
      <c r="BBY19" s="248"/>
      <c r="BBZ19" s="248"/>
      <c r="BCA19" s="248"/>
      <c r="BCB19" s="248"/>
      <c r="BCC19" s="248"/>
      <c r="BCD19" s="248"/>
      <c r="BCE19" s="248"/>
      <c r="BCF19" s="248"/>
      <c r="BCG19" s="248"/>
      <c r="BCH19" s="248"/>
      <c r="BCI19" s="248"/>
      <c r="BCJ19" s="248"/>
      <c r="BCK19" s="248"/>
      <c r="BCL19" s="248"/>
      <c r="BCM19" s="248"/>
      <c r="BCN19" s="248"/>
      <c r="BCO19" s="248"/>
      <c r="BCP19" s="248"/>
      <c r="BCQ19" s="248"/>
      <c r="BCR19" s="248"/>
      <c r="BCS19" s="248"/>
      <c r="BCT19" s="248"/>
      <c r="BCU19" s="248"/>
      <c r="BCV19" s="248"/>
      <c r="BCW19" s="248"/>
      <c r="BCX19" s="248"/>
      <c r="BCY19" s="248"/>
      <c r="BCZ19" s="248"/>
      <c r="BDA19" s="248"/>
      <c r="BDB19" s="248"/>
      <c r="BDC19" s="248"/>
      <c r="BDD19" s="248"/>
      <c r="BDE19" s="248"/>
      <c r="BDF19" s="248"/>
      <c r="BDG19" s="248"/>
      <c r="BDH19" s="248"/>
      <c r="BDI19" s="248"/>
      <c r="BDJ19" s="248"/>
      <c r="BDK19" s="248"/>
      <c r="BDL19" s="248"/>
      <c r="BDM19" s="248"/>
      <c r="BDN19" s="248"/>
      <c r="BDO19" s="248"/>
      <c r="BDP19" s="248"/>
      <c r="BDQ19" s="248"/>
      <c r="BDR19" s="248"/>
      <c r="BDS19" s="248"/>
      <c r="BDT19" s="248"/>
      <c r="BDU19" s="248"/>
      <c r="BDV19" s="248"/>
      <c r="BDW19" s="248"/>
      <c r="BDX19" s="248"/>
      <c r="BDY19" s="248"/>
      <c r="BDZ19" s="248"/>
      <c r="BEA19" s="248"/>
      <c r="BEB19" s="248"/>
      <c r="BEC19" s="248"/>
      <c r="BED19" s="248"/>
      <c r="BEE19" s="248"/>
      <c r="BEF19" s="248"/>
      <c r="BEG19" s="248"/>
      <c r="BEH19" s="248"/>
      <c r="BEI19" s="248"/>
      <c r="BEJ19" s="248"/>
      <c r="BEK19" s="248"/>
      <c r="BEL19" s="248"/>
      <c r="BEM19" s="248"/>
      <c r="BEN19" s="248"/>
      <c r="BEO19" s="248"/>
      <c r="BEP19" s="248"/>
      <c r="BEQ19" s="248"/>
      <c r="BER19" s="248"/>
      <c r="BES19" s="248"/>
      <c r="BET19" s="248"/>
      <c r="BEU19" s="248"/>
      <c r="BEV19" s="248"/>
      <c r="BEW19" s="248"/>
      <c r="BEX19" s="248"/>
      <c r="BEY19" s="248"/>
      <c r="BEZ19" s="248"/>
      <c r="BFA19" s="248"/>
      <c r="BFB19" s="248"/>
      <c r="BFC19" s="248"/>
      <c r="BFD19" s="248"/>
      <c r="BFE19" s="248"/>
      <c r="BFF19" s="248"/>
      <c r="BFG19" s="248"/>
      <c r="BFH19" s="248"/>
      <c r="BFI19" s="248"/>
      <c r="BFJ19" s="248"/>
      <c r="BFK19" s="248"/>
      <c r="BFL19" s="248"/>
      <c r="BFM19" s="248"/>
      <c r="BFN19" s="248"/>
      <c r="BFO19" s="248"/>
      <c r="BFP19" s="248"/>
      <c r="BFQ19" s="248"/>
      <c r="BFR19" s="248"/>
      <c r="BFS19" s="248"/>
      <c r="BFT19" s="248"/>
      <c r="BFU19" s="248"/>
      <c r="BFV19" s="248"/>
      <c r="BFW19" s="248"/>
      <c r="BFX19" s="248"/>
      <c r="BFY19" s="248"/>
      <c r="BFZ19" s="248"/>
      <c r="BGA19" s="248"/>
      <c r="BGB19" s="248"/>
      <c r="BGC19" s="248"/>
      <c r="BGD19" s="248"/>
      <c r="BGE19" s="248"/>
      <c r="BGF19" s="248"/>
      <c r="BGG19" s="248"/>
      <c r="BGH19" s="248"/>
      <c r="BGI19" s="248"/>
      <c r="BGJ19" s="248"/>
      <c r="BGK19" s="248"/>
      <c r="BGL19" s="248"/>
      <c r="BGM19" s="248"/>
      <c r="BGN19" s="248"/>
      <c r="BGO19" s="248"/>
      <c r="BGP19" s="248"/>
      <c r="BGQ19" s="248"/>
      <c r="BGR19" s="248"/>
      <c r="BGS19" s="248"/>
      <c r="BGT19" s="248"/>
      <c r="BGU19" s="248"/>
      <c r="BGV19" s="248"/>
      <c r="BGW19" s="248"/>
      <c r="BGX19" s="248"/>
      <c r="BGY19" s="248"/>
      <c r="BGZ19" s="248"/>
      <c r="BHA19" s="248"/>
      <c r="BHB19" s="248"/>
      <c r="BHC19" s="248"/>
      <c r="BHD19" s="248"/>
      <c r="BHE19" s="248"/>
      <c r="BHF19" s="248"/>
      <c r="BHG19" s="248"/>
      <c r="BHH19" s="248"/>
      <c r="BHI19" s="248"/>
      <c r="BHJ19" s="248"/>
      <c r="BHK19" s="248"/>
      <c r="BHL19" s="248"/>
      <c r="BHM19" s="248"/>
      <c r="BHN19" s="248"/>
      <c r="BHO19" s="248"/>
      <c r="BHP19" s="248"/>
      <c r="BHQ19" s="248"/>
      <c r="BHR19" s="248"/>
      <c r="BHS19" s="248"/>
      <c r="BHT19" s="248"/>
      <c r="BHU19" s="248"/>
      <c r="BHV19" s="248"/>
      <c r="BHW19" s="248"/>
      <c r="BHX19" s="248"/>
      <c r="BHY19" s="248"/>
      <c r="BHZ19" s="248"/>
      <c r="BIA19" s="248"/>
      <c r="BIB19" s="248"/>
      <c r="BIC19" s="248"/>
      <c r="BID19" s="248"/>
      <c r="BIE19" s="248"/>
      <c r="BIF19" s="248"/>
      <c r="BIG19" s="248"/>
      <c r="BIH19" s="248"/>
      <c r="BII19" s="248"/>
      <c r="BIJ19" s="248"/>
      <c r="BIK19" s="248"/>
      <c r="BIL19" s="248"/>
      <c r="BIM19" s="248"/>
      <c r="BIN19" s="248"/>
      <c r="BIO19" s="248"/>
      <c r="BIP19" s="248"/>
      <c r="BIQ19" s="248"/>
      <c r="BIR19" s="248"/>
      <c r="BIS19" s="248"/>
      <c r="BIT19" s="248"/>
      <c r="BIU19" s="248"/>
      <c r="BIV19" s="248"/>
      <c r="BIW19" s="248"/>
      <c r="BIX19" s="248"/>
      <c r="BIY19" s="248"/>
      <c r="BIZ19" s="248"/>
      <c r="BJA19" s="248"/>
      <c r="BJB19" s="248"/>
      <c r="BJC19" s="248"/>
      <c r="BJD19" s="248"/>
      <c r="BJE19" s="248"/>
      <c r="BJF19" s="248"/>
      <c r="BJG19" s="248"/>
      <c r="BJH19" s="248"/>
      <c r="BJI19" s="248"/>
      <c r="BJJ19" s="248"/>
      <c r="BJK19" s="248"/>
      <c r="BJL19" s="248"/>
      <c r="BJM19" s="248"/>
      <c r="BJN19" s="248"/>
      <c r="BJO19" s="248"/>
      <c r="BJP19" s="248"/>
      <c r="BJQ19" s="248"/>
      <c r="BJR19" s="248"/>
      <c r="BJS19" s="248"/>
      <c r="BJT19" s="248"/>
      <c r="BJU19" s="248"/>
      <c r="BJV19" s="248"/>
      <c r="BJW19" s="248"/>
      <c r="BJX19" s="248"/>
      <c r="BJY19" s="248"/>
      <c r="BJZ19" s="248"/>
      <c r="BKA19" s="248"/>
      <c r="BKB19" s="248"/>
      <c r="BKC19" s="248"/>
      <c r="BKD19" s="248"/>
      <c r="BKE19" s="248"/>
      <c r="BKF19" s="248"/>
      <c r="BKG19" s="248"/>
      <c r="BKH19" s="248"/>
      <c r="BKI19" s="248"/>
      <c r="BKJ19" s="248"/>
      <c r="BKK19" s="248"/>
      <c r="BKL19" s="248"/>
      <c r="BKM19" s="248"/>
      <c r="BKN19" s="248"/>
      <c r="BKO19" s="248"/>
      <c r="BKP19" s="248"/>
      <c r="BKQ19" s="248"/>
      <c r="BKR19" s="248"/>
      <c r="BKS19" s="248"/>
      <c r="BKT19" s="248"/>
      <c r="BKU19" s="248"/>
      <c r="BKV19" s="248"/>
      <c r="BKW19" s="248"/>
      <c r="BKX19" s="248"/>
      <c r="BKY19" s="248"/>
      <c r="BKZ19" s="248"/>
      <c r="BLA19" s="248"/>
      <c r="BLB19" s="248"/>
      <c r="BLC19" s="248"/>
      <c r="BLD19" s="248"/>
      <c r="BLE19" s="248"/>
      <c r="BLF19" s="248"/>
      <c r="BLG19" s="248"/>
      <c r="BLH19" s="248"/>
      <c r="BLI19" s="248"/>
      <c r="BLJ19" s="248"/>
      <c r="BLK19" s="248"/>
      <c r="BLL19" s="248"/>
      <c r="BLM19" s="248"/>
      <c r="BLN19" s="248"/>
      <c r="BLO19" s="248"/>
      <c r="BLP19" s="248"/>
      <c r="BLQ19" s="248"/>
      <c r="BLR19" s="248"/>
      <c r="BLS19" s="248"/>
      <c r="BLT19" s="248"/>
      <c r="BLU19" s="248"/>
      <c r="BLV19" s="248"/>
      <c r="BLW19" s="248"/>
      <c r="BLX19" s="248"/>
      <c r="BLY19" s="248"/>
      <c r="BLZ19" s="248"/>
      <c r="BMA19" s="248"/>
      <c r="BMB19" s="248"/>
      <c r="BMC19" s="248"/>
      <c r="BMD19" s="248"/>
      <c r="BME19" s="248"/>
      <c r="BMF19" s="248"/>
      <c r="BMG19" s="248"/>
      <c r="BMH19" s="248"/>
      <c r="BMI19" s="248"/>
      <c r="BMJ19" s="248"/>
      <c r="BMK19" s="248"/>
      <c r="BML19" s="248"/>
      <c r="BMM19" s="248"/>
      <c r="BMN19" s="248"/>
      <c r="BMO19" s="248"/>
      <c r="BMP19" s="248"/>
      <c r="BMQ19" s="248"/>
      <c r="BMR19" s="248"/>
      <c r="BMS19" s="248"/>
      <c r="BMT19" s="248"/>
      <c r="BMU19" s="248"/>
      <c r="BMV19" s="248"/>
      <c r="BMW19" s="248"/>
      <c r="BMX19" s="248"/>
      <c r="BMY19" s="248"/>
      <c r="BMZ19" s="248"/>
      <c r="BNA19" s="248"/>
      <c r="BNB19" s="248"/>
      <c r="BNC19" s="248"/>
      <c r="BND19" s="248"/>
      <c r="BNE19" s="248"/>
      <c r="BNF19" s="248"/>
      <c r="BNG19" s="248"/>
      <c r="BNH19" s="248"/>
      <c r="BNI19" s="248"/>
      <c r="BNJ19" s="248"/>
      <c r="BNK19" s="248"/>
      <c r="BNL19" s="248"/>
      <c r="BNM19" s="248"/>
      <c r="BNN19" s="248"/>
      <c r="BNO19" s="248"/>
      <c r="BNP19" s="248"/>
      <c r="BNQ19" s="248"/>
      <c r="BNR19" s="248"/>
      <c r="BNS19" s="248"/>
      <c r="BNT19" s="248"/>
      <c r="BNU19" s="248"/>
      <c r="BNV19" s="248"/>
      <c r="BNW19" s="248"/>
      <c r="BNX19" s="248"/>
      <c r="BNY19" s="248"/>
      <c r="BNZ19" s="248"/>
      <c r="BOA19" s="248"/>
      <c r="BOB19" s="248"/>
      <c r="BOC19" s="248"/>
      <c r="BOD19" s="248"/>
      <c r="BOE19" s="248"/>
      <c r="BOF19" s="248"/>
      <c r="BOG19" s="248"/>
      <c r="BOH19" s="248"/>
      <c r="BOI19" s="248"/>
      <c r="BOJ19" s="248"/>
      <c r="BOK19" s="248"/>
      <c r="BOL19" s="248"/>
      <c r="BOM19" s="248"/>
      <c r="BON19" s="248"/>
      <c r="BOO19" s="248"/>
      <c r="BOP19" s="248"/>
      <c r="BOQ19" s="248"/>
      <c r="BOR19" s="248"/>
      <c r="BOS19" s="248"/>
      <c r="BOT19" s="248"/>
      <c r="BOU19" s="248"/>
      <c r="BOV19" s="248"/>
      <c r="BOW19" s="248"/>
      <c r="BOX19" s="248"/>
      <c r="BOY19" s="248"/>
      <c r="BOZ19" s="248"/>
      <c r="BPA19" s="248"/>
      <c r="BPB19" s="248"/>
      <c r="BPC19" s="248"/>
      <c r="BPD19" s="248"/>
      <c r="BPE19" s="248"/>
      <c r="BPF19" s="248"/>
      <c r="BPG19" s="248"/>
      <c r="BPH19" s="248"/>
      <c r="BPI19" s="248"/>
      <c r="BPJ19" s="248"/>
      <c r="BPK19" s="248"/>
      <c r="BPL19" s="248"/>
      <c r="BPM19" s="248"/>
      <c r="BPN19" s="248"/>
      <c r="BPO19" s="248"/>
      <c r="BPP19" s="248"/>
      <c r="BPQ19" s="248"/>
      <c r="BPR19" s="248"/>
      <c r="BPS19" s="248"/>
      <c r="BPT19" s="248"/>
      <c r="BPU19" s="248"/>
      <c r="BPV19" s="248"/>
      <c r="BPW19" s="248"/>
      <c r="BPX19" s="248"/>
      <c r="BPY19" s="248"/>
      <c r="BPZ19" s="248"/>
      <c r="BQA19" s="248"/>
      <c r="BQB19" s="248"/>
      <c r="BQC19" s="248"/>
      <c r="BQD19" s="248"/>
      <c r="BQE19" s="248"/>
      <c r="BQF19" s="248"/>
      <c r="BQG19" s="248"/>
      <c r="BQH19" s="248"/>
      <c r="BQI19" s="248"/>
      <c r="BQJ19" s="248"/>
      <c r="BQK19" s="248"/>
      <c r="BQL19" s="248"/>
      <c r="BQM19" s="248"/>
      <c r="BQN19" s="248"/>
      <c r="BQO19" s="248"/>
      <c r="BQP19" s="248"/>
      <c r="BQQ19" s="248"/>
      <c r="BQR19" s="248"/>
      <c r="BQS19" s="248"/>
      <c r="BQT19" s="248"/>
      <c r="BQU19" s="248"/>
      <c r="BQV19" s="248"/>
      <c r="BQW19" s="248"/>
      <c r="BQX19" s="248"/>
      <c r="BQY19" s="248"/>
      <c r="BQZ19" s="248"/>
      <c r="BRA19" s="248"/>
      <c r="BRB19" s="248"/>
      <c r="BRC19" s="248"/>
      <c r="BRD19" s="248"/>
      <c r="BRE19" s="248"/>
      <c r="BRF19" s="248"/>
      <c r="BRG19" s="248"/>
      <c r="BRH19" s="248"/>
      <c r="BRI19" s="248"/>
      <c r="BRJ19" s="248"/>
      <c r="BRK19" s="248"/>
      <c r="BRL19" s="248"/>
      <c r="BRM19" s="248"/>
      <c r="BRN19" s="248"/>
      <c r="BRO19" s="248"/>
      <c r="BRP19" s="248"/>
      <c r="BRQ19" s="248"/>
      <c r="BRR19" s="248"/>
      <c r="BRS19" s="248"/>
      <c r="BRT19" s="248"/>
      <c r="BRU19" s="248"/>
      <c r="BRV19" s="248"/>
      <c r="BRW19" s="248"/>
      <c r="BRX19" s="248"/>
      <c r="BRY19" s="248"/>
      <c r="BRZ19" s="248"/>
      <c r="BSA19" s="248"/>
      <c r="BSB19" s="248"/>
      <c r="BSC19" s="248"/>
      <c r="BSD19" s="248"/>
      <c r="BSE19" s="248"/>
      <c r="BSF19" s="248"/>
      <c r="BSG19" s="248"/>
      <c r="BSH19" s="248"/>
      <c r="BSI19" s="248"/>
      <c r="BSJ19" s="248"/>
      <c r="BSK19" s="248"/>
      <c r="BSL19" s="248"/>
      <c r="BSM19" s="248"/>
      <c r="BSN19" s="248"/>
      <c r="BSO19" s="248"/>
      <c r="BSP19" s="248"/>
      <c r="BSQ19" s="248"/>
      <c r="BSR19" s="248"/>
      <c r="BSS19" s="248"/>
      <c r="BST19" s="248"/>
      <c r="BSU19" s="248"/>
      <c r="BSV19" s="248"/>
      <c r="BSW19" s="248"/>
      <c r="BSX19" s="248"/>
      <c r="BSY19" s="248"/>
      <c r="BSZ19" s="248"/>
      <c r="BTA19" s="248"/>
      <c r="BTB19" s="248"/>
      <c r="BTC19" s="248"/>
      <c r="BTD19" s="248"/>
      <c r="BTE19" s="248"/>
      <c r="BTF19" s="248"/>
      <c r="BTG19" s="248"/>
      <c r="BTH19" s="248"/>
      <c r="BTI19" s="248"/>
      <c r="BTJ19" s="248"/>
      <c r="BTK19" s="248"/>
      <c r="BTL19" s="248"/>
      <c r="BTM19" s="248"/>
      <c r="BTN19" s="248"/>
      <c r="BTO19" s="248"/>
      <c r="BTP19" s="248"/>
      <c r="BTQ19" s="248"/>
      <c r="BTR19" s="248"/>
      <c r="BTS19" s="248"/>
      <c r="BTT19" s="248"/>
      <c r="BTU19" s="248"/>
      <c r="BTV19" s="248"/>
      <c r="BTW19" s="248"/>
      <c r="BTX19" s="248"/>
      <c r="BTY19" s="248"/>
      <c r="BTZ19" s="248"/>
      <c r="BUA19" s="248"/>
      <c r="BUB19" s="248"/>
      <c r="BUC19" s="248"/>
      <c r="BUD19" s="248"/>
      <c r="BUE19" s="248"/>
      <c r="BUF19" s="248"/>
      <c r="BUG19" s="248"/>
      <c r="BUH19" s="248"/>
      <c r="BUI19" s="248"/>
      <c r="BUJ19" s="248"/>
      <c r="BUK19" s="248"/>
      <c r="BUL19" s="248"/>
      <c r="BUM19" s="248"/>
      <c r="BUN19" s="248"/>
      <c r="BUO19" s="248"/>
      <c r="BUP19" s="248"/>
      <c r="BUQ19" s="248"/>
      <c r="BUR19" s="248"/>
      <c r="BUS19" s="248"/>
      <c r="BUT19" s="248"/>
      <c r="BUU19" s="248"/>
      <c r="BUV19" s="248"/>
      <c r="BUW19" s="248"/>
      <c r="BUX19" s="248"/>
      <c r="BUY19" s="248"/>
      <c r="BUZ19" s="248"/>
      <c r="BVA19" s="248"/>
      <c r="BVB19" s="248"/>
      <c r="BVC19" s="248"/>
      <c r="BVD19" s="248"/>
      <c r="BVE19" s="248"/>
      <c r="BVF19" s="248"/>
      <c r="BVG19" s="248"/>
      <c r="BVH19" s="248"/>
      <c r="BVI19" s="248"/>
      <c r="BVJ19" s="248"/>
      <c r="BVK19" s="248"/>
      <c r="BVL19" s="248"/>
      <c r="BVM19" s="248"/>
      <c r="BVN19" s="248"/>
      <c r="BVO19" s="248"/>
      <c r="BVP19" s="248"/>
      <c r="BVQ19" s="248"/>
      <c r="BVR19" s="248"/>
      <c r="BVS19" s="248"/>
      <c r="BVT19" s="248"/>
      <c r="BVU19" s="248"/>
      <c r="BVV19" s="248"/>
      <c r="BVW19" s="248"/>
      <c r="BVX19" s="248"/>
      <c r="BVY19" s="248"/>
      <c r="BVZ19" s="248"/>
      <c r="BWA19" s="248"/>
      <c r="BWB19" s="248"/>
      <c r="BWC19" s="248"/>
      <c r="BWD19" s="248"/>
      <c r="BWE19" s="248"/>
      <c r="BWF19" s="248"/>
      <c r="BWG19" s="248"/>
      <c r="BWH19" s="248"/>
      <c r="BWI19" s="248"/>
      <c r="BWJ19" s="248"/>
      <c r="BWK19" s="248"/>
      <c r="BWL19" s="248"/>
      <c r="BWM19" s="248"/>
      <c r="BWN19" s="248"/>
      <c r="BWO19" s="248"/>
      <c r="BWP19" s="248"/>
      <c r="BWQ19" s="248"/>
      <c r="BWR19" s="248"/>
      <c r="BWS19" s="248"/>
      <c r="BWT19" s="248"/>
      <c r="BWU19" s="248"/>
      <c r="BWV19" s="248"/>
      <c r="BWW19" s="248"/>
      <c r="BWX19" s="248"/>
      <c r="BWY19" s="248"/>
      <c r="BWZ19" s="248"/>
      <c r="BXA19" s="248"/>
      <c r="BXB19" s="248"/>
      <c r="BXC19" s="248"/>
      <c r="BXD19" s="248"/>
      <c r="BXE19" s="248"/>
      <c r="BXF19" s="248"/>
      <c r="BXG19" s="248"/>
      <c r="BXH19" s="248"/>
      <c r="BXI19" s="248"/>
      <c r="BXJ19" s="248"/>
      <c r="BXK19" s="248"/>
      <c r="BXL19" s="248"/>
      <c r="BXM19" s="248"/>
      <c r="BXN19" s="248"/>
      <c r="BXO19" s="248"/>
      <c r="BXP19" s="248"/>
      <c r="BXQ19" s="248"/>
      <c r="BXR19" s="248"/>
      <c r="BXS19" s="248"/>
      <c r="BXT19" s="248"/>
      <c r="BXU19" s="248"/>
      <c r="BXV19" s="248"/>
      <c r="BXW19" s="248"/>
      <c r="BXX19" s="248"/>
      <c r="BXY19" s="248"/>
      <c r="BXZ19" s="248"/>
      <c r="BYA19" s="248"/>
      <c r="BYB19" s="248"/>
      <c r="BYC19" s="248"/>
      <c r="BYD19" s="248"/>
      <c r="BYE19" s="248"/>
      <c r="BYF19" s="248"/>
      <c r="BYG19" s="248"/>
      <c r="BYH19" s="248"/>
      <c r="BYI19" s="248"/>
      <c r="BYJ19" s="248"/>
      <c r="BYK19" s="248"/>
      <c r="BYL19" s="248"/>
      <c r="BYM19" s="248"/>
      <c r="BYN19" s="248"/>
      <c r="BYO19" s="248"/>
      <c r="BYP19" s="248"/>
      <c r="BYQ19" s="248"/>
      <c r="BYR19" s="248"/>
      <c r="BYS19" s="248"/>
      <c r="BYT19" s="248"/>
      <c r="BYU19" s="248"/>
      <c r="BYV19" s="248"/>
      <c r="BYW19" s="248"/>
      <c r="BYX19" s="248"/>
      <c r="BYY19" s="248"/>
      <c r="BYZ19" s="248"/>
      <c r="BZA19" s="248"/>
      <c r="BZB19" s="248"/>
      <c r="BZC19" s="248"/>
      <c r="BZD19" s="248"/>
      <c r="BZE19" s="248"/>
      <c r="BZF19" s="248"/>
      <c r="BZG19" s="248"/>
      <c r="BZH19" s="248"/>
      <c r="BZI19" s="248"/>
      <c r="BZJ19" s="248"/>
      <c r="BZK19" s="248"/>
      <c r="BZL19" s="248"/>
      <c r="BZM19" s="248"/>
      <c r="BZN19" s="248"/>
      <c r="BZO19" s="248"/>
      <c r="BZP19" s="248"/>
      <c r="BZQ19" s="248"/>
      <c r="BZR19" s="248"/>
      <c r="BZS19" s="248"/>
      <c r="BZT19" s="248"/>
      <c r="BZU19" s="248"/>
      <c r="BZV19" s="248"/>
      <c r="BZW19" s="248"/>
      <c r="BZX19" s="248"/>
      <c r="BZY19" s="248"/>
      <c r="BZZ19" s="248"/>
      <c r="CAA19" s="248"/>
      <c r="CAB19" s="248"/>
      <c r="CAC19" s="248"/>
      <c r="CAD19" s="248"/>
      <c r="CAE19" s="248"/>
      <c r="CAF19" s="248"/>
      <c r="CAG19" s="248"/>
      <c r="CAH19" s="248"/>
      <c r="CAI19" s="248"/>
      <c r="CAJ19" s="248"/>
      <c r="CAK19" s="248"/>
      <c r="CAL19" s="248"/>
      <c r="CAM19" s="248"/>
      <c r="CAN19" s="248"/>
      <c r="CAO19" s="248"/>
      <c r="CAP19" s="248"/>
      <c r="CAQ19" s="248"/>
      <c r="CAR19" s="248"/>
      <c r="CAS19" s="248"/>
      <c r="CAT19" s="248"/>
      <c r="CAU19" s="248"/>
      <c r="CAV19" s="248"/>
      <c r="CAW19" s="248"/>
      <c r="CAX19" s="248"/>
      <c r="CAY19" s="248"/>
      <c r="CAZ19" s="248"/>
      <c r="CBA19" s="248"/>
      <c r="CBB19" s="248"/>
      <c r="CBC19" s="248"/>
      <c r="CBD19" s="248"/>
      <c r="CBE19" s="248"/>
      <c r="CBF19" s="248"/>
      <c r="CBG19" s="248"/>
      <c r="CBH19" s="248"/>
      <c r="CBI19" s="248"/>
      <c r="CBJ19" s="248"/>
      <c r="CBK19" s="248"/>
      <c r="CBL19" s="248"/>
      <c r="CBM19" s="248"/>
      <c r="CBN19" s="248"/>
      <c r="CBO19" s="248"/>
      <c r="CBP19" s="248"/>
      <c r="CBQ19" s="248"/>
      <c r="CBR19" s="248"/>
      <c r="CBS19" s="248"/>
      <c r="CBT19" s="248"/>
      <c r="CBU19" s="248"/>
      <c r="CBV19" s="248"/>
      <c r="CBW19" s="248"/>
      <c r="CBX19" s="248"/>
      <c r="CBY19" s="248"/>
      <c r="CBZ19" s="248"/>
      <c r="CCA19" s="248"/>
      <c r="CCB19" s="248"/>
      <c r="CCC19" s="248"/>
      <c r="CCD19" s="248"/>
      <c r="CCE19" s="248"/>
      <c r="CCF19" s="248"/>
      <c r="CCG19" s="248"/>
      <c r="CCH19" s="248"/>
      <c r="CCI19" s="248"/>
      <c r="CCJ19" s="248"/>
      <c r="CCK19" s="248"/>
      <c r="CCL19" s="248"/>
      <c r="CCM19" s="248"/>
      <c r="CCN19" s="248"/>
      <c r="CCO19" s="248"/>
      <c r="CCP19" s="248"/>
      <c r="CCQ19" s="248"/>
      <c r="CCR19" s="248"/>
      <c r="CCS19" s="248"/>
      <c r="CCT19" s="248"/>
      <c r="CCU19" s="248"/>
      <c r="CCV19" s="248"/>
      <c r="CCW19" s="248"/>
      <c r="VEX19" s="195"/>
      <c r="VST19" s="194"/>
      <c r="VTB19" s="194"/>
    </row>
    <row r="20" spans="1:2129 15026:15026 15386:15394" s="193" customFormat="1" ht="16.149999999999999" customHeight="1" x14ac:dyDescent="0.25">
      <c r="A20" s="236" t="s">
        <v>55</v>
      </c>
      <c r="B20" s="236">
        <v>12</v>
      </c>
      <c r="C20" s="236"/>
      <c r="D20" s="236"/>
      <c r="E20" s="236"/>
      <c r="F20" s="236"/>
      <c r="G20" s="237" t="s">
        <v>233</v>
      </c>
      <c r="H20" s="238" t="s">
        <v>234</v>
      </c>
      <c r="I20" s="238"/>
      <c r="J20" s="239"/>
      <c r="K20" s="240"/>
      <c r="L20" s="240"/>
      <c r="M20" s="241"/>
      <c r="N20" s="240">
        <v>43130</v>
      </c>
      <c r="O20" s="240">
        <v>43130</v>
      </c>
      <c r="P20" s="241">
        <v>1</v>
      </c>
      <c r="Q20" s="242">
        <v>0</v>
      </c>
      <c r="R20" s="240"/>
      <c r="S20" s="240"/>
      <c r="T20" s="241"/>
      <c r="U20" s="243"/>
      <c r="V20" s="243"/>
      <c r="W20" s="243"/>
      <c r="X20" s="244"/>
      <c r="Y20" s="245"/>
      <c r="Z20" s="245"/>
      <c r="AA20" s="246"/>
      <c r="AB20" s="245"/>
      <c r="AC20" s="247"/>
      <c r="AD20" s="247"/>
      <c r="AE20" s="247"/>
      <c r="AF20" s="247"/>
      <c r="AG20" s="247"/>
      <c r="AH20" s="247"/>
      <c r="AI20" s="247"/>
      <c r="AJ20" s="247"/>
      <c r="AK20" s="247"/>
      <c r="AL20" s="247"/>
      <c r="AM20" s="247"/>
      <c r="AN20" s="247"/>
      <c r="AO20" s="247"/>
      <c r="AP20" s="247"/>
      <c r="AQ20" s="247"/>
      <c r="AR20" s="247"/>
      <c r="AS20" s="247"/>
      <c r="AT20" s="247"/>
      <c r="AU20" s="247"/>
      <c r="AV20" s="247"/>
      <c r="AW20" s="247"/>
      <c r="AX20" s="247"/>
      <c r="AY20" s="247"/>
      <c r="AZ20" s="247"/>
      <c r="BA20" s="247"/>
      <c r="BB20" s="247"/>
      <c r="BC20" s="247"/>
      <c r="BD20" s="247"/>
      <c r="BE20" s="247"/>
      <c r="BF20" s="247"/>
      <c r="BG20" s="247"/>
      <c r="BH20" s="247"/>
      <c r="BI20" s="247"/>
      <c r="BJ20" s="247"/>
      <c r="BK20" s="247"/>
      <c r="BL20" s="247"/>
      <c r="BM20" s="247"/>
      <c r="BN20" s="247"/>
      <c r="BO20" s="247"/>
      <c r="BP20" s="247"/>
      <c r="BQ20" s="247"/>
      <c r="BR20" s="247"/>
      <c r="BS20" s="247"/>
      <c r="BT20" s="247"/>
      <c r="BU20" s="247"/>
      <c r="BV20" s="247"/>
      <c r="BW20" s="247"/>
      <c r="BX20" s="247"/>
      <c r="BY20" s="247"/>
      <c r="BZ20" s="247"/>
      <c r="CA20" s="247"/>
      <c r="CB20" s="247"/>
      <c r="CC20" s="247"/>
      <c r="CD20" s="247"/>
      <c r="CE20" s="247"/>
      <c r="CF20" s="247"/>
      <c r="CG20" s="248"/>
      <c r="CH20" s="248"/>
      <c r="CI20" s="248"/>
      <c r="CJ20" s="248"/>
      <c r="CK20" s="248"/>
      <c r="CL20" s="248"/>
      <c r="CM20" s="248"/>
      <c r="CN20" s="248"/>
      <c r="CO20" s="248"/>
      <c r="CP20" s="248"/>
      <c r="CQ20" s="248"/>
      <c r="CR20" s="248"/>
      <c r="CS20" s="248"/>
      <c r="CT20" s="248"/>
      <c r="CU20" s="248"/>
      <c r="CV20" s="248"/>
      <c r="CW20" s="248"/>
      <c r="CX20" s="248"/>
      <c r="CY20" s="248"/>
      <c r="CZ20" s="248"/>
      <c r="DA20" s="248"/>
      <c r="DB20" s="248"/>
      <c r="DC20" s="248"/>
      <c r="DD20" s="248"/>
      <c r="DE20" s="248"/>
      <c r="DF20" s="248"/>
      <c r="DG20" s="248"/>
      <c r="DH20" s="248"/>
      <c r="DI20" s="248"/>
      <c r="DJ20" s="248"/>
      <c r="DK20" s="248"/>
      <c r="DL20" s="248"/>
      <c r="DM20" s="248"/>
      <c r="DN20" s="248"/>
      <c r="DO20" s="248"/>
      <c r="DP20" s="248"/>
      <c r="DQ20" s="248"/>
      <c r="DR20" s="248"/>
      <c r="DS20" s="248"/>
      <c r="DT20" s="248"/>
      <c r="DU20" s="248"/>
      <c r="DV20" s="248"/>
      <c r="DW20" s="248"/>
      <c r="DX20" s="248"/>
      <c r="DY20" s="248"/>
      <c r="DZ20" s="248"/>
      <c r="EA20" s="248"/>
      <c r="EB20" s="248"/>
      <c r="EC20" s="248"/>
      <c r="ED20" s="248"/>
      <c r="EE20" s="248"/>
      <c r="EF20" s="248"/>
      <c r="EG20" s="248"/>
      <c r="EH20" s="248"/>
      <c r="EI20" s="248"/>
      <c r="EJ20" s="248"/>
      <c r="EK20" s="248"/>
      <c r="EL20" s="248"/>
      <c r="EM20" s="248"/>
      <c r="EN20" s="248"/>
      <c r="EO20" s="248"/>
      <c r="EP20" s="248"/>
      <c r="EQ20" s="248"/>
      <c r="ER20" s="248"/>
      <c r="ES20" s="248"/>
      <c r="ET20" s="248"/>
      <c r="EU20" s="248"/>
      <c r="EV20" s="248"/>
      <c r="EW20" s="248"/>
      <c r="EX20" s="248"/>
      <c r="EY20" s="248"/>
      <c r="EZ20" s="248"/>
      <c r="FA20" s="248"/>
      <c r="FB20" s="248"/>
      <c r="FC20" s="248"/>
      <c r="FD20" s="248"/>
      <c r="FE20" s="248"/>
      <c r="FF20" s="248"/>
      <c r="FG20" s="248"/>
      <c r="FH20" s="248"/>
      <c r="FI20" s="248"/>
      <c r="FJ20" s="248"/>
      <c r="FK20" s="248"/>
      <c r="FL20" s="248"/>
      <c r="FM20" s="248"/>
      <c r="FN20" s="248"/>
      <c r="FO20" s="248"/>
      <c r="FP20" s="248"/>
      <c r="FQ20" s="248"/>
      <c r="FR20" s="248"/>
      <c r="FS20" s="248"/>
      <c r="FT20" s="248"/>
      <c r="FU20" s="248"/>
      <c r="FV20" s="248"/>
      <c r="FW20" s="248"/>
      <c r="FX20" s="248"/>
      <c r="FY20" s="248"/>
      <c r="FZ20" s="248"/>
      <c r="GA20" s="248"/>
      <c r="GB20" s="248"/>
      <c r="GC20" s="248"/>
      <c r="GD20" s="248"/>
      <c r="GE20" s="248"/>
      <c r="GF20" s="248"/>
      <c r="GG20" s="248"/>
      <c r="GH20" s="248"/>
      <c r="GI20" s="248"/>
      <c r="GJ20" s="248"/>
      <c r="GK20" s="248"/>
      <c r="GL20" s="248"/>
      <c r="GM20" s="248"/>
      <c r="GN20" s="248"/>
      <c r="GO20" s="248"/>
      <c r="GP20" s="248"/>
      <c r="GQ20" s="248"/>
      <c r="GR20" s="248"/>
      <c r="GS20" s="248"/>
      <c r="GT20" s="248"/>
      <c r="GU20" s="248"/>
      <c r="GV20" s="248"/>
      <c r="GW20" s="248"/>
      <c r="GX20" s="248"/>
      <c r="GY20" s="248"/>
      <c r="GZ20" s="248"/>
      <c r="HA20" s="248"/>
      <c r="HB20" s="248"/>
      <c r="HC20" s="248"/>
      <c r="HD20" s="248"/>
      <c r="HE20" s="248"/>
      <c r="HF20" s="248"/>
      <c r="HG20" s="248"/>
      <c r="HH20" s="248"/>
      <c r="HI20" s="248"/>
      <c r="HJ20" s="248"/>
      <c r="HK20" s="248"/>
      <c r="HL20" s="248"/>
      <c r="HM20" s="248"/>
      <c r="HN20" s="248"/>
      <c r="HO20" s="248"/>
      <c r="HP20" s="248"/>
      <c r="HQ20" s="248"/>
      <c r="HR20" s="248"/>
      <c r="HS20" s="248"/>
      <c r="HT20" s="248"/>
      <c r="HU20" s="248"/>
      <c r="HV20" s="248"/>
      <c r="HW20" s="248"/>
      <c r="HX20" s="248"/>
      <c r="HY20" s="248"/>
      <c r="HZ20" s="248"/>
      <c r="IA20" s="248"/>
      <c r="IB20" s="248"/>
      <c r="IC20" s="248"/>
      <c r="ID20" s="248"/>
      <c r="IE20" s="248"/>
      <c r="IF20" s="248"/>
      <c r="IG20" s="248"/>
      <c r="IH20" s="248"/>
      <c r="II20" s="248"/>
      <c r="IJ20" s="248"/>
      <c r="IK20" s="248"/>
      <c r="IL20" s="248"/>
      <c r="IM20" s="248"/>
      <c r="IN20" s="248"/>
      <c r="IO20" s="248"/>
      <c r="IP20" s="248"/>
      <c r="IQ20" s="248"/>
      <c r="IR20" s="248"/>
      <c r="IS20" s="248"/>
      <c r="IT20" s="248"/>
      <c r="IU20" s="248"/>
      <c r="IV20" s="248"/>
      <c r="IW20" s="248"/>
      <c r="IX20" s="248"/>
      <c r="IY20" s="248"/>
      <c r="IZ20" s="248"/>
      <c r="JA20" s="248"/>
      <c r="JB20" s="248"/>
      <c r="JC20" s="248"/>
      <c r="JD20" s="248"/>
      <c r="JE20" s="248"/>
      <c r="JF20" s="248"/>
      <c r="JG20" s="248"/>
      <c r="JH20" s="248"/>
      <c r="JI20" s="248"/>
      <c r="JJ20" s="248"/>
      <c r="JK20" s="248"/>
      <c r="JL20" s="248"/>
      <c r="JM20" s="248"/>
      <c r="JN20" s="248"/>
      <c r="JO20" s="248"/>
      <c r="JP20" s="248"/>
      <c r="JQ20" s="248"/>
      <c r="JR20" s="248"/>
      <c r="JS20" s="248"/>
      <c r="JT20" s="248"/>
      <c r="JU20" s="248"/>
      <c r="JV20" s="248"/>
      <c r="JW20" s="248"/>
      <c r="JX20" s="248"/>
      <c r="JY20" s="248"/>
      <c r="JZ20" s="248"/>
      <c r="KA20" s="248"/>
      <c r="KB20" s="248"/>
      <c r="KC20" s="248"/>
      <c r="KD20" s="248"/>
      <c r="KE20" s="248"/>
      <c r="KF20" s="248"/>
      <c r="KG20" s="248"/>
      <c r="KH20" s="248"/>
      <c r="KI20" s="248"/>
      <c r="KJ20" s="248"/>
      <c r="KK20" s="248"/>
      <c r="KL20" s="248"/>
      <c r="KM20" s="248"/>
      <c r="KN20" s="248"/>
      <c r="KO20" s="248"/>
      <c r="KP20" s="248"/>
      <c r="KQ20" s="248"/>
      <c r="KR20" s="248"/>
      <c r="KS20" s="248"/>
      <c r="KT20" s="248"/>
      <c r="KU20" s="248"/>
      <c r="KV20" s="248"/>
      <c r="KW20" s="248"/>
      <c r="KX20" s="248"/>
      <c r="KY20" s="248"/>
      <c r="KZ20" s="248"/>
      <c r="LA20" s="248"/>
      <c r="LB20" s="248"/>
      <c r="LC20" s="248"/>
      <c r="LD20" s="248"/>
      <c r="LE20" s="248"/>
      <c r="LF20" s="248"/>
      <c r="LG20" s="248"/>
      <c r="LH20" s="248"/>
      <c r="LI20" s="248"/>
      <c r="LJ20" s="248"/>
      <c r="LK20" s="248"/>
      <c r="LL20" s="248"/>
      <c r="LM20" s="248"/>
      <c r="LN20" s="248"/>
      <c r="LO20" s="248"/>
      <c r="LP20" s="248"/>
      <c r="LQ20" s="248"/>
      <c r="LR20" s="248"/>
      <c r="LS20" s="248"/>
      <c r="LT20" s="248"/>
      <c r="LU20" s="248"/>
      <c r="LV20" s="248"/>
      <c r="LW20" s="248"/>
      <c r="LX20" s="248"/>
      <c r="LY20" s="248"/>
      <c r="LZ20" s="248"/>
      <c r="MA20" s="248"/>
      <c r="MB20" s="248"/>
      <c r="MC20" s="248"/>
      <c r="MD20" s="248"/>
      <c r="ME20" s="248"/>
      <c r="MF20" s="248"/>
      <c r="MG20" s="248"/>
      <c r="MH20" s="248"/>
      <c r="MI20" s="248"/>
      <c r="MJ20" s="248"/>
      <c r="MK20" s="248"/>
      <c r="ML20" s="248"/>
      <c r="MM20" s="248"/>
      <c r="MN20" s="248"/>
      <c r="MO20" s="248"/>
      <c r="MP20" s="248"/>
      <c r="MQ20" s="248"/>
      <c r="MR20" s="248"/>
      <c r="MS20" s="248"/>
      <c r="MT20" s="248"/>
      <c r="MU20" s="248"/>
      <c r="MV20" s="249"/>
      <c r="MW20" s="248"/>
      <c r="MX20" s="248"/>
      <c r="MY20" s="248"/>
      <c r="MZ20" s="248"/>
      <c r="NA20" s="248"/>
      <c r="NB20" s="248"/>
      <c r="NC20" s="248"/>
      <c r="ND20" s="248"/>
      <c r="NE20" s="248"/>
      <c r="NF20" s="248"/>
      <c r="NG20" s="248"/>
      <c r="NH20" s="248"/>
      <c r="NI20" s="248"/>
      <c r="NJ20" s="248"/>
      <c r="NK20" s="248"/>
      <c r="NL20" s="248"/>
      <c r="NM20" s="248"/>
      <c r="NN20" s="248"/>
      <c r="NO20" s="248"/>
      <c r="NP20" s="248"/>
      <c r="NQ20" s="248"/>
      <c r="NR20" s="248"/>
      <c r="NS20" s="248"/>
      <c r="NT20" s="248"/>
      <c r="NU20" s="248"/>
      <c r="NV20" s="248"/>
      <c r="NW20" s="248"/>
      <c r="NX20" s="248"/>
      <c r="NY20" s="248"/>
      <c r="NZ20" s="248"/>
      <c r="OA20" s="248"/>
      <c r="OB20" s="248"/>
      <c r="OC20" s="248"/>
      <c r="OD20" s="248"/>
      <c r="OE20" s="248"/>
      <c r="OF20" s="248"/>
      <c r="OG20" s="248"/>
      <c r="OH20" s="248"/>
      <c r="OI20" s="248"/>
      <c r="OJ20" s="248"/>
      <c r="OK20" s="248"/>
      <c r="OL20" s="248"/>
      <c r="OM20" s="248"/>
      <c r="ON20" s="248"/>
      <c r="OO20" s="248"/>
      <c r="OP20" s="248"/>
      <c r="OQ20" s="248"/>
      <c r="OR20" s="248"/>
      <c r="OS20" s="248"/>
      <c r="OT20" s="248"/>
      <c r="OU20" s="248"/>
      <c r="OV20" s="248"/>
      <c r="OW20" s="248"/>
      <c r="OX20" s="248"/>
      <c r="OY20" s="248"/>
      <c r="OZ20" s="248"/>
      <c r="PA20" s="248"/>
      <c r="PB20" s="248"/>
      <c r="PC20" s="248"/>
      <c r="PD20" s="248"/>
      <c r="PE20" s="248"/>
      <c r="PF20" s="248"/>
      <c r="PG20" s="248"/>
      <c r="PH20" s="248"/>
      <c r="PI20" s="248"/>
      <c r="PJ20" s="248"/>
      <c r="PK20" s="248"/>
      <c r="PL20" s="248"/>
      <c r="PM20" s="248"/>
      <c r="PN20" s="248"/>
      <c r="PO20" s="248"/>
      <c r="PP20" s="248"/>
      <c r="PQ20" s="248"/>
      <c r="PR20" s="248"/>
      <c r="PS20" s="248"/>
      <c r="PT20" s="248"/>
      <c r="PU20" s="248"/>
      <c r="PV20" s="248"/>
      <c r="PW20" s="248"/>
      <c r="PX20" s="248"/>
      <c r="PY20" s="248"/>
      <c r="PZ20" s="248"/>
      <c r="QA20" s="248"/>
      <c r="QB20" s="248"/>
      <c r="QC20" s="248"/>
      <c r="QD20" s="248"/>
      <c r="QE20" s="248"/>
      <c r="QF20" s="248"/>
      <c r="QG20" s="248"/>
      <c r="QH20" s="248"/>
      <c r="QI20" s="248"/>
      <c r="QJ20" s="248"/>
      <c r="QK20" s="248"/>
      <c r="QL20" s="248"/>
      <c r="QM20" s="248"/>
      <c r="QN20" s="248"/>
      <c r="QO20" s="248"/>
      <c r="QP20" s="248"/>
      <c r="QQ20" s="248"/>
      <c r="QR20" s="248"/>
      <c r="QS20" s="248"/>
      <c r="QT20" s="248"/>
      <c r="QU20" s="248"/>
      <c r="QV20" s="248"/>
      <c r="QW20" s="248"/>
      <c r="QX20" s="248"/>
      <c r="QY20" s="248"/>
      <c r="QZ20" s="248"/>
      <c r="RA20" s="248"/>
      <c r="RB20" s="248"/>
      <c r="RC20" s="248"/>
      <c r="RD20" s="248"/>
      <c r="RE20" s="248"/>
      <c r="RF20" s="248"/>
      <c r="RG20" s="248"/>
      <c r="RH20" s="248"/>
      <c r="RI20" s="248"/>
      <c r="RJ20" s="248"/>
      <c r="RK20" s="248"/>
      <c r="RL20" s="248"/>
      <c r="RM20" s="248"/>
      <c r="RN20" s="248"/>
      <c r="RO20" s="248"/>
      <c r="RP20" s="248"/>
      <c r="RQ20" s="248"/>
      <c r="RR20" s="248"/>
      <c r="RS20" s="248"/>
      <c r="RT20" s="248"/>
      <c r="RU20" s="248"/>
      <c r="RV20" s="248"/>
      <c r="RW20" s="248"/>
      <c r="RX20" s="248"/>
      <c r="RY20" s="248"/>
      <c r="RZ20" s="248"/>
      <c r="SA20" s="248"/>
      <c r="SB20" s="248"/>
      <c r="SC20" s="248"/>
      <c r="SD20" s="248"/>
      <c r="SE20" s="248"/>
      <c r="SF20" s="248"/>
      <c r="SG20" s="248"/>
      <c r="SH20" s="248"/>
      <c r="SI20" s="248"/>
      <c r="SJ20" s="248"/>
      <c r="SK20" s="248"/>
      <c r="SL20" s="248"/>
      <c r="SM20" s="248"/>
      <c r="SN20" s="248"/>
      <c r="SO20" s="248"/>
      <c r="SP20" s="248"/>
      <c r="SQ20" s="248"/>
      <c r="SR20" s="248"/>
      <c r="SS20" s="248"/>
      <c r="ST20" s="248"/>
      <c r="SU20" s="248"/>
      <c r="SV20" s="248"/>
      <c r="SW20" s="248"/>
      <c r="SX20" s="248"/>
      <c r="SY20" s="248"/>
      <c r="SZ20" s="248"/>
      <c r="TA20" s="248"/>
      <c r="TB20" s="248"/>
      <c r="TC20" s="248"/>
      <c r="TD20" s="248"/>
      <c r="TE20" s="248"/>
      <c r="TF20" s="248"/>
      <c r="TG20" s="248"/>
      <c r="TH20" s="248"/>
      <c r="TI20" s="248"/>
      <c r="TJ20" s="248"/>
      <c r="TK20" s="248"/>
      <c r="TL20" s="248"/>
      <c r="TM20" s="248"/>
      <c r="TN20" s="248"/>
      <c r="TO20" s="248"/>
      <c r="TP20" s="248"/>
      <c r="TQ20" s="248"/>
      <c r="TR20" s="248"/>
      <c r="TS20" s="248"/>
      <c r="TT20" s="248"/>
      <c r="TU20" s="248"/>
      <c r="TV20" s="248"/>
      <c r="TW20" s="248"/>
      <c r="TX20" s="248"/>
      <c r="TY20" s="248"/>
      <c r="TZ20" s="248"/>
      <c r="UA20" s="248"/>
      <c r="UB20" s="248"/>
      <c r="UC20" s="248"/>
      <c r="UD20" s="248"/>
      <c r="UE20" s="248"/>
      <c r="UF20" s="248"/>
      <c r="UG20" s="248"/>
      <c r="UH20" s="248"/>
      <c r="UI20" s="248"/>
      <c r="UJ20" s="248"/>
      <c r="UK20" s="248"/>
      <c r="UL20" s="248"/>
      <c r="UM20" s="248"/>
      <c r="UN20" s="248"/>
      <c r="UO20" s="248"/>
      <c r="UP20" s="248"/>
      <c r="UQ20" s="248"/>
      <c r="UR20" s="248"/>
      <c r="US20" s="248"/>
      <c r="UT20" s="248"/>
      <c r="UU20" s="248"/>
      <c r="UV20" s="248"/>
      <c r="UW20" s="248"/>
      <c r="UX20" s="248"/>
      <c r="UY20" s="248"/>
      <c r="UZ20" s="248"/>
      <c r="VA20" s="248"/>
      <c r="VB20" s="248"/>
      <c r="VC20" s="248"/>
      <c r="VD20" s="248"/>
      <c r="VE20" s="248"/>
      <c r="VF20" s="248"/>
      <c r="VG20" s="248"/>
      <c r="VH20" s="248"/>
      <c r="VI20" s="248"/>
      <c r="VJ20" s="248"/>
      <c r="VK20" s="248"/>
      <c r="VL20" s="248"/>
      <c r="VM20" s="248"/>
      <c r="VN20" s="248"/>
      <c r="VO20" s="248"/>
      <c r="VP20" s="248"/>
      <c r="VQ20" s="248"/>
      <c r="VR20" s="248"/>
      <c r="VS20" s="248"/>
      <c r="VT20" s="248"/>
      <c r="VU20" s="248"/>
      <c r="VV20" s="248"/>
      <c r="VW20" s="248"/>
      <c r="VX20" s="248"/>
      <c r="VY20" s="248"/>
      <c r="VZ20" s="248"/>
      <c r="WA20" s="248"/>
      <c r="WB20" s="248"/>
      <c r="WC20" s="248"/>
      <c r="WD20" s="248"/>
      <c r="WE20" s="248"/>
      <c r="WF20" s="248"/>
      <c r="WG20" s="248"/>
      <c r="WH20" s="248"/>
      <c r="WI20" s="248"/>
      <c r="WJ20" s="248"/>
      <c r="WK20" s="248"/>
      <c r="WL20" s="248"/>
      <c r="WM20" s="248"/>
      <c r="WN20" s="248"/>
      <c r="WO20" s="248"/>
      <c r="WP20" s="248"/>
      <c r="WQ20" s="248"/>
      <c r="WR20" s="248"/>
      <c r="WS20" s="248"/>
      <c r="WT20" s="248"/>
      <c r="WU20" s="248"/>
      <c r="WV20" s="248"/>
      <c r="WW20" s="248"/>
      <c r="WX20" s="248"/>
      <c r="WY20" s="248"/>
      <c r="WZ20" s="248"/>
      <c r="XA20" s="248"/>
      <c r="XB20" s="248"/>
      <c r="XC20" s="248"/>
      <c r="XD20" s="248"/>
      <c r="XE20" s="248"/>
      <c r="XF20" s="248"/>
      <c r="XG20" s="248"/>
      <c r="XH20" s="248"/>
      <c r="XI20" s="248"/>
      <c r="XJ20" s="248"/>
      <c r="XK20" s="248"/>
      <c r="XL20" s="248"/>
      <c r="XM20" s="248"/>
      <c r="XN20" s="248"/>
      <c r="XO20" s="248"/>
      <c r="XP20" s="248"/>
      <c r="XQ20" s="248"/>
      <c r="XR20" s="248"/>
      <c r="XS20" s="248"/>
      <c r="XT20" s="248"/>
      <c r="XU20" s="248"/>
      <c r="XV20" s="248"/>
      <c r="XW20" s="248"/>
      <c r="XX20" s="248"/>
      <c r="XY20" s="248"/>
      <c r="XZ20" s="248"/>
      <c r="YA20" s="248"/>
      <c r="YB20" s="248"/>
      <c r="YC20" s="248"/>
      <c r="YD20" s="248"/>
      <c r="YE20" s="248"/>
      <c r="YF20" s="248"/>
      <c r="YG20" s="248"/>
      <c r="YH20" s="248"/>
      <c r="YI20" s="248"/>
      <c r="YJ20" s="248"/>
      <c r="YK20" s="248"/>
      <c r="YL20" s="248"/>
      <c r="YM20" s="248"/>
      <c r="YN20" s="248"/>
      <c r="YO20" s="248"/>
      <c r="YP20" s="248"/>
      <c r="YQ20" s="248"/>
      <c r="YR20" s="248"/>
      <c r="YS20" s="248"/>
      <c r="YT20" s="248"/>
      <c r="YU20" s="248"/>
      <c r="YV20" s="248"/>
      <c r="YW20" s="248"/>
      <c r="YX20" s="248"/>
      <c r="YY20" s="248"/>
      <c r="YZ20" s="248"/>
      <c r="ZA20" s="248"/>
      <c r="ZB20" s="248"/>
      <c r="ZC20" s="248"/>
      <c r="ZD20" s="248"/>
      <c r="ZE20" s="248"/>
      <c r="ZF20" s="248"/>
      <c r="ZG20" s="248"/>
      <c r="ZH20" s="248"/>
      <c r="ZI20" s="248"/>
      <c r="ZJ20" s="248"/>
      <c r="ZK20" s="248"/>
      <c r="ZL20" s="248"/>
      <c r="ZM20" s="248"/>
      <c r="ZN20" s="248"/>
      <c r="ZO20" s="248"/>
      <c r="ZP20" s="248"/>
      <c r="ZQ20" s="248"/>
      <c r="ZR20" s="248"/>
      <c r="ZS20" s="248"/>
      <c r="ZT20" s="248"/>
      <c r="ZU20" s="248"/>
      <c r="ZV20" s="248"/>
      <c r="ZW20" s="248"/>
      <c r="ZX20" s="248"/>
      <c r="ZY20" s="248"/>
      <c r="ZZ20" s="248"/>
      <c r="AAA20" s="248"/>
      <c r="AAB20" s="248"/>
      <c r="AAC20" s="248"/>
      <c r="AAD20" s="248"/>
      <c r="AAE20" s="248"/>
      <c r="AAF20" s="248"/>
      <c r="AAG20" s="248"/>
      <c r="AAH20" s="248"/>
      <c r="AAI20" s="248"/>
      <c r="AAJ20" s="248"/>
      <c r="AAK20" s="248"/>
      <c r="AAL20" s="248"/>
      <c r="AAM20" s="248"/>
      <c r="AAN20" s="248"/>
      <c r="AAO20" s="248"/>
      <c r="AAP20" s="248"/>
      <c r="AAQ20" s="248"/>
      <c r="AAR20" s="248"/>
      <c r="AAS20" s="248"/>
      <c r="AAT20" s="248"/>
      <c r="AAU20" s="248"/>
      <c r="AAV20" s="248"/>
      <c r="AAW20" s="248"/>
      <c r="AAX20" s="248"/>
      <c r="AAY20" s="248"/>
      <c r="AAZ20" s="248"/>
      <c r="ABA20" s="248"/>
      <c r="ABB20" s="248"/>
      <c r="ABC20" s="248"/>
      <c r="ABD20" s="248"/>
      <c r="ABE20" s="248"/>
      <c r="ABF20" s="248"/>
      <c r="ABG20" s="248"/>
      <c r="ABH20" s="248"/>
      <c r="ABI20" s="248"/>
      <c r="ABJ20" s="248"/>
      <c r="ABK20" s="248"/>
      <c r="ABL20" s="248"/>
      <c r="ABM20" s="248"/>
      <c r="ABN20" s="248"/>
      <c r="ABO20" s="248"/>
      <c r="ABP20" s="248"/>
      <c r="ABQ20" s="248"/>
      <c r="ABR20" s="248"/>
      <c r="ABS20" s="248"/>
      <c r="ABT20" s="248"/>
      <c r="ABU20" s="248"/>
      <c r="ABV20" s="248"/>
      <c r="ABW20" s="248"/>
      <c r="ABX20" s="248"/>
      <c r="ABY20" s="248"/>
      <c r="ABZ20" s="248"/>
      <c r="ACA20" s="248"/>
      <c r="ACB20" s="248"/>
      <c r="ACC20" s="248"/>
      <c r="ACD20" s="248"/>
      <c r="ACE20" s="248"/>
      <c r="ACF20" s="248"/>
      <c r="ACG20" s="248"/>
      <c r="ACH20" s="248"/>
      <c r="ACI20" s="248"/>
      <c r="ACJ20" s="248"/>
      <c r="ACK20" s="248"/>
      <c r="ACL20" s="248"/>
      <c r="ACM20" s="248"/>
      <c r="ACN20" s="248"/>
      <c r="ACO20" s="248"/>
      <c r="ACP20" s="248"/>
      <c r="ACQ20" s="248"/>
      <c r="ACR20" s="248"/>
      <c r="ACS20" s="248"/>
      <c r="ACT20" s="248"/>
      <c r="ACU20" s="248"/>
      <c r="ACV20" s="248"/>
      <c r="ACW20" s="248"/>
      <c r="ACX20" s="248"/>
      <c r="ACY20" s="248"/>
      <c r="ACZ20" s="248"/>
      <c r="ADA20" s="248"/>
      <c r="ADB20" s="248"/>
      <c r="ADC20" s="248"/>
      <c r="ADD20" s="248"/>
      <c r="ADE20" s="248"/>
      <c r="ADF20" s="248"/>
      <c r="ADG20" s="248"/>
      <c r="ADH20" s="248"/>
      <c r="ADI20" s="248"/>
      <c r="ADJ20" s="248"/>
      <c r="ADK20" s="248"/>
      <c r="ADL20" s="248"/>
      <c r="ADM20" s="248"/>
      <c r="ADN20" s="248"/>
      <c r="ADO20" s="248"/>
      <c r="ADP20" s="248"/>
      <c r="ADQ20" s="248"/>
      <c r="ADR20" s="248"/>
      <c r="ADS20" s="248"/>
      <c r="ADT20" s="248"/>
      <c r="ADU20" s="248"/>
      <c r="ADV20" s="248"/>
      <c r="ADW20" s="248"/>
      <c r="ADX20" s="248"/>
      <c r="ADY20" s="248"/>
      <c r="ADZ20" s="248"/>
      <c r="AEA20" s="248"/>
      <c r="AEB20" s="248"/>
      <c r="AEC20" s="248"/>
      <c r="AED20" s="248"/>
      <c r="AEE20" s="248"/>
      <c r="AEF20" s="248"/>
      <c r="AEG20" s="248"/>
      <c r="AEH20" s="248"/>
      <c r="AEI20" s="248"/>
      <c r="AEJ20" s="248"/>
      <c r="AEK20" s="248"/>
      <c r="AEL20" s="248"/>
      <c r="AEM20" s="248"/>
      <c r="AEN20" s="248"/>
      <c r="AEO20" s="248"/>
      <c r="AEP20" s="248"/>
      <c r="AEQ20" s="248"/>
      <c r="AER20" s="248"/>
      <c r="AES20" s="248"/>
      <c r="AET20" s="248"/>
      <c r="AEU20" s="248"/>
      <c r="AEV20" s="248"/>
      <c r="AEW20" s="248"/>
      <c r="AEX20" s="248"/>
      <c r="AEY20" s="248"/>
      <c r="AEZ20" s="248"/>
      <c r="AFA20" s="248"/>
      <c r="AFB20" s="248"/>
      <c r="AFC20" s="248"/>
      <c r="AFD20" s="248"/>
      <c r="AFE20" s="248"/>
      <c r="AFF20" s="248"/>
      <c r="AFG20" s="248"/>
      <c r="AFH20" s="248"/>
      <c r="AFI20" s="248"/>
      <c r="AFJ20" s="248"/>
      <c r="AFK20" s="248"/>
      <c r="AFL20" s="248"/>
      <c r="AFM20" s="248"/>
      <c r="AFN20" s="248"/>
      <c r="AFO20" s="248"/>
      <c r="AFP20" s="248"/>
      <c r="AFQ20" s="248"/>
      <c r="AFR20" s="248"/>
      <c r="AFS20" s="248"/>
      <c r="AFT20" s="248"/>
      <c r="AFU20" s="248"/>
      <c r="AFV20" s="248"/>
      <c r="AFW20" s="248"/>
      <c r="AFX20" s="248"/>
      <c r="AFY20" s="248"/>
      <c r="AFZ20" s="248"/>
      <c r="AGA20" s="248"/>
      <c r="AGB20" s="248"/>
      <c r="AGC20" s="248"/>
      <c r="AGD20" s="248"/>
      <c r="AGE20" s="248"/>
      <c r="AGF20" s="248"/>
      <c r="AGG20" s="248"/>
      <c r="AGH20" s="248"/>
      <c r="AGI20" s="248"/>
      <c r="AGJ20" s="248"/>
      <c r="AGK20" s="248"/>
      <c r="AGL20" s="248"/>
      <c r="AGM20" s="248"/>
      <c r="AGN20" s="248"/>
      <c r="AGO20" s="248"/>
      <c r="AGP20" s="248"/>
      <c r="AGQ20" s="248"/>
      <c r="AGR20" s="248"/>
      <c r="AGS20" s="248"/>
      <c r="AGT20" s="248"/>
      <c r="AGU20" s="248"/>
      <c r="AGV20" s="248"/>
      <c r="AGW20" s="248"/>
      <c r="AGX20" s="248"/>
      <c r="AGY20" s="248"/>
      <c r="AGZ20" s="248"/>
      <c r="AHA20" s="248"/>
      <c r="AHB20" s="248"/>
      <c r="AHC20" s="248"/>
      <c r="AHD20" s="248"/>
      <c r="AHE20" s="248"/>
      <c r="AHF20" s="248"/>
      <c r="AHG20" s="248"/>
      <c r="AHH20" s="248"/>
      <c r="AHI20" s="248"/>
      <c r="AHJ20" s="248"/>
      <c r="AHK20" s="248"/>
      <c r="AHL20" s="248"/>
      <c r="AHM20" s="248"/>
      <c r="AHN20" s="248"/>
      <c r="AHO20" s="248"/>
      <c r="AHP20" s="248"/>
      <c r="AHQ20" s="248"/>
      <c r="AHR20" s="248"/>
      <c r="AHS20" s="248"/>
      <c r="AHT20" s="248"/>
      <c r="AHU20" s="248"/>
      <c r="AHV20" s="248"/>
      <c r="AHW20" s="248"/>
      <c r="AHX20" s="248"/>
      <c r="AHY20" s="248"/>
      <c r="AHZ20" s="248"/>
      <c r="AIA20" s="248"/>
      <c r="AIB20" s="248"/>
      <c r="AIC20" s="248"/>
      <c r="AID20" s="248"/>
      <c r="AIE20" s="248"/>
      <c r="AIF20" s="248"/>
      <c r="AIG20" s="248"/>
      <c r="AIH20" s="248"/>
      <c r="AII20" s="248"/>
      <c r="AIJ20" s="248"/>
      <c r="AIK20" s="248"/>
      <c r="AIL20" s="248"/>
      <c r="AIM20" s="248"/>
      <c r="AIN20" s="248"/>
      <c r="AIO20" s="248"/>
      <c r="AIP20" s="248"/>
      <c r="AIQ20" s="248"/>
      <c r="AIR20" s="248"/>
      <c r="AIS20" s="248"/>
      <c r="AIT20" s="248"/>
      <c r="AIU20" s="248"/>
      <c r="AIV20" s="248"/>
      <c r="AIW20" s="248"/>
      <c r="AIX20" s="248"/>
      <c r="AIY20" s="248"/>
      <c r="AIZ20" s="248"/>
      <c r="AJA20" s="248"/>
      <c r="AJB20" s="248"/>
      <c r="AJC20" s="248"/>
      <c r="AJD20" s="248"/>
      <c r="AJE20" s="248"/>
      <c r="AJF20" s="248"/>
      <c r="AJG20" s="248"/>
      <c r="AJH20" s="248"/>
      <c r="AJI20" s="248"/>
      <c r="AJJ20" s="248"/>
      <c r="AJK20" s="248"/>
      <c r="AJL20" s="248"/>
      <c r="AJM20" s="248"/>
      <c r="AJN20" s="248"/>
      <c r="AJO20" s="248"/>
      <c r="AJP20" s="248"/>
      <c r="AJQ20" s="248"/>
      <c r="AJR20" s="248"/>
      <c r="AJS20" s="248"/>
      <c r="AJT20" s="248"/>
      <c r="AJU20" s="248"/>
      <c r="AJV20" s="248"/>
      <c r="AJW20" s="248"/>
      <c r="AJX20" s="248"/>
      <c r="AJY20" s="248"/>
      <c r="AJZ20" s="248"/>
      <c r="AKA20" s="248"/>
      <c r="AKB20" s="248"/>
      <c r="AKC20" s="248"/>
      <c r="AKD20" s="248"/>
      <c r="AKE20" s="248"/>
      <c r="AKF20" s="248"/>
      <c r="AKG20" s="248"/>
      <c r="AKH20" s="248"/>
      <c r="AKI20" s="248"/>
      <c r="AKJ20" s="248"/>
      <c r="AKK20" s="248"/>
      <c r="AKL20" s="248"/>
      <c r="AKM20" s="248"/>
      <c r="AKN20" s="248"/>
      <c r="AKO20" s="248"/>
      <c r="AKP20" s="248"/>
      <c r="AKQ20" s="248"/>
      <c r="AKR20" s="248"/>
      <c r="AKS20" s="248"/>
      <c r="AKT20" s="248"/>
      <c r="AKU20" s="248"/>
      <c r="AKV20" s="248"/>
      <c r="AKW20" s="248"/>
      <c r="AKX20" s="248"/>
      <c r="AKY20" s="248"/>
      <c r="AKZ20" s="248"/>
      <c r="ALA20" s="248"/>
      <c r="ALB20" s="248"/>
      <c r="ALC20" s="248"/>
      <c r="ALD20" s="248"/>
      <c r="ALE20" s="248"/>
      <c r="ALF20" s="248"/>
      <c r="ALG20" s="248"/>
      <c r="ALH20" s="248"/>
      <c r="ALI20" s="248"/>
      <c r="ALJ20" s="248"/>
      <c r="ALK20" s="248"/>
      <c r="ALL20" s="248"/>
      <c r="ALM20" s="248"/>
      <c r="ALN20" s="248"/>
      <c r="ALO20" s="248"/>
      <c r="ALP20" s="248"/>
      <c r="ALQ20" s="248"/>
      <c r="ALR20" s="248"/>
      <c r="ALS20" s="248"/>
      <c r="ALT20" s="248"/>
      <c r="ALU20" s="248"/>
      <c r="ALV20" s="248"/>
      <c r="ALW20" s="248"/>
      <c r="ALX20" s="248"/>
      <c r="ALY20" s="248"/>
      <c r="ALZ20" s="248"/>
      <c r="AMA20" s="248"/>
      <c r="AMB20" s="248"/>
      <c r="AMC20" s="248"/>
      <c r="AMD20" s="248"/>
      <c r="AME20" s="248"/>
      <c r="AMF20" s="248"/>
      <c r="AMG20" s="248"/>
      <c r="AMH20" s="248"/>
      <c r="AMI20" s="248"/>
      <c r="AMJ20" s="248"/>
      <c r="AMK20" s="248"/>
      <c r="AML20" s="248"/>
      <c r="AMM20" s="248"/>
      <c r="AMN20" s="248"/>
      <c r="AMO20" s="248"/>
      <c r="AMP20" s="248"/>
      <c r="AMQ20" s="248"/>
      <c r="AMR20" s="248"/>
      <c r="AMS20" s="248"/>
      <c r="AMT20" s="248"/>
      <c r="AMU20" s="248"/>
      <c r="AMV20" s="248"/>
      <c r="AMW20" s="248"/>
      <c r="AMX20" s="248"/>
      <c r="AMY20" s="248"/>
      <c r="AMZ20" s="248"/>
      <c r="ANA20" s="248"/>
      <c r="ANB20" s="248"/>
      <c r="ANC20" s="248"/>
      <c r="AND20" s="248"/>
      <c r="ANE20" s="248"/>
      <c r="ANF20" s="248"/>
      <c r="ANG20" s="248"/>
      <c r="ANH20" s="248"/>
      <c r="ANI20" s="248"/>
      <c r="ANJ20" s="248"/>
      <c r="ANK20" s="248"/>
      <c r="ANL20" s="248"/>
      <c r="ANM20" s="248"/>
      <c r="ANN20" s="248"/>
      <c r="ANO20" s="248"/>
      <c r="ANP20" s="248"/>
      <c r="ANQ20" s="248"/>
      <c r="ANR20" s="248"/>
      <c r="ANS20" s="248"/>
      <c r="ANT20" s="248"/>
      <c r="ANU20" s="248"/>
      <c r="ANV20" s="248"/>
      <c r="ANW20" s="248"/>
      <c r="ANX20" s="248"/>
      <c r="ANY20" s="248"/>
      <c r="ANZ20" s="248"/>
      <c r="AOA20" s="248"/>
      <c r="AOB20" s="248"/>
      <c r="AOC20" s="248"/>
      <c r="AOD20" s="248"/>
      <c r="AOE20" s="248"/>
      <c r="AOF20" s="248"/>
      <c r="AOG20" s="248"/>
      <c r="AOH20" s="248"/>
      <c r="AOI20" s="248"/>
      <c r="AOJ20" s="248"/>
      <c r="AOK20" s="248"/>
      <c r="AOL20" s="248"/>
      <c r="AOM20" s="248"/>
      <c r="AON20" s="248"/>
      <c r="AOO20" s="248"/>
      <c r="AOP20" s="248"/>
      <c r="AOQ20" s="248"/>
      <c r="AOR20" s="248"/>
      <c r="AOS20" s="248"/>
      <c r="AOT20" s="248"/>
      <c r="AOU20" s="248"/>
      <c r="AOV20" s="248"/>
      <c r="AOW20" s="248"/>
      <c r="AOX20" s="248"/>
      <c r="AOY20" s="248"/>
      <c r="AOZ20" s="248"/>
      <c r="APA20" s="248"/>
      <c r="APB20" s="248"/>
      <c r="APC20" s="248"/>
      <c r="APD20" s="248"/>
      <c r="APE20" s="248"/>
      <c r="APF20" s="248"/>
      <c r="APG20" s="248"/>
      <c r="APH20" s="248"/>
      <c r="API20" s="248"/>
      <c r="APJ20" s="248"/>
      <c r="APK20" s="248"/>
      <c r="APL20" s="248"/>
      <c r="APM20" s="248"/>
      <c r="APN20" s="248"/>
      <c r="APO20" s="248"/>
      <c r="APP20" s="248"/>
      <c r="APQ20" s="248"/>
      <c r="APR20" s="248"/>
      <c r="APS20" s="248"/>
      <c r="APT20" s="248"/>
      <c r="APU20" s="248"/>
      <c r="APV20" s="248"/>
      <c r="APW20" s="248"/>
      <c r="APX20" s="248"/>
      <c r="APY20" s="248"/>
      <c r="APZ20" s="248"/>
      <c r="AQA20" s="248"/>
      <c r="AQB20" s="248"/>
      <c r="AQC20" s="248"/>
      <c r="AQD20" s="248"/>
      <c r="AQE20" s="248"/>
      <c r="AQF20" s="248"/>
      <c r="AQG20" s="248"/>
      <c r="AQH20" s="248"/>
      <c r="AQI20" s="248"/>
      <c r="AQJ20" s="248"/>
      <c r="AQK20" s="248"/>
      <c r="AQL20" s="248"/>
      <c r="AQM20" s="248"/>
      <c r="AQN20" s="248"/>
      <c r="AQO20" s="248"/>
      <c r="AQP20" s="248"/>
      <c r="AQQ20" s="248"/>
      <c r="AQR20" s="248"/>
      <c r="AQS20" s="248"/>
      <c r="AQT20" s="248"/>
      <c r="AQU20" s="248"/>
      <c r="AQV20" s="248"/>
      <c r="AQW20" s="248"/>
      <c r="AQX20" s="248"/>
      <c r="AQY20" s="248"/>
      <c r="AQZ20" s="248"/>
      <c r="ARA20" s="248"/>
      <c r="ARB20" s="248"/>
      <c r="ARC20" s="248"/>
      <c r="ARD20" s="248"/>
      <c r="ARE20" s="248"/>
      <c r="ARF20" s="248"/>
      <c r="ARG20" s="248"/>
      <c r="ARH20" s="248"/>
      <c r="ARI20" s="248"/>
      <c r="ARJ20" s="248"/>
      <c r="ARK20" s="248"/>
      <c r="ARL20" s="248"/>
      <c r="ARM20" s="248"/>
      <c r="ARN20" s="248"/>
      <c r="ARO20" s="248"/>
      <c r="ARP20" s="248"/>
      <c r="ARQ20" s="248"/>
      <c r="ARR20" s="248"/>
      <c r="ARS20" s="248"/>
      <c r="ART20" s="248"/>
      <c r="ARU20" s="248"/>
      <c r="ARV20" s="248"/>
      <c r="ARW20" s="248"/>
      <c r="ARX20" s="248"/>
      <c r="ARY20" s="248"/>
      <c r="ARZ20" s="248"/>
      <c r="ASA20" s="248"/>
      <c r="ASB20" s="248"/>
      <c r="ASC20" s="248"/>
      <c r="ASD20" s="248"/>
      <c r="ASE20" s="248"/>
      <c r="ASF20" s="248"/>
      <c r="ASG20" s="248"/>
      <c r="ASH20" s="248"/>
      <c r="ASI20" s="248"/>
      <c r="ASJ20" s="248"/>
      <c r="ASK20" s="248"/>
      <c r="ASL20" s="248"/>
      <c r="ASM20" s="248"/>
      <c r="ASN20" s="248"/>
      <c r="ASO20" s="248"/>
      <c r="ASP20" s="248"/>
      <c r="ASQ20" s="248"/>
      <c r="ASR20" s="248"/>
      <c r="ASS20" s="248"/>
      <c r="AST20" s="248"/>
      <c r="ASU20" s="248"/>
      <c r="ASV20" s="248"/>
      <c r="ASW20" s="248"/>
      <c r="ASX20" s="248"/>
      <c r="ASY20" s="248"/>
      <c r="ASZ20" s="248"/>
      <c r="ATA20" s="248"/>
      <c r="ATB20" s="248"/>
      <c r="ATC20" s="248"/>
      <c r="ATD20" s="248"/>
      <c r="ATE20" s="248"/>
      <c r="ATF20" s="248"/>
      <c r="ATG20" s="248"/>
      <c r="ATH20" s="248"/>
      <c r="ATI20" s="248"/>
      <c r="ATJ20" s="248"/>
      <c r="ATK20" s="248"/>
      <c r="ATL20" s="248"/>
      <c r="ATM20" s="248"/>
      <c r="ATN20" s="248"/>
      <c r="ATO20" s="248"/>
      <c r="ATP20" s="248"/>
      <c r="ATQ20" s="248"/>
      <c r="ATR20" s="248"/>
      <c r="ATS20" s="248"/>
      <c r="ATT20" s="248"/>
      <c r="ATU20" s="248"/>
      <c r="ATV20" s="248"/>
      <c r="ATW20" s="248"/>
      <c r="ATX20" s="248"/>
      <c r="ATY20" s="248"/>
      <c r="ATZ20" s="248"/>
      <c r="AUA20" s="248"/>
      <c r="AUB20" s="248"/>
      <c r="AUC20" s="248"/>
      <c r="AUD20" s="248"/>
      <c r="AUE20" s="248"/>
      <c r="AUF20" s="248"/>
      <c r="AUG20" s="248"/>
      <c r="AUH20" s="248"/>
      <c r="AUI20" s="248"/>
      <c r="AUJ20" s="248"/>
      <c r="AUK20" s="248"/>
      <c r="AUL20" s="248"/>
      <c r="AUM20" s="248"/>
      <c r="AUN20" s="248"/>
      <c r="AUO20" s="248"/>
      <c r="AUP20" s="248"/>
      <c r="AUQ20" s="248"/>
      <c r="AUR20" s="248"/>
      <c r="AUS20" s="248"/>
      <c r="AUT20" s="248"/>
      <c r="AUU20" s="248"/>
      <c r="AUV20" s="248"/>
      <c r="AUW20" s="248"/>
      <c r="AUX20" s="248"/>
      <c r="AUY20" s="248"/>
      <c r="AUZ20" s="248"/>
      <c r="AVA20" s="248"/>
      <c r="AVB20" s="248"/>
      <c r="AVC20" s="248"/>
      <c r="AVD20" s="248"/>
      <c r="AVE20" s="248"/>
      <c r="AVF20" s="248"/>
      <c r="AVG20" s="248"/>
      <c r="AVH20" s="248"/>
      <c r="AVI20" s="248"/>
      <c r="AVJ20" s="248"/>
      <c r="AVK20" s="248"/>
      <c r="AVL20" s="248"/>
      <c r="AVM20" s="248"/>
      <c r="AVN20" s="248"/>
      <c r="AVO20" s="248"/>
      <c r="AVP20" s="248"/>
      <c r="AVQ20" s="248"/>
      <c r="AVR20" s="248"/>
      <c r="AVS20" s="248"/>
      <c r="AVT20" s="248"/>
      <c r="AVU20" s="248"/>
      <c r="AVV20" s="248"/>
      <c r="AVW20" s="248"/>
      <c r="AVX20" s="248"/>
      <c r="AVY20" s="248"/>
      <c r="AVZ20" s="248"/>
      <c r="AWA20" s="248"/>
      <c r="AWB20" s="248"/>
      <c r="AWC20" s="248"/>
      <c r="AWD20" s="248"/>
      <c r="AWE20" s="248"/>
      <c r="AWF20" s="248"/>
      <c r="AWG20" s="248"/>
      <c r="AWH20" s="248"/>
      <c r="AWI20" s="248"/>
      <c r="AWJ20" s="248"/>
      <c r="AWK20" s="248"/>
      <c r="AWL20" s="248"/>
      <c r="AWM20" s="248"/>
      <c r="AWN20" s="248"/>
      <c r="AWO20" s="248"/>
      <c r="AWP20" s="248"/>
      <c r="AWQ20" s="248"/>
      <c r="AWR20" s="248"/>
      <c r="AWS20" s="248"/>
      <c r="AWT20" s="248"/>
      <c r="AWU20" s="248"/>
      <c r="AWV20" s="248"/>
      <c r="AWW20" s="248"/>
      <c r="AWX20" s="248"/>
      <c r="AWY20" s="248"/>
      <c r="AWZ20" s="248"/>
      <c r="AXA20" s="248"/>
      <c r="AXB20" s="248"/>
      <c r="AXC20" s="248"/>
      <c r="AXD20" s="248"/>
      <c r="AXE20" s="248"/>
      <c r="AXF20" s="248"/>
      <c r="AXG20" s="248"/>
      <c r="AXH20" s="248"/>
      <c r="AXI20" s="248"/>
      <c r="AXJ20" s="248"/>
      <c r="AXK20" s="248"/>
      <c r="AXL20" s="248"/>
      <c r="AXM20" s="248"/>
      <c r="AXN20" s="248"/>
      <c r="AXO20" s="248"/>
      <c r="AXP20" s="248"/>
      <c r="AXQ20" s="248"/>
      <c r="AXR20" s="248"/>
      <c r="AXS20" s="248"/>
      <c r="AXT20" s="248"/>
      <c r="AXU20" s="248"/>
      <c r="AXV20" s="248"/>
      <c r="AXW20" s="248"/>
      <c r="AXX20" s="248"/>
      <c r="AXY20" s="248"/>
      <c r="AXZ20" s="248"/>
      <c r="AYA20" s="248"/>
      <c r="AYB20" s="248"/>
      <c r="AYC20" s="248"/>
      <c r="AYD20" s="248"/>
      <c r="AYE20" s="248"/>
      <c r="AYF20" s="248"/>
      <c r="AYG20" s="248"/>
      <c r="AYH20" s="248"/>
      <c r="AYI20" s="248"/>
      <c r="AYJ20" s="248"/>
      <c r="AYK20" s="248"/>
      <c r="AYL20" s="248"/>
      <c r="AYM20" s="248"/>
      <c r="AYN20" s="248"/>
      <c r="AYO20" s="248"/>
      <c r="AYP20" s="248"/>
      <c r="AYQ20" s="248"/>
      <c r="AYR20" s="248"/>
      <c r="AYS20" s="248"/>
      <c r="AYT20" s="248"/>
      <c r="AYU20" s="248"/>
      <c r="AYV20" s="248"/>
      <c r="AYW20" s="248"/>
      <c r="AYX20" s="248"/>
      <c r="AYY20" s="248"/>
      <c r="AYZ20" s="248"/>
      <c r="AZA20" s="248"/>
      <c r="AZB20" s="248"/>
      <c r="AZC20" s="248"/>
      <c r="AZD20" s="248"/>
      <c r="AZE20" s="248"/>
      <c r="AZF20" s="248"/>
      <c r="AZG20" s="248"/>
      <c r="AZH20" s="248"/>
      <c r="AZI20" s="248"/>
      <c r="AZJ20" s="248"/>
      <c r="AZK20" s="248"/>
      <c r="AZL20" s="248"/>
      <c r="AZM20" s="248"/>
      <c r="AZN20" s="248"/>
      <c r="AZO20" s="248"/>
      <c r="AZP20" s="248"/>
      <c r="AZQ20" s="248"/>
      <c r="AZR20" s="248"/>
      <c r="AZS20" s="248"/>
      <c r="AZT20" s="248"/>
      <c r="AZU20" s="248"/>
      <c r="AZV20" s="248"/>
      <c r="AZW20" s="248"/>
      <c r="AZX20" s="248"/>
      <c r="AZY20" s="248"/>
      <c r="AZZ20" s="248"/>
      <c r="BAA20" s="248"/>
      <c r="BAB20" s="248"/>
      <c r="BAC20" s="248"/>
      <c r="BAD20" s="248"/>
      <c r="BAE20" s="248"/>
      <c r="BAF20" s="248"/>
      <c r="BAG20" s="248"/>
      <c r="BAH20" s="248"/>
      <c r="BAI20" s="248"/>
      <c r="BAJ20" s="248"/>
      <c r="BAK20" s="248"/>
      <c r="BAL20" s="248"/>
      <c r="BAM20" s="248"/>
      <c r="BAN20" s="248"/>
      <c r="BAO20" s="248"/>
      <c r="BAP20" s="248"/>
      <c r="BAQ20" s="248"/>
      <c r="BAR20" s="248"/>
      <c r="BAS20" s="248"/>
      <c r="BAT20" s="248"/>
      <c r="BAU20" s="248"/>
      <c r="BAV20" s="248"/>
      <c r="BAW20" s="248"/>
      <c r="BAX20" s="248"/>
      <c r="BAY20" s="248"/>
      <c r="BAZ20" s="248"/>
      <c r="BBA20" s="248"/>
      <c r="BBB20" s="248"/>
      <c r="BBC20" s="248"/>
      <c r="BBD20" s="248"/>
      <c r="BBE20" s="248"/>
      <c r="BBF20" s="248"/>
      <c r="BBG20" s="248"/>
      <c r="BBH20" s="248"/>
      <c r="BBI20" s="248"/>
      <c r="BBJ20" s="248"/>
      <c r="BBK20" s="248"/>
      <c r="BBL20" s="248"/>
      <c r="BBM20" s="248"/>
      <c r="BBN20" s="248"/>
      <c r="BBO20" s="248"/>
      <c r="BBP20" s="248"/>
      <c r="BBQ20" s="248"/>
      <c r="BBR20" s="248"/>
      <c r="BBS20" s="248"/>
      <c r="BBT20" s="248"/>
      <c r="BBU20" s="248"/>
      <c r="BBV20" s="248"/>
      <c r="BBW20" s="248"/>
      <c r="BBX20" s="248"/>
      <c r="BBY20" s="248"/>
      <c r="BBZ20" s="248"/>
      <c r="BCA20" s="248"/>
      <c r="BCB20" s="248"/>
      <c r="BCC20" s="248"/>
      <c r="BCD20" s="248"/>
      <c r="BCE20" s="248"/>
      <c r="BCF20" s="248"/>
      <c r="BCG20" s="248"/>
      <c r="BCH20" s="248"/>
      <c r="BCI20" s="248"/>
      <c r="BCJ20" s="248"/>
      <c r="BCK20" s="248"/>
      <c r="BCL20" s="248"/>
      <c r="BCM20" s="248"/>
      <c r="BCN20" s="248"/>
      <c r="BCO20" s="248"/>
      <c r="BCP20" s="248"/>
      <c r="BCQ20" s="248"/>
      <c r="BCR20" s="248"/>
      <c r="BCS20" s="248"/>
      <c r="BCT20" s="248"/>
      <c r="BCU20" s="248"/>
      <c r="BCV20" s="248"/>
      <c r="BCW20" s="248"/>
      <c r="BCX20" s="248"/>
      <c r="BCY20" s="248"/>
      <c r="BCZ20" s="248"/>
      <c r="BDA20" s="248"/>
      <c r="BDB20" s="248"/>
      <c r="BDC20" s="248"/>
      <c r="BDD20" s="248"/>
      <c r="BDE20" s="248"/>
      <c r="BDF20" s="248"/>
      <c r="BDG20" s="248"/>
      <c r="BDH20" s="248"/>
      <c r="BDI20" s="248"/>
      <c r="BDJ20" s="248"/>
      <c r="BDK20" s="248"/>
      <c r="BDL20" s="248"/>
      <c r="BDM20" s="248"/>
      <c r="BDN20" s="248"/>
      <c r="BDO20" s="248"/>
      <c r="BDP20" s="248"/>
      <c r="BDQ20" s="248"/>
      <c r="BDR20" s="248"/>
      <c r="BDS20" s="248"/>
      <c r="BDT20" s="248"/>
      <c r="BDU20" s="248"/>
      <c r="BDV20" s="248"/>
      <c r="BDW20" s="248"/>
      <c r="BDX20" s="248"/>
      <c r="BDY20" s="248"/>
      <c r="BDZ20" s="248"/>
      <c r="BEA20" s="248"/>
      <c r="BEB20" s="248"/>
      <c r="BEC20" s="248"/>
      <c r="BED20" s="248"/>
      <c r="BEE20" s="248"/>
      <c r="BEF20" s="248"/>
      <c r="BEG20" s="248"/>
      <c r="BEH20" s="248"/>
      <c r="BEI20" s="248"/>
      <c r="BEJ20" s="248"/>
      <c r="BEK20" s="248"/>
      <c r="BEL20" s="248"/>
      <c r="BEM20" s="248"/>
      <c r="BEN20" s="248"/>
      <c r="BEO20" s="248"/>
      <c r="BEP20" s="248"/>
      <c r="BEQ20" s="248"/>
      <c r="BER20" s="248"/>
      <c r="BES20" s="248"/>
      <c r="BET20" s="248"/>
      <c r="BEU20" s="248"/>
      <c r="BEV20" s="248"/>
      <c r="BEW20" s="248"/>
      <c r="BEX20" s="248"/>
      <c r="BEY20" s="248"/>
      <c r="BEZ20" s="248"/>
      <c r="BFA20" s="248"/>
      <c r="BFB20" s="248"/>
      <c r="BFC20" s="248"/>
      <c r="BFD20" s="248"/>
      <c r="BFE20" s="248"/>
      <c r="BFF20" s="248"/>
      <c r="BFG20" s="248"/>
      <c r="BFH20" s="248"/>
      <c r="BFI20" s="248"/>
      <c r="BFJ20" s="248"/>
      <c r="BFK20" s="248"/>
      <c r="BFL20" s="248"/>
      <c r="BFM20" s="248"/>
      <c r="BFN20" s="248"/>
      <c r="BFO20" s="248"/>
      <c r="BFP20" s="248"/>
      <c r="BFQ20" s="248"/>
      <c r="BFR20" s="248"/>
      <c r="BFS20" s="248"/>
      <c r="BFT20" s="248"/>
      <c r="BFU20" s="248"/>
      <c r="BFV20" s="248"/>
      <c r="BFW20" s="248"/>
      <c r="BFX20" s="248"/>
      <c r="BFY20" s="248"/>
      <c r="BFZ20" s="248"/>
      <c r="BGA20" s="248"/>
      <c r="BGB20" s="248"/>
      <c r="BGC20" s="248"/>
      <c r="BGD20" s="248"/>
      <c r="BGE20" s="248"/>
      <c r="BGF20" s="248"/>
      <c r="BGG20" s="248"/>
      <c r="BGH20" s="248"/>
      <c r="BGI20" s="248"/>
      <c r="BGJ20" s="248"/>
      <c r="BGK20" s="248"/>
      <c r="BGL20" s="248"/>
      <c r="BGM20" s="248"/>
      <c r="BGN20" s="248"/>
      <c r="BGO20" s="248"/>
      <c r="BGP20" s="248"/>
      <c r="BGQ20" s="248"/>
      <c r="BGR20" s="248"/>
      <c r="BGS20" s="248"/>
      <c r="BGT20" s="248"/>
      <c r="BGU20" s="248"/>
      <c r="BGV20" s="248"/>
      <c r="BGW20" s="248"/>
      <c r="BGX20" s="248"/>
      <c r="BGY20" s="248"/>
      <c r="BGZ20" s="248"/>
      <c r="BHA20" s="248"/>
      <c r="BHB20" s="248"/>
      <c r="BHC20" s="248"/>
      <c r="BHD20" s="248"/>
      <c r="BHE20" s="248"/>
      <c r="BHF20" s="248"/>
      <c r="BHG20" s="248"/>
      <c r="BHH20" s="248"/>
      <c r="BHI20" s="248"/>
      <c r="BHJ20" s="248"/>
      <c r="BHK20" s="248"/>
      <c r="BHL20" s="248"/>
      <c r="BHM20" s="248"/>
      <c r="BHN20" s="248"/>
      <c r="BHO20" s="248"/>
      <c r="BHP20" s="248"/>
      <c r="BHQ20" s="248"/>
      <c r="BHR20" s="248"/>
      <c r="BHS20" s="248"/>
      <c r="BHT20" s="248"/>
      <c r="BHU20" s="248"/>
      <c r="BHV20" s="248"/>
      <c r="BHW20" s="248"/>
      <c r="BHX20" s="248"/>
      <c r="BHY20" s="248"/>
      <c r="BHZ20" s="248"/>
      <c r="BIA20" s="248"/>
      <c r="BIB20" s="248"/>
      <c r="BIC20" s="248"/>
      <c r="BID20" s="248"/>
      <c r="BIE20" s="248"/>
      <c r="BIF20" s="248"/>
      <c r="BIG20" s="248"/>
      <c r="BIH20" s="248"/>
      <c r="BII20" s="248"/>
      <c r="BIJ20" s="248"/>
      <c r="BIK20" s="248"/>
      <c r="BIL20" s="248"/>
      <c r="BIM20" s="248"/>
      <c r="BIN20" s="248"/>
      <c r="BIO20" s="248"/>
      <c r="BIP20" s="248"/>
      <c r="BIQ20" s="248"/>
      <c r="BIR20" s="248"/>
      <c r="BIS20" s="248"/>
      <c r="BIT20" s="248"/>
      <c r="BIU20" s="248"/>
      <c r="BIV20" s="248"/>
      <c r="BIW20" s="248"/>
      <c r="BIX20" s="248"/>
      <c r="BIY20" s="248"/>
      <c r="BIZ20" s="248"/>
      <c r="BJA20" s="248"/>
      <c r="BJB20" s="248"/>
      <c r="BJC20" s="248"/>
      <c r="BJD20" s="248"/>
      <c r="BJE20" s="248"/>
      <c r="BJF20" s="248"/>
      <c r="BJG20" s="248"/>
      <c r="BJH20" s="248"/>
      <c r="BJI20" s="248"/>
      <c r="BJJ20" s="248"/>
      <c r="BJK20" s="248"/>
      <c r="BJL20" s="248"/>
      <c r="BJM20" s="248"/>
      <c r="BJN20" s="248"/>
      <c r="BJO20" s="248"/>
      <c r="BJP20" s="248"/>
      <c r="BJQ20" s="248"/>
      <c r="BJR20" s="248"/>
      <c r="BJS20" s="248"/>
      <c r="BJT20" s="248"/>
      <c r="BJU20" s="248"/>
      <c r="BJV20" s="248"/>
      <c r="BJW20" s="248"/>
      <c r="BJX20" s="248"/>
      <c r="BJY20" s="248"/>
      <c r="BJZ20" s="248"/>
      <c r="BKA20" s="248"/>
      <c r="BKB20" s="248"/>
      <c r="BKC20" s="248"/>
      <c r="BKD20" s="248"/>
      <c r="BKE20" s="248"/>
      <c r="BKF20" s="248"/>
      <c r="BKG20" s="248"/>
      <c r="BKH20" s="248"/>
      <c r="BKI20" s="248"/>
      <c r="BKJ20" s="248"/>
      <c r="BKK20" s="248"/>
      <c r="BKL20" s="248"/>
      <c r="BKM20" s="248"/>
      <c r="BKN20" s="248"/>
      <c r="BKO20" s="248"/>
      <c r="BKP20" s="248"/>
      <c r="BKQ20" s="248"/>
      <c r="BKR20" s="248"/>
      <c r="BKS20" s="248"/>
      <c r="BKT20" s="248"/>
      <c r="BKU20" s="248"/>
      <c r="BKV20" s="248"/>
      <c r="BKW20" s="248"/>
      <c r="BKX20" s="248"/>
      <c r="BKY20" s="248"/>
      <c r="BKZ20" s="248"/>
      <c r="BLA20" s="248"/>
      <c r="BLB20" s="248"/>
      <c r="BLC20" s="248"/>
      <c r="BLD20" s="248"/>
      <c r="BLE20" s="248"/>
      <c r="BLF20" s="248"/>
      <c r="BLG20" s="248"/>
      <c r="BLH20" s="248"/>
      <c r="BLI20" s="248"/>
      <c r="BLJ20" s="248"/>
      <c r="BLK20" s="248"/>
      <c r="BLL20" s="248"/>
      <c r="BLM20" s="248"/>
      <c r="BLN20" s="248"/>
      <c r="BLO20" s="248"/>
      <c r="BLP20" s="248"/>
      <c r="BLQ20" s="248"/>
      <c r="BLR20" s="248"/>
      <c r="BLS20" s="248"/>
      <c r="BLT20" s="248"/>
      <c r="BLU20" s="248"/>
      <c r="BLV20" s="248"/>
      <c r="BLW20" s="248"/>
      <c r="BLX20" s="248"/>
      <c r="BLY20" s="248"/>
      <c r="BLZ20" s="248"/>
      <c r="BMA20" s="248"/>
      <c r="BMB20" s="248"/>
      <c r="BMC20" s="248"/>
      <c r="BMD20" s="248"/>
      <c r="BME20" s="248"/>
      <c r="BMF20" s="248"/>
      <c r="BMG20" s="248"/>
      <c r="BMH20" s="248"/>
      <c r="BMI20" s="248"/>
      <c r="BMJ20" s="248"/>
      <c r="BMK20" s="248"/>
      <c r="BML20" s="248"/>
      <c r="BMM20" s="248"/>
      <c r="BMN20" s="248"/>
      <c r="BMO20" s="248"/>
      <c r="BMP20" s="248"/>
      <c r="BMQ20" s="248"/>
      <c r="BMR20" s="248"/>
      <c r="BMS20" s="248"/>
      <c r="BMT20" s="248"/>
      <c r="BMU20" s="248"/>
      <c r="BMV20" s="248"/>
      <c r="BMW20" s="248"/>
      <c r="BMX20" s="248"/>
      <c r="BMY20" s="248"/>
      <c r="BMZ20" s="248"/>
      <c r="BNA20" s="248"/>
      <c r="BNB20" s="248"/>
      <c r="BNC20" s="248"/>
      <c r="BND20" s="248"/>
      <c r="BNE20" s="248"/>
      <c r="BNF20" s="248"/>
      <c r="BNG20" s="248"/>
      <c r="BNH20" s="248"/>
      <c r="BNI20" s="248"/>
      <c r="BNJ20" s="248"/>
      <c r="BNK20" s="248"/>
      <c r="BNL20" s="248"/>
      <c r="BNM20" s="248"/>
      <c r="BNN20" s="248"/>
      <c r="BNO20" s="248"/>
      <c r="BNP20" s="248"/>
      <c r="BNQ20" s="248"/>
      <c r="BNR20" s="248"/>
      <c r="BNS20" s="248"/>
      <c r="BNT20" s="248"/>
      <c r="BNU20" s="248"/>
      <c r="BNV20" s="248"/>
      <c r="BNW20" s="248"/>
      <c r="BNX20" s="248"/>
      <c r="BNY20" s="248"/>
      <c r="BNZ20" s="248"/>
      <c r="BOA20" s="248"/>
      <c r="BOB20" s="248"/>
      <c r="BOC20" s="248"/>
      <c r="BOD20" s="248"/>
      <c r="BOE20" s="248"/>
      <c r="BOF20" s="248"/>
      <c r="BOG20" s="248"/>
      <c r="BOH20" s="248"/>
      <c r="BOI20" s="248"/>
      <c r="BOJ20" s="248"/>
      <c r="BOK20" s="248"/>
      <c r="BOL20" s="248"/>
      <c r="BOM20" s="248"/>
      <c r="BON20" s="248"/>
      <c r="BOO20" s="248"/>
      <c r="BOP20" s="248"/>
      <c r="BOQ20" s="248"/>
      <c r="BOR20" s="248"/>
      <c r="BOS20" s="248"/>
      <c r="BOT20" s="248"/>
      <c r="BOU20" s="248"/>
      <c r="BOV20" s="248"/>
      <c r="BOW20" s="248"/>
      <c r="BOX20" s="248"/>
      <c r="BOY20" s="248"/>
      <c r="BOZ20" s="248"/>
      <c r="BPA20" s="248"/>
      <c r="BPB20" s="248"/>
      <c r="BPC20" s="248"/>
      <c r="BPD20" s="248"/>
      <c r="BPE20" s="248"/>
      <c r="BPF20" s="248"/>
      <c r="BPG20" s="248"/>
      <c r="BPH20" s="248"/>
      <c r="BPI20" s="248"/>
      <c r="BPJ20" s="248"/>
      <c r="BPK20" s="248"/>
      <c r="BPL20" s="248"/>
      <c r="BPM20" s="248"/>
      <c r="BPN20" s="248"/>
      <c r="BPO20" s="248"/>
      <c r="BPP20" s="248"/>
      <c r="BPQ20" s="248"/>
      <c r="BPR20" s="248"/>
      <c r="BPS20" s="248"/>
      <c r="BPT20" s="248"/>
      <c r="BPU20" s="248"/>
      <c r="BPV20" s="248"/>
      <c r="BPW20" s="248"/>
      <c r="BPX20" s="248"/>
      <c r="BPY20" s="248"/>
      <c r="BPZ20" s="248"/>
      <c r="BQA20" s="248"/>
      <c r="BQB20" s="248"/>
      <c r="BQC20" s="248"/>
      <c r="BQD20" s="248"/>
      <c r="BQE20" s="248"/>
      <c r="BQF20" s="248"/>
      <c r="BQG20" s="248"/>
      <c r="BQH20" s="248"/>
      <c r="BQI20" s="248"/>
      <c r="BQJ20" s="248"/>
      <c r="BQK20" s="248"/>
      <c r="BQL20" s="248"/>
      <c r="BQM20" s="248"/>
      <c r="BQN20" s="248"/>
      <c r="BQO20" s="248"/>
      <c r="BQP20" s="248"/>
      <c r="BQQ20" s="248"/>
      <c r="BQR20" s="248"/>
      <c r="BQS20" s="248"/>
      <c r="BQT20" s="248"/>
      <c r="BQU20" s="248"/>
      <c r="BQV20" s="248"/>
      <c r="BQW20" s="248"/>
      <c r="BQX20" s="248"/>
      <c r="BQY20" s="248"/>
      <c r="BQZ20" s="248"/>
      <c r="BRA20" s="248"/>
      <c r="BRB20" s="248"/>
      <c r="BRC20" s="248"/>
      <c r="BRD20" s="248"/>
      <c r="BRE20" s="248"/>
      <c r="BRF20" s="248"/>
      <c r="BRG20" s="248"/>
      <c r="BRH20" s="248"/>
      <c r="BRI20" s="248"/>
      <c r="BRJ20" s="248"/>
      <c r="BRK20" s="248"/>
      <c r="BRL20" s="248"/>
      <c r="BRM20" s="248"/>
      <c r="BRN20" s="248"/>
      <c r="BRO20" s="248"/>
      <c r="BRP20" s="248"/>
      <c r="BRQ20" s="248"/>
      <c r="BRR20" s="248"/>
      <c r="BRS20" s="248"/>
      <c r="BRT20" s="248"/>
      <c r="BRU20" s="248"/>
      <c r="BRV20" s="248"/>
      <c r="BRW20" s="248"/>
      <c r="BRX20" s="248"/>
      <c r="BRY20" s="248"/>
      <c r="BRZ20" s="248"/>
      <c r="BSA20" s="248"/>
      <c r="BSB20" s="248"/>
      <c r="BSC20" s="248"/>
      <c r="BSD20" s="248"/>
      <c r="BSE20" s="248"/>
      <c r="BSF20" s="248"/>
      <c r="BSG20" s="248"/>
      <c r="BSH20" s="248"/>
      <c r="BSI20" s="248"/>
      <c r="BSJ20" s="248"/>
      <c r="BSK20" s="248"/>
      <c r="BSL20" s="248"/>
      <c r="BSM20" s="248"/>
      <c r="BSN20" s="248"/>
      <c r="BSO20" s="248"/>
      <c r="BSP20" s="248"/>
      <c r="BSQ20" s="248"/>
      <c r="BSR20" s="248"/>
      <c r="BSS20" s="248"/>
      <c r="BST20" s="248"/>
      <c r="BSU20" s="248"/>
      <c r="BSV20" s="248"/>
      <c r="BSW20" s="248"/>
      <c r="BSX20" s="248"/>
      <c r="BSY20" s="248"/>
      <c r="BSZ20" s="248"/>
      <c r="BTA20" s="248"/>
      <c r="BTB20" s="248"/>
      <c r="BTC20" s="248"/>
      <c r="BTD20" s="248"/>
      <c r="BTE20" s="248"/>
      <c r="BTF20" s="248"/>
      <c r="BTG20" s="248"/>
      <c r="BTH20" s="248"/>
      <c r="BTI20" s="248"/>
      <c r="BTJ20" s="248"/>
      <c r="BTK20" s="248"/>
      <c r="BTL20" s="248"/>
      <c r="BTM20" s="248"/>
      <c r="BTN20" s="248"/>
      <c r="BTO20" s="248"/>
      <c r="BTP20" s="248"/>
      <c r="BTQ20" s="248"/>
      <c r="BTR20" s="248"/>
      <c r="BTS20" s="248"/>
      <c r="BTT20" s="248"/>
      <c r="BTU20" s="248"/>
      <c r="BTV20" s="248"/>
      <c r="BTW20" s="248"/>
      <c r="BTX20" s="248"/>
      <c r="BTY20" s="248"/>
      <c r="BTZ20" s="248"/>
      <c r="BUA20" s="248"/>
      <c r="BUB20" s="248"/>
      <c r="BUC20" s="248"/>
      <c r="BUD20" s="248"/>
      <c r="BUE20" s="248"/>
      <c r="BUF20" s="248"/>
      <c r="BUG20" s="248"/>
      <c r="BUH20" s="248"/>
      <c r="BUI20" s="248"/>
      <c r="BUJ20" s="248"/>
      <c r="BUK20" s="248"/>
      <c r="BUL20" s="248"/>
      <c r="BUM20" s="248"/>
      <c r="BUN20" s="248"/>
      <c r="BUO20" s="248"/>
      <c r="BUP20" s="248"/>
      <c r="BUQ20" s="248"/>
      <c r="BUR20" s="248"/>
      <c r="BUS20" s="248"/>
      <c r="BUT20" s="248"/>
      <c r="BUU20" s="248"/>
      <c r="BUV20" s="248"/>
      <c r="BUW20" s="248"/>
      <c r="BUX20" s="248"/>
      <c r="BUY20" s="248"/>
      <c r="BUZ20" s="248"/>
      <c r="BVA20" s="248"/>
      <c r="BVB20" s="248"/>
      <c r="BVC20" s="248"/>
      <c r="BVD20" s="248"/>
      <c r="BVE20" s="248"/>
      <c r="BVF20" s="248"/>
      <c r="BVG20" s="248"/>
      <c r="BVH20" s="248"/>
      <c r="BVI20" s="248"/>
      <c r="BVJ20" s="248"/>
      <c r="BVK20" s="248"/>
      <c r="BVL20" s="248"/>
      <c r="BVM20" s="248"/>
      <c r="BVN20" s="248"/>
      <c r="BVO20" s="248"/>
      <c r="BVP20" s="248"/>
      <c r="BVQ20" s="248"/>
      <c r="BVR20" s="248"/>
      <c r="BVS20" s="248"/>
      <c r="BVT20" s="248"/>
      <c r="BVU20" s="248"/>
      <c r="BVV20" s="248"/>
      <c r="BVW20" s="248"/>
      <c r="BVX20" s="248"/>
      <c r="BVY20" s="248"/>
      <c r="BVZ20" s="248"/>
      <c r="BWA20" s="248"/>
      <c r="BWB20" s="248"/>
      <c r="BWC20" s="248"/>
      <c r="BWD20" s="248"/>
      <c r="BWE20" s="248"/>
      <c r="BWF20" s="248"/>
      <c r="BWG20" s="248"/>
      <c r="BWH20" s="248"/>
      <c r="BWI20" s="248"/>
      <c r="BWJ20" s="248"/>
      <c r="BWK20" s="248"/>
      <c r="BWL20" s="248"/>
      <c r="BWM20" s="248"/>
      <c r="BWN20" s="248"/>
      <c r="BWO20" s="248"/>
      <c r="BWP20" s="248"/>
      <c r="BWQ20" s="248"/>
      <c r="BWR20" s="248"/>
      <c r="BWS20" s="248"/>
      <c r="BWT20" s="248"/>
      <c r="BWU20" s="248"/>
      <c r="BWV20" s="248"/>
      <c r="BWW20" s="248"/>
      <c r="BWX20" s="248"/>
      <c r="BWY20" s="248"/>
      <c r="BWZ20" s="248"/>
      <c r="BXA20" s="248"/>
      <c r="BXB20" s="248"/>
      <c r="BXC20" s="248"/>
      <c r="BXD20" s="248"/>
      <c r="BXE20" s="248"/>
      <c r="BXF20" s="248"/>
      <c r="BXG20" s="248"/>
      <c r="BXH20" s="248"/>
      <c r="BXI20" s="248"/>
      <c r="BXJ20" s="248"/>
      <c r="BXK20" s="248"/>
      <c r="BXL20" s="248"/>
      <c r="BXM20" s="248"/>
      <c r="BXN20" s="248"/>
      <c r="BXO20" s="248"/>
      <c r="BXP20" s="248"/>
      <c r="BXQ20" s="248"/>
      <c r="BXR20" s="248"/>
      <c r="BXS20" s="248"/>
      <c r="BXT20" s="248"/>
      <c r="BXU20" s="248"/>
      <c r="BXV20" s="248"/>
      <c r="BXW20" s="248"/>
      <c r="BXX20" s="248"/>
      <c r="BXY20" s="248"/>
      <c r="BXZ20" s="248"/>
      <c r="BYA20" s="248"/>
      <c r="BYB20" s="248"/>
      <c r="BYC20" s="248"/>
      <c r="BYD20" s="248"/>
      <c r="BYE20" s="248"/>
      <c r="BYF20" s="248"/>
      <c r="BYG20" s="248"/>
      <c r="BYH20" s="248"/>
      <c r="BYI20" s="248"/>
      <c r="BYJ20" s="248"/>
      <c r="BYK20" s="248"/>
      <c r="BYL20" s="248"/>
      <c r="BYM20" s="248"/>
      <c r="BYN20" s="248"/>
      <c r="BYO20" s="248"/>
      <c r="BYP20" s="248"/>
      <c r="BYQ20" s="248"/>
      <c r="BYR20" s="248"/>
      <c r="BYS20" s="248"/>
      <c r="BYT20" s="248"/>
      <c r="BYU20" s="248"/>
      <c r="BYV20" s="248"/>
      <c r="BYW20" s="248"/>
      <c r="BYX20" s="248"/>
      <c r="BYY20" s="248"/>
      <c r="BYZ20" s="248"/>
      <c r="BZA20" s="248"/>
      <c r="BZB20" s="248"/>
      <c r="BZC20" s="248"/>
      <c r="BZD20" s="248"/>
      <c r="BZE20" s="248"/>
      <c r="BZF20" s="248"/>
      <c r="BZG20" s="248"/>
      <c r="BZH20" s="248"/>
      <c r="BZI20" s="248"/>
      <c r="BZJ20" s="248"/>
      <c r="BZK20" s="248"/>
      <c r="BZL20" s="248"/>
      <c r="BZM20" s="248"/>
      <c r="BZN20" s="248"/>
      <c r="BZO20" s="248"/>
      <c r="BZP20" s="248"/>
      <c r="BZQ20" s="248"/>
      <c r="BZR20" s="248"/>
      <c r="BZS20" s="248"/>
      <c r="BZT20" s="248"/>
      <c r="BZU20" s="248"/>
      <c r="BZV20" s="248"/>
      <c r="BZW20" s="248"/>
      <c r="BZX20" s="248"/>
      <c r="BZY20" s="248"/>
      <c r="BZZ20" s="248"/>
      <c r="CAA20" s="248"/>
      <c r="CAB20" s="248"/>
      <c r="CAC20" s="248"/>
      <c r="CAD20" s="248"/>
      <c r="CAE20" s="248"/>
      <c r="CAF20" s="248"/>
      <c r="CAG20" s="248"/>
      <c r="CAH20" s="248"/>
      <c r="CAI20" s="248"/>
      <c r="CAJ20" s="248"/>
      <c r="CAK20" s="248"/>
      <c r="CAL20" s="248"/>
      <c r="CAM20" s="248"/>
      <c r="CAN20" s="248"/>
      <c r="CAO20" s="248"/>
      <c r="CAP20" s="248"/>
      <c r="CAQ20" s="248"/>
      <c r="CAR20" s="248"/>
      <c r="CAS20" s="248"/>
      <c r="CAT20" s="248"/>
      <c r="CAU20" s="248"/>
      <c r="CAV20" s="248"/>
      <c r="CAW20" s="248"/>
      <c r="CAX20" s="248"/>
      <c r="CAY20" s="248"/>
      <c r="CAZ20" s="248"/>
      <c r="CBA20" s="248"/>
      <c r="CBB20" s="248"/>
      <c r="CBC20" s="248"/>
      <c r="CBD20" s="248"/>
      <c r="CBE20" s="248"/>
      <c r="CBF20" s="248"/>
      <c r="CBG20" s="248"/>
      <c r="CBH20" s="248"/>
      <c r="CBI20" s="248"/>
      <c r="CBJ20" s="248"/>
      <c r="CBK20" s="248"/>
      <c r="CBL20" s="248"/>
      <c r="CBM20" s="248"/>
      <c r="CBN20" s="248"/>
      <c r="CBO20" s="248"/>
      <c r="CBP20" s="248"/>
      <c r="CBQ20" s="248"/>
      <c r="CBR20" s="248"/>
      <c r="CBS20" s="248"/>
      <c r="CBT20" s="248"/>
      <c r="CBU20" s="248"/>
      <c r="CBV20" s="248"/>
      <c r="CBW20" s="248"/>
      <c r="CBX20" s="248"/>
      <c r="CBY20" s="248"/>
      <c r="CBZ20" s="248"/>
      <c r="CCA20" s="248"/>
      <c r="CCB20" s="248"/>
      <c r="CCC20" s="248"/>
      <c r="CCD20" s="248"/>
      <c r="CCE20" s="248"/>
      <c r="CCF20" s="248"/>
      <c r="CCG20" s="248"/>
      <c r="CCH20" s="248"/>
      <c r="CCI20" s="248"/>
      <c r="CCJ20" s="248"/>
      <c r="CCK20" s="248"/>
      <c r="CCL20" s="248"/>
      <c r="CCM20" s="248"/>
      <c r="CCN20" s="248"/>
      <c r="CCO20" s="248"/>
      <c r="CCP20" s="248"/>
      <c r="CCQ20" s="248"/>
      <c r="CCR20" s="248"/>
      <c r="CCS20" s="248"/>
      <c r="CCT20" s="248"/>
      <c r="CCU20" s="248"/>
      <c r="CCV20" s="248"/>
      <c r="CCW20" s="248"/>
      <c r="VEX20" s="195"/>
      <c r="VST20" s="194"/>
      <c r="VTB20" s="194"/>
    </row>
    <row r="21" spans="1:2129 15026:15026 15386:15394" ht="16.149999999999999" customHeight="1" x14ac:dyDescent="0.25">
      <c r="A21"/>
      <c r="B21"/>
      <c r="C21"/>
      <c r="D21"/>
      <c r="E21"/>
      <c r="F21"/>
      <c r="H21" s="235" t="s">
        <v>49</v>
      </c>
      <c r="I21" s="67"/>
      <c r="J21" s="160"/>
      <c r="K21" s="66"/>
      <c r="L21" s="65"/>
      <c r="M21" s="64"/>
      <c r="N21" s="65"/>
      <c r="O21" s="65"/>
      <c r="P21" s="64"/>
      <c r="Q21" s="149"/>
      <c r="R21" s="65"/>
      <c r="S21" s="65"/>
      <c r="T21" s="64"/>
      <c r="U21" s="158"/>
      <c r="V21" s="158"/>
      <c r="W21" s="158"/>
      <c r="X21" s="58"/>
      <c r="Y21" s="58"/>
      <c r="Z21" s="58"/>
      <c r="AA21" s="58"/>
      <c r="AB21" s="58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</row>
    <row r="22" spans="1:2129 15026:15026 15386:15394" ht="16.149999999999999" customHeight="1" x14ac:dyDescent="0.25">
      <c r="A22"/>
      <c r="B22"/>
      <c r="C22"/>
      <c r="D22"/>
      <c r="E22"/>
      <c r="F22"/>
      <c r="H22" s="67"/>
      <c r="I22" s="67"/>
      <c r="J22" s="160"/>
      <c r="K22" s="66"/>
      <c r="L22" s="65"/>
      <c r="M22" s="64"/>
      <c r="N22" s="65"/>
      <c r="O22" s="65"/>
      <c r="P22" s="64"/>
      <c r="Q22" s="150"/>
      <c r="R22" s="65"/>
      <c r="S22" s="65"/>
      <c r="T22" s="64"/>
      <c r="U22" s="158"/>
      <c r="V22" s="158"/>
      <c r="W22" s="158"/>
      <c r="X22" s="58"/>
      <c r="Y22" s="58"/>
      <c r="Z22" s="58"/>
      <c r="AA22" s="58"/>
      <c r="AB22" s="58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</row>
    <row r="23" spans="1:2129 15026:15026 15386:15394" ht="16.149999999999999" customHeight="1" x14ac:dyDescent="0.25">
      <c r="A23"/>
      <c r="B23"/>
      <c r="C23"/>
      <c r="D23"/>
      <c r="E23"/>
      <c r="F23"/>
      <c r="H23" s="67"/>
      <c r="I23" s="67"/>
      <c r="J23" s="160"/>
      <c r="K23" s="66"/>
      <c r="L23" s="65"/>
      <c r="M23" s="64"/>
      <c r="N23" s="65"/>
      <c r="O23" s="65"/>
      <c r="P23" s="64"/>
      <c r="Q23" s="149"/>
      <c r="R23" s="65"/>
      <c r="S23" s="65"/>
      <c r="T23" s="64"/>
      <c r="U23" s="158"/>
      <c r="V23" s="158"/>
      <c r="W23" s="158"/>
      <c r="X23" s="58"/>
      <c r="Y23" s="58"/>
      <c r="Z23" s="58"/>
      <c r="AA23" s="58"/>
      <c r="AB23" s="58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</row>
    <row r="24" spans="1:2129 15026:15026 15386:15394" ht="16.149999999999999" customHeight="1" x14ac:dyDescent="0.2">
      <c r="A24" s="63"/>
      <c r="B24" s="63"/>
      <c r="C24" s="63"/>
      <c r="D24" s="63"/>
      <c r="E24" s="63"/>
      <c r="F24" s="63"/>
      <c r="H24" s="55"/>
      <c r="I24" s="62"/>
      <c r="J24" s="161"/>
      <c r="K24" s="61"/>
      <c r="L24" s="60"/>
      <c r="M24" s="59"/>
      <c r="N24" s="142"/>
      <c r="O24" s="142"/>
      <c r="P24" s="64"/>
      <c r="Q24" s="149"/>
      <c r="R24" s="60"/>
      <c r="S24" s="60"/>
      <c r="T24" s="59"/>
      <c r="U24" s="158"/>
      <c r="V24" s="158"/>
      <c r="W24" s="158"/>
      <c r="X24" s="58"/>
      <c r="Y24" s="58"/>
      <c r="Z24" s="58"/>
      <c r="AA24" s="58"/>
      <c r="AB24" s="58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</row>
    <row r="25" spans="1:2129 15026:15026 15386:15394" ht="16.149999999999999" customHeight="1" x14ac:dyDescent="0.2">
      <c r="H25" s="55"/>
    </row>
    <row r="26" spans="1:2129 15026:15026 15386:15394" ht="16.149999999999999" customHeight="1" x14ac:dyDescent="0.2">
      <c r="H26" s="55"/>
      <c r="AE26" s="56"/>
    </row>
    <row r="27" spans="1:2129 15026:15026 15386:15394" ht="16.149999999999999" customHeight="1" x14ac:dyDescent="0.2">
      <c r="H27" s="55"/>
    </row>
    <row r="28" spans="1:2129 15026:15026 15386:15394" s="53" customFormat="1" ht="16.149999999999999" customHeight="1" x14ac:dyDescent="0.2">
      <c r="A28" s="45"/>
      <c r="B28" s="45"/>
      <c r="C28" s="45"/>
      <c r="D28" s="45"/>
      <c r="E28" s="45"/>
      <c r="F28" s="45"/>
      <c r="G28" s="181"/>
      <c r="H28" s="55"/>
      <c r="I28" s="51"/>
      <c r="J28" s="162"/>
      <c r="K28" s="50"/>
      <c r="L28" s="50"/>
      <c r="M28" s="49"/>
      <c r="N28" s="143"/>
      <c r="O28" s="143"/>
      <c r="P28" s="156"/>
      <c r="Q28" s="151"/>
      <c r="R28" s="50"/>
      <c r="S28" s="50"/>
      <c r="T28" s="49"/>
      <c r="U28" s="159"/>
      <c r="V28" s="159"/>
      <c r="W28" s="159"/>
      <c r="X28" s="48"/>
      <c r="Y28" s="48"/>
      <c r="Z28" s="48"/>
      <c r="AA28" s="48"/>
      <c r="AB28" s="48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47"/>
      <c r="BK28" s="47"/>
      <c r="BL28" s="47"/>
      <c r="BM28" s="47"/>
      <c r="BN28" s="47"/>
      <c r="BO28" s="47"/>
      <c r="BP28" s="47"/>
      <c r="BQ28" s="47"/>
      <c r="BR28" s="47"/>
      <c r="BS28" s="47"/>
      <c r="BT28" s="47"/>
      <c r="BU28" s="47"/>
      <c r="BV28" s="47"/>
      <c r="BW28" s="47"/>
      <c r="BX28" s="47"/>
      <c r="BY28" s="47"/>
      <c r="BZ28" s="47"/>
      <c r="CA28" s="47"/>
      <c r="CB28" s="47"/>
      <c r="CC28" s="47"/>
      <c r="CD28" s="47"/>
      <c r="CE28" s="47"/>
      <c r="CF28" s="47"/>
      <c r="CG28" s="46"/>
    </row>
    <row r="29" spans="1:2129 15026:15026 15386:15394" s="53" customFormat="1" ht="16.149999999999999" customHeight="1" x14ac:dyDescent="0.2">
      <c r="A29" s="45"/>
      <c r="B29" s="45"/>
      <c r="C29" s="45"/>
      <c r="D29" s="45"/>
      <c r="E29" s="45"/>
      <c r="F29" s="45"/>
      <c r="G29" s="181"/>
      <c r="H29" s="55"/>
      <c r="I29" s="51"/>
      <c r="J29" s="162"/>
      <c r="K29" s="50"/>
      <c r="L29" s="50"/>
      <c r="M29" s="49"/>
      <c r="N29" s="143"/>
      <c r="O29" s="143"/>
      <c r="P29" s="156"/>
      <c r="Q29" s="151"/>
      <c r="R29" s="50"/>
      <c r="S29" s="50"/>
      <c r="T29" s="49"/>
      <c r="U29" s="159"/>
      <c r="V29" s="159"/>
      <c r="W29" s="159"/>
      <c r="X29" s="48"/>
      <c r="Y29" s="48"/>
      <c r="Z29" s="48"/>
      <c r="AA29" s="48"/>
      <c r="AB29" s="48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  <c r="BS29" s="47"/>
      <c r="BT29" s="47"/>
      <c r="BU29" s="47"/>
      <c r="BV29" s="47"/>
      <c r="BW29" s="47"/>
      <c r="BX29" s="47"/>
      <c r="BY29" s="47"/>
      <c r="BZ29" s="47"/>
      <c r="CA29" s="47"/>
      <c r="CB29" s="47"/>
      <c r="CC29" s="47"/>
      <c r="CD29" s="47"/>
      <c r="CE29" s="47"/>
      <c r="CF29" s="47"/>
      <c r="CG29" s="46"/>
    </row>
    <row r="30" spans="1:2129 15026:15026 15386:15394" s="53" customFormat="1" ht="16.149999999999999" customHeight="1" x14ac:dyDescent="0.2">
      <c r="A30" s="45"/>
      <c r="B30" s="45"/>
      <c r="C30" s="45"/>
      <c r="D30" s="45"/>
      <c r="E30" s="45"/>
      <c r="F30" s="45"/>
      <c r="G30" s="181"/>
      <c r="H30" s="55"/>
      <c r="I30" s="51"/>
      <c r="J30" s="162"/>
      <c r="K30" s="50"/>
      <c r="L30" s="50"/>
      <c r="M30" s="49"/>
      <c r="N30" s="143"/>
      <c r="O30" s="143"/>
      <c r="P30" s="156"/>
      <c r="Q30" s="151"/>
      <c r="R30" s="50"/>
      <c r="S30" s="50"/>
      <c r="T30" s="49"/>
      <c r="U30" s="159"/>
      <c r="V30" s="159"/>
      <c r="W30" s="159"/>
      <c r="X30" s="48"/>
      <c r="Y30" s="48"/>
      <c r="Z30" s="48"/>
      <c r="AA30" s="48"/>
      <c r="AB30" s="48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7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7"/>
      <c r="BO30" s="47"/>
      <c r="BP30" s="47"/>
      <c r="BQ30" s="47"/>
      <c r="BR30" s="47"/>
      <c r="BS30" s="47"/>
      <c r="BT30" s="47"/>
      <c r="BU30" s="47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6"/>
    </row>
    <row r="31" spans="1:2129 15026:15026 15386:15394" s="53" customFormat="1" ht="16.149999999999999" customHeight="1" x14ac:dyDescent="0.2">
      <c r="A31" s="45"/>
      <c r="B31" s="45"/>
      <c r="C31" s="45"/>
      <c r="D31" s="45"/>
      <c r="E31" s="45"/>
      <c r="F31" s="45"/>
      <c r="G31" s="181"/>
      <c r="H31" s="55"/>
      <c r="I31" s="51"/>
      <c r="J31" s="162"/>
      <c r="K31" s="50"/>
      <c r="L31" s="50"/>
      <c r="M31" s="49"/>
      <c r="N31" s="143"/>
      <c r="O31" s="143"/>
      <c r="P31" s="156"/>
      <c r="Q31" s="151"/>
      <c r="R31" s="50"/>
      <c r="S31" s="50"/>
      <c r="T31" s="49"/>
      <c r="U31" s="159"/>
      <c r="V31" s="159"/>
      <c r="W31" s="159"/>
      <c r="X31" s="48"/>
      <c r="Y31" s="48"/>
      <c r="Z31" s="48"/>
      <c r="AA31" s="48"/>
      <c r="AB31" s="48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47"/>
      <c r="BK31" s="47"/>
      <c r="BL31" s="47"/>
      <c r="BM31" s="47"/>
      <c r="BN31" s="47"/>
      <c r="BO31" s="47"/>
      <c r="BP31" s="47"/>
      <c r="BQ31" s="47"/>
      <c r="BR31" s="47"/>
      <c r="BS31" s="47"/>
      <c r="BT31" s="47"/>
      <c r="BU31" s="47"/>
      <c r="BV31" s="47"/>
      <c r="BW31" s="47"/>
      <c r="BX31" s="47"/>
      <c r="BY31" s="47"/>
      <c r="BZ31" s="47"/>
      <c r="CA31" s="47"/>
      <c r="CB31" s="47"/>
      <c r="CC31" s="47"/>
      <c r="CD31" s="47"/>
      <c r="CE31" s="47"/>
      <c r="CF31" s="47"/>
      <c r="CG31" s="46"/>
    </row>
    <row r="32" spans="1:2129 15026:15026 15386:15394" s="53" customFormat="1" ht="16.149999999999999" customHeight="1" x14ac:dyDescent="0.2">
      <c r="A32" s="45"/>
      <c r="B32" s="45"/>
      <c r="C32" s="45"/>
      <c r="D32" s="45"/>
      <c r="E32" s="45"/>
      <c r="F32" s="45"/>
      <c r="G32" s="181"/>
      <c r="H32" s="55"/>
      <c r="I32" s="51"/>
      <c r="J32" s="162"/>
      <c r="K32" s="50"/>
      <c r="L32" s="50"/>
      <c r="M32" s="49"/>
      <c r="N32" s="143"/>
      <c r="O32" s="143"/>
      <c r="P32" s="156"/>
      <c r="Q32" s="151"/>
      <c r="R32" s="50"/>
      <c r="S32" s="50"/>
      <c r="T32" s="49"/>
      <c r="U32" s="159"/>
      <c r="V32" s="159"/>
      <c r="W32" s="159"/>
      <c r="X32" s="48"/>
      <c r="Y32" s="48"/>
      <c r="Z32" s="48"/>
      <c r="AA32" s="48"/>
      <c r="AB32" s="48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47"/>
      <c r="BQ32" s="47"/>
      <c r="BR32" s="47"/>
      <c r="BS32" s="47"/>
      <c r="BT32" s="47"/>
      <c r="BU32" s="47"/>
      <c r="BV32" s="47"/>
      <c r="BW32" s="47"/>
      <c r="BX32" s="47"/>
      <c r="BY32" s="47"/>
      <c r="BZ32" s="47"/>
      <c r="CA32" s="47"/>
      <c r="CB32" s="47"/>
      <c r="CC32" s="47"/>
      <c r="CD32" s="47"/>
      <c r="CE32" s="47"/>
      <c r="CF32" s="47"/>
      <c r="CG32" s="46"/>
    </row>
    <row r="33" spans="1:15394" s="53" customFormat="1" ht="16.149999999999999" customHeight="1" x14ac:dyDescent="0.2">
      <c r="A33" s="45"/>
      <c r="B33" s="45"/>
      <c r="C33" s="45"/>
      <c r="D33" s="45"/>
      <c r="E33" s="45"/>
      <c r="F33" s="45"/>
      <c r="G33" s="181"/>
      <c r="H33" s="55"/>
      <c r="I33" s="51"/>
      <c r="J33" s="162"/>
      <c r="K33" s="50"/>
      <c r="L33" s="50"/>
      <c r="M33" s="49"/>
      <c r="N33" s="143"/>
      <c r="O33" s="143"/>
      <c r="P33" s="156"/>
      <c r="Q33" s="151"/>
      <c r="R33" s="50"/>
      <c r="S33" s="50"/>
      <c r="T33" s="49"/>
      <c r="U33" s="159"/>
      <c r="V33" s="159"/>
      <c r="W33" s="159"/>
      <c r="X33" s="48"/>
      <c r="Y33" s="48"/>
      <c r="Z33" s="48"/>
      <c r="AA33" s="48"/>
      <c r="AB33" s="48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  <c r="BK33" s="47"/>
      <c r="BL33" s="47"/>
      <c r="BM33" s="47"/>
      <c r="BN33" s="47"/>
      <c r="BO33" s="47"/>
      <c r="BP33" s="47"/>
      <c r="BQ33" s="47"/>
      <c r="BR33" s="47"/>
      <c r="BS33" s="47"/>
      <c r="BT33" s="47"/>
      <c r="BU33" s="47"/>
      <c r="BV33" s="47"/>
      <c r="BW33" s="47"/>
      <c r="BX33" s="47"/>
      <c r="BY33" s="47"/>
      <c r="BZ33" s="47"/>
      <c r="CA33" s="47"/>
      <c r="CB33" s="47"/>
      <c r="CC33" s="47"/>
      <c r="CD33" s="47"/>
      <c r="CE33" s="47"/>
      <c r="CF33" s="47"/>
      <c r="CG33" s="46"/>
    </row>
    <row r="34" spans="1:15394" s="53" customFormat="1" ht="16.149999999999999" customHeight="1" x14ac:dyDescent="0.2">
      <c r="A34" s="45"/>
      <c r="B34" s="45"/>
      <c r="C34" s="45"/>
      <c r="D34" s="45"/>
      <c r="E34" s="45"/>
      <c r="F34" s="45"/>
      <c r="G34" s="181"/>
      <c r="H34" s="55"/>
      <c r="I34" s="51"/>
      <c r="J34" s="162"/>
      <c r="K34" s="50"/>
      <c r="L34" s="50"/>
      <c r="M34" s="49"/>
      <c r="N34" s="143"/>
      <c r="O34" s="143"/>
      <c r="P34" s="156"/>
      <c r="Q34" s="151"/>
      <c r="R34" s="50"/>
      <c r="S34" s="50"/>
      <c r="T34" s="49"/>
      <c r="U34" s="159"/>
      <c r="V34" s="159"/>
      <c r="W34" s="159"/>
      <c r="X34" s="48"/>
      <c r="Y34" s="48"/>
      <c r="Z34" s="48"/>
      <c r="AA34" s="48"/>
      <c r="AB34" s="48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  <c r="BK34" s="47"/>
      <c r="BL34" s="47"/>
      <c r="BM34" s="47"/>
      <c r="BN34" s="47"/>
      <c r="BO34" s="47"/>
      <c r="BP34" s="47"/>
      <c r="BQ34" s="47"/>
      <c r="BR34" s="47"/>
      <c r="BS34" s="47"/>
      <c r="BT34" s="47"/>
      <c r="BU34" s="47"/>
      <c r="BV34" s="47"/>
      <c r="BW34" s="47"/>
      <c r="BX34" s="47"/>
      <c r="BY34" s="47"/>
      <c r="BZ34" s="47"/>
      <c r="CA34" s="47"/>
      <c r="CB34" s="47"/>
      <c r="CC34" s="47"/>
      <c r="CD34" s="47"/>
      <c r="CE34" s="47"/>
      <c r="CF34" s="47"/>
      <c r="CG34" s="46"/>
    </row>
    <row r="35" spans="1:15394" ht="16.149999999999999" customHeight="1" x14ac:dyDescent="0.2">
      <c r="H35" s="54"/>
    </row>
    <row r="38" spans="1:15394" ht="16.149999999999999" customHeight="1" x14ac:dyDescent="0.2">
      <c r="A38" s="53"/>
      <c r="B38" s="53"/>
      <c r="C38" s="53"/>
      <c r="D38" s="53"/>
      <c r="E38" s="53"/>
      <c r="F38" s="53"/>
    </row>
    <row r="39" spans="1:15394" ht="16.149999999999999" customHeight="1" x14ac:dyDescent="0.2">
      <c r="A39" s="53"/>
      <c r="B39" s="53"/>
      <c r="C39" s="53"/>
      <c r="D39" s="53"/>
      <c r="E39" s="53"/>
      <c r="F39" s="53"/>
    </row>
    <row r="40" spans="1:15394" ht="16.149999999999999" customHeight="1" x14ac:dyDescent="0.2">
      <c r="A40" s="53"/>
      <c r="B40" s="53"/>
      <c r="C40" s="53"/>
      <c r="D40" s="53"/>
      <c r="E40" s="53"/>
      <c r="F40" s="53"/>
    </row>
    <row r="41" spans="1:15394" ht="16.149999999999999" customHeight="1" x14ac:dyDescent="0.2">
      <c r="A41" s="53"/>
      <c r="B41" s="53"/>
      <c r="C41" s="53"/>
      <c r="D41" s="53"/>
      <c r="E41" s="53"/>
      <c r="F41" s="53"/>
    </row>
    <row r="42" spans="1:15394" ht="16.149999999999999" customHeight="1" x14ac:dyDescent="0.2">
      <c r="A42" s="53"/>
      <c r="B42" s="53"/>
      <c r="C42" s="53"/>
      <c r="D42" s="53"/>
      <c r="E42" s="53"/>
      <c r="F42" s="53"/>
    </row>
    <row r="43" spans="1:15394" s="52" customFormat="1" ht="16.149999999999999" customHeight="1" x14ac:dyDescent="0.2">
      <c r="A43" s="53"/>
      <c r="B43" s="53"/>
      <c r="C43" s="53"/>
      <c r="D43" s="53"/>
      <c r="E43" s="53"/>
      <c r="F43" s="53"/>
      <c r="G43" s="181"/>
      <c r="H43" s="51"/>
      <c r="I43" s="51"/>
      <c r="J43" s="162"/>
      <c r="K43" s="50"/>
      <c r="L43" s="50"/>
      <c r="M43" s="49"/>
      <c r="N43" s="143"/>
      <c r="O43" s="143"/>
      <c r="P43" s="156"/>
      <c r="Q43" s="151"/>
      <c r="R43" s="50"/>
      <c r="S43" s="50"/>
      <c r="T43" s="49"/>
      <c r="U43" s="159"/>
      <c r="V43" s="159"/>
      <c r="W43" s="159"/>
      <c r="X43" s="48"/>
      <c r="Y43" s="48"/>
      <c r="Z43" s="48"/>
      <c r="AA43" s="48"/>
      <c r="AB43" s="48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6"/>
      <c r="CH43" s="45"/>
      <c r="CI43" s="45"/>
      <c r="CJ43" s="45"/>
      <c r="CK43" s="45"/>
      <c r="CL43" s="45"/>
      <c r="CM43" s="45"/>
      <c r="CN43" s="45"/>
      <c r="CO43" s="45"/>
      <c r="CP43" s="45"/>
      <c r="CQ43" s="45"/>
      <c r="CR43" s="45"/>
      <c r="CS43" s="45"/>
      <c r="CT43" s="45"/>
      <c r="CU43" s="45"/>
      <c r="CV43" s="45"/>
      <c r="CW43" s="45"/>
      <c r="CX43" s="45"/>
      <c r="CY43" s="45"/>
      <c r="CZ43" s="45"/>
      <c r="DA43" s="45"/>
      <c r="DB43" s="45"/>
      <c r="DC43" s="45"/>
      <c r="DD43" s="45"/>
      <c r="DE43" s="45"/>
      <c r="DF43" s="45"/>
      <c r="DG43" s="45"/>
      <c r="DH43" s="45"/>
      <c r="DI43" s="45"/>
      <c r="DJ43" s="45"/>
      <c r="DK43" s="45"/>
      <c r="DL43" s="45"/>
      <c r="DM43" s="45"/>
      <c r="DN43" s="45"/>
      <c r="DO43" s="45"/>
      <c r="DP43" s="45"/>
      <c r="DQ43" s="45"/>
      <c r="DR43" s="45"/>
      <c r="DS43" s="45"/>
      <c r="DT43" s="45"/>
      <c r="DU43" s="45"/>
      <c r="DV43" s="45"/>
      <c r="DW43" s="45"/>
      <c r="DX43" s="45"/>
      <c r="DY43" s="45"/>
      <c r="DZ43" s="45"/>
      <c r="EA43" s="45"/>
      <c r="EB43" s="45"/>
      <c r="EC43" s="45"/>
      <c r="ED43" s="45"/>
      <c r="EE43" s="45"/>
      <c r="EF43" s="45"/>
      <c r="EG43" s="45"/>
      <c r="EH43" s="45"/>
      <c r="EI43" s="45"/>
      <c r="EJ43" s="45"/>
      <c r="EK43" s="45"/>
      <c r="EL43" s="45"/>
      <c r="EM43" s="45"/>
      <c r="EN43" s="45"/>
      <c r="EO43" s="45"/>
      <c r="EP43" s="45"/>
      <c r="EQ43" s="45"/>
      <c r="ER43" s="45"/>
      <c r="ES43" s="45"/>
      <c r="ET43" s="45"/>
      <c r="EU43" s="45"/>
      <c r="EV43" s="45"/>
      <c r="EW43" s="45"/>
      <c r="EX43" s="45"/>
      <c r="EY43" s="45"/>
      <c r="EZ43" s="45"/>
      <c r="FA43" s="45"/>
      <c r="FB43" s="45"/>
      <c r="FC43" s="45"/>
      <c r="FD43" s="45"/>
      <c r="FE43" s="45"/>
      <c r="FF43" s="45"/>
      <c r="FG43" s="45"/>
      <c r="FH43" s="45"/>
      <c r="FI43" s="45"/>
      <c r="FJ43" s="45"/>
      <c r="FK43" s="45"/>
      <c r="FL43" s="45"/>
      <c r="FM43" s="45"/>
      <c r="FN43" s="45"/>
      <c r="FO43" s="45"/>
      <c r="FP43" s="45"/>
      <c r="FQ43" s="45"/>
      <c r="FR43" s="45"/>
      <c r="FS43" s="45"/>
      <c r="FT43" s="45"/>
      <c r="FU43" s="45"/>
      <c r="FV43" s="45"/>
      <c r="FW43" s="45"/>
      <c r="FX43" s="45"/>
      <c r="FY43" s="45"/>
      <c r="FZ43" s="45"/>
      <c r="GA43" s="45"/>
      <c r="GB43" s="45"/>
      <c r="GC43" s="45"/>
      <c r="GD43" s="45"/>
      <c r="GE43" s="45"/>
      <c r="GF43" s="45"/>
      <c r="GG43" s="45"/>
      <c r="GH43" s="45"/>
      <c r="GI43" s="45"/>
      <c r="GJ43" s="45"/>
      <c r="GK43" s="45"/>
      <c r="GL43" s="45"/>
      <c r="GM43" s="45"/>
      <c r="GN43" s="45"/>
      <c r="GO43" s="45"/>
      <c r="GP43" s="45"/>
      <c r="GQ43" s="45"/>
      <c r="GR43" s="45"/>
      <c r="GS43" s="45"/>
      <c r="GT43" s="45"/>
      <c r="GU43" s="45"/>
      <c r="GV43" s="45"/>
      <c r="GW43" s="45"/>
      <c r="GX43" s="45"/>
      <c r="GY43" s="45"/>
      <c r="GZ43" s="45"/>
      <c r="HA43" s="45"/>
      <c r="HB43" s="45"/>
      <c r="HC43" s="45"/>
      <c r="HD43" s="45"/>
      <c r="HE43" s="45"/>
      <c r="HF43" s="45"/>
      <c r="HG43" s="45"/>
      <c r="HH43" s="45"/>
      <c r="HI43" s="45"/>
      <c r="HJ43" s="45"/>
      <c r="HK43" s="45"/>
      <c r="HL43" s="45"/>
      <c r="HM43" s="45"/>
      <c r="HN43" s="45"/>
      <c r="HO43" s="45"/>
      <c r="HP43" s="45"/>
      <c r="HQ43" s="45"/>
      <c r="HR43" s="45"/>
      <c r="HS43" s="45"/>
      <c r="HT43" s="45"/>
      <c r="HU43" s="45"/>
      <c r="HV43" s="45"/>
      <c r="HW43" s="45"/>
      <c r="HX43" s="45"/>
      <c r="HY43" s="45"/>
      <c r="HZ43" s="45"/>
      <c r="IA43" s="45"/>
      <c r="IB43" s="45"/>
      <c r="IC43" s="45"/>
      <c r="ID43" s="45"/>
      <c r="IE43" s="45"/>
      <c r="IF43" s="45"/>
      <c r="IG43" s="45"/>
      <c r="IH43" s="45"/>
      <c r="II43" s="45"/>
      <c r="IJ43" s="45"/>
      <c r="IK43" s="45"/>
      <c r="IL43" s="45"/>
      <c r="IM43" s="45"/>
      <c r="IN43" s="45"/>
      <c r="IO43" s="45"/>
      <c r="IP43" s="45"/>
      <c r="IQ43" s="45"/>
      <c r="IR43" s="45"/>
      <c r="IS43" s="45"/>
      <c r="IT43" s="45"/>
      <c r="IU43" s="45"/>
      <c r="IV43" s="45"/>
      <c r="IW43" s="45"/>
      <c r="IX43" s="45"/>
      <c r="IY43" s="45"/>
      <c r="IZ43" s="45"/>
      <c r="JA43" s="45"/>
      <c r="JB43" s="45"/>
      <c r="JC43" s="45"/>
      <c r="JD43" s="45"/>
      <c r="JE43" s="45"/>
      <c r="JF43" s="45"/>
      <c r="JG43" s="45"/>
      <c r="JH43" s="45"/>
      <c r="JI43" s="45"/>
      <c r="JJ43" s="45"/>
      <c r="JK43" s="45"/>
      <c r="JL43" s="45"/>
      <c r="JM43" s="45"/>
      <c r="JN43" s="45"/>
      <c r="JO43" s="45"/>
      <c r="JP43" s="45"/>
      <c r="JQ43" s="45"/>
      <c r="JR43" s="45"/>
      <c r="JS43" s="45"/>
      <c r="JT43" s="45"/>
      <c r="JU43" s="45"/>
      <c r="JV43" s="45"/>
      <c r="JW43" s="45"/>
      <c r="JX43" s="45"/>
      <c r="JY43" s="45"/>
      <c r="JZ43" s="45"/>
      <c r="KA43" s="45"/>
      <c r="KB43" s="45"/>
      <c r="KC43" s="45"/>
      <c r="KD43" s="45"/>
      <c r="KE43" s="45"/>
      <c r="KF43" s="45"/>
      <c r="KG43" s="45"/>
      <c r="KH43" s="45"/>
      <c r="KI43" s="45"/>
      <c r="KJ43" s="45"/>
      <c r="KK43" s="45"/>
      <c r="KL43" s="45"/>
      <c r="KM43" s="45"/>
      <c r="KN43" s="45"/>
      <c r="KO43" s="45"/>
      <c r="KP43" s="45"/>
      <c r="KQ43" s="45"/>
      <c r="KR43" s="45"/>
      <c r="KS43" s="45"/>
      <c r="KT43" s="45"/>
      <c r="KU43" s="45"/>
      <c r="KV43" s="45"/>
      <c r="KW43" s="45"/>
      <c r="KX43" s="45"/>
      <c r="KY43" s="45"/>
      <c r="KZ43" s="45"/>
      <c r="LA43" s="45"/>
      <c r="LB43" s="45"/>
      <c r="LC43" s="45"/>
      <c r="LD43" s="45"/>
      <c r="LE43" s="45"/>
      <c r="LF43" s="45"/>
      <c r="LG43" s="45"/>
      <c r="LH43" s="45"/>
      <c r="LI43" s="45"/>
      <c r="LJ43" s="45"/>
      <c r="LK43" s="45"/>
      <c r="LL43" s="45"/>
      <c r="LM43" s="45"/>
      <c r="LN43" s="45"/>
      <c r="LO43" s="45"/>
      <c r="LP43" s="45"/>
      <c r="LQ43" s="45"/>
      <c r="LR43" s="45"/>
      <c r="LS43" s="45"/>
      <c r="LT43" s="45"/>
      <c r="LU43" s="45"/>
      <c r="LV43" s="45"/>
      <c r="LW43" s="45"/>
      <c r="LX43" s="45"/>
      <c r="LY43" s="45"/>
      <c r="LZ43" s="45"/>
      <c r="MA43" s="45"/>
      <c r="MB43" s="45"/>
      <c r="MC43" s="45"/>
      <c r="MD43" s="45"/>
      <c r="ME43" s="45"/>
      <c r="MF43" s="45"/>
      <c r="MG43" s="45"/>
      <c r="MH43" s="45"/>
      <c r="MI43" s="45"/>
      <c r="MJ43" s="45"/>
      <c r="MK43" s="45"/>
      <c r="ML43" s="45"/>
      <c r="MM43" s="45"/>
      <c r="MN43" s="45"/>
      <c r="MO43" s="45"/>
      <c r="MP43" s="45"/>
      <c r="MQ43" s="45"/>
      <c r="MR43" s="45"/>
      <c r="MS43" s="45"/>
      <c r="MT43" s="45"/>
      <c r="MU43" s="45"/>
      <c r="MV43" s="45"/>
      <c r="MW43" s="45"/>
      <c r="MX43" s="45"/>
      <c r="MY43" s="45"/>
      <c r="MZ43" s="45"/>
      <c r="NA43" s="45"/>
      <c r="NB43" s="45"/>
      <c r="NC43" s="45"/>
      <c r="ND43" s="45"/>
      <c r="NE43" s="45"/>
      <c r="NF43" s="45"/>
      <c r="NG43" s="45"/>
      <c r="NH43" s="45"/>
      <c r="NI43" s="45"/>
      <c r="NJ43" s="45"/>
      <c r="NK43" s="45"/>
      <c r="NL43" s="45"/>
      <c r="NM43" s="45"/>
      <c r="NN43" s="45"/>
      <c r="NO43" s="45"/>
      <c r="NP43" s="45"/>
      <c r="NQ43" s="45"/>
      <c r="NR43" s="45"/>
      <c r="NS43" s="45"/>
      <c r="NT43" s="45"/>
      <c r="NU43" s="45"/>
      <c r="NV43" s="45"/>
      <c r="NW43" s="45"/>
      <c r="NX43" s="45"/>
      <c r="NY43" s="45"/>
      <c r="NZ43" s="45"/>
      <c r="OA43" s="45"/>
      <c r="OB43" s="45"/>
      <c r="OC43" s="45"/>
      <c r="OD43" s="45"/>
      <c r="OE43" s="45"/>
      <c r="OF43" s="45"/>
      <c r="OG43" s="45"/>
      <c r="OH43" s="45"/>
      <c r="OI43" s="45"/>
      <c r="OJ43" s="45"/>
      <c r="OK43" s="45"/>
      <c r="OL43" s="45"/>
      <c r="OM43" s="45"/>
      <c r="ON43" s="45"/>
      <c r="OO43" s="45"/>
      <c r="OP43" s="45"/>
      <c r="OQ43" s="45"/>
      <c r="OR43" s="45"/>
      <c r="OS43" s="45"/>
      <c r="OT43" s="45"/>
      <c r="OU43" s="45"/>
      <c r="OV43" s="45"/>
      <c r="OW43" s="45"/>
      <c r="OX43" s="45"/>
      <c r="OY43" s="45"/>
      <c r="OZ43" s="45"/>
      <c r="PA43" s="45"/>
      <c r="PB43" s="45"/>
      <c r="PC43" s="45"/>
      <c r="PD43" s="45"/>
      <c r="PE43" s="45"/>
      <c r="PF43" s="45"/>
      <c r="PG43" s="45"/>
      <c r="PH43" s="45"/>
      <c r="PI43" s="45"/>
      <c r="PJ43" s="45"/>
      <c r="PK43" s="45"/>
      <c r="PL43" s="45"/>
      <c r="PM43" s="45"/>
      <c r="PN43" s="45"/>
      <c r="PO43" s="45"/>
      <c r="PP43" s="45"/>
      <c r="PQ43" s="45"/>
      <c r="PR43" s="45"/>
      <c r="PS43" s="45"/>
      <c r="PT43" s="45"/>
      <c r="PU43" s="45"/>
      <c r="PV43" s="45"/>
      <c r="PW43" s="45"/>
      <c r="PX43" s="45"/>
      <c r="PY43" s="45"/>
      <c r="PZ43" s="45"/>
      <c r="QA43" s="45"/>
      <c r="QB43" s="45"/>
      <c r="QC43" s="45"/>
      <c r="QD43" s="45"/>
      <c r="QE43" s="45"/>
      <c r="QF43" s="45"/>
      <c r="QG43" s="45"/>
      <c r="QH43" s="45"/>
      <c r="QI43" s="45"/>
      <c r="QJ43" s="45"/>
      <c r="QK43" s="45"/>
      <c r="QL43" s="45"/>
      <c r="QM43" s="45"/>
      <c r="QN43" s="45"/>
      <c r="QO43" s="45"/>
      <c r="QP43" s="45"/>
      <c r="QQ43" s="45"/>
      <c r="QR43" s="45"/>
      <c r="QS43" s="45"/>
      <c r="QT43" s="45"/>
      <c r="QU43" s="45"/>
      <c r="QV43" s="45"/>
      <c r="QW43" s="45"/>
      <c r="QX43" s="45"/>
      <c r="QY43" s="45"/>
      <c r="QZ43" s="45"/>
      <c r="RA43" s="45"/>
      <c r="RB43" s="45"/>
      <c r="RC43" s="45"/>
      <c r="RD43" s="45"/>
      <c r="RE43" s="45"/>
      <c r="RF43" s="45"/>
      <c r="RG43" s="45"/>
      <c r="RH43" s="45"/>
      <c r="RI43" s="45"/>
      <c r="RJ43" s="45"/>
      <c r="RK43" s="45"/>
      <c r="RL43" s="45"/>
      <c r="RM43" s="45"/>
      <c r="RN43" s="45"/>
      <c r="RO43" s="45"/>
      <c r="RP43" s="45"/>
      <c r="RQ43" s="45"/>
      <c r="RR43" s="45"/>
      <c r="RS43" s="45"/>
      <c r="RT43" s="45"/>
      <c r="RU43" s="45"/>
      <c r="RV43" s="45"/>
      <c r="RW43" s="45"/>
      <c r="RX43" s="45"/>
      <c r="RY43" s="45"/>
      <c r="RZ43" s="45"/>
      <c r="SA43" s="45"/>
      <c r="SB43" s="45"/>
      <c r="SC43" s="45"/>
      <c r="SD43" s="45"/>
      <c r="SE43" s="45"/>
      <c r="SF43" s="45"/>
      <c r="SG43" s="45"/>
      <c r="SH43" s="45"/>
      <c r="SI43" s="45"/>
      <c r="SJ43" s="45"/>
      <c r="SK43" s="45"/>
      <c r="SL43" s="45"/>
      <c r="SM43" s="45"/>
      <c r="SN43" s="45"/>
      <c r="SO43" s="45"/>
      <c r="SP43" s="45"/>
      <c r="SQ43" s="45"/>
      <c r="SR43" s="45"/>
      <c r="SS43" s="45"/>
      <c r="ST43" s="45"/>
      <c r="SU43" s="45"/>
      <c r="SV43" s="45"/>
      <c r="SW43" s="45"/>
      <c r="SX43" s="45"/>
      <c r="SY43" s="45"/>
      <c r="SZ43" s="45"/>
      <c r="TA43" s="45"/>
      <c r="TB43" s="45"/>
      <c r="TC43" s="45"/>
      <c r="TD43" s="45"/>
      <c r="TE43" s="45"/>
      <c r="TF43" s="45"/>
      <c r="TG43" s="45"/>
      <c r="TH43" s="45"/>
      <c r="TI43" s="45"/>
      <c r="TJ43" s="45"/>
      <c r="TK43" s="45"/>
      <c r="TL43" s="45"/>
      <c r="TM43" s="45"/>
      <c r="TN43" s="45"/>
      <c r="TO43" s="45"/>
      <c r="TP43" s="45"/>
      <c r="TQ43" s="45"/>
      <c r="TR43" s="45"/>
      <c r="TS43" s="45"/>
      <c r="TT43" s="45"/>
      <c r="TU43" s="45"/>
      <c r="TV43" s="45"/>
      <c r="TW43" s="45"/>
      <c r="TX43" s="45"/>
      <c r="TY43" s="45"/>
      <c r="TZ43" s="45"/>
      <c r="UA43" s="45"/>
      <c r="UB43" s="45"/>
      <c r="UC43" s="45"/>
      <c r="UD43" s="45"/>
      <c r="UE43" s="45"/>
      <c r="UF43" s="45"/>
      <c r="UG43" s="45"/>
      <c r="UH43" s="45"/>
      <c r="UI43" s="45"/>
      <c r="UJ43" s="45"/>
      <c r="UK43" s="45"/>
      <c r="UL43" s="45"/>
      <c r="UM43" s="45"/>
      <c r="UN43" s="45"/>
      <c r="UO43" s="45"/>
      <c r="UP43" s="45"/>
      <c r="UQ43" s="45"/>
      <c r="UR43" s="45"/>
      <c r="US43" s="45"/>
      <c r="UT43" s="45"/>
      <c r="UU43" s="45"/>
      <c r="UV43" s="45"/>
      <c r="UW43" s="45"/>
      <c r="UX43" s="45"/>
      <c r="UY43" s="45"/>
      <c r="UZ43" s="45"/>
      <c r="VA43" s="45"/>
      <c r="VB43" s="45"/>
      <c r="VC43" s="45"/>
      <c r="VD43" s="45"/>
      <c r="VE43" s="45"/>
      <c r="VF43" s="45"/>
      <c r="VG43" s="45"/>
      <c r="VH43" s="45"/>
      <c r="VI43" s="45"/>
      <c r="VJ43" s="45"/>
      <c r="VK43" s="45"/>
      <c r="VL43" s="45"/>
      <c r="VM43" s="45"/>
      <c r="VN43" s="45"/>
      <c r="VO43" s="45"/>
      <c r="VP43" s="45"/>
      <c r="VQ43" s="45"/>
      <c r="VR43" s="45"/>
      <c r="VS43" s="45"/>
      <c r="VT43" s="45"/>
      <c r="VU43" s="45"/>
      <c r="VV43" s="45"/>
      <c r="VW43" s="45"/>
      <c r="VX43" s="45"/>
      <c r="VY43" s="45"/>
      <c r="VZ43" s="45"/>
      <c r="WA43" s="45"/>
      <c r="WB43" s="45"/>
      <c r="WC43" s="45"/>
      <c r="WD43" s="45"/>
      <c r="WE43" s="45"/>
      <c r="WF43" s="45"/>
      <c r="WG43" s="45"/>
      <c r="WH43" s="45"/>
      <c r="WI43" s="45"/>
      <c r="WJ43" s="45"/>
      <c r="WK43" s="45"/>
      <c r="WL43" s="45"/>
      <c r="WM43" s="45"/>
      <c r="WN43" s="45"/>
      <c r="WO43" s="45"/>
      <c r="WP43" s="45"/>
      <c r="WQ43" s="45"/>
      <c r="WR43" s="45"/>
      <c r="WS43" s="45"/>
      <c r="WT43" s="45"/>
      <c r="WU43" s="45"/>
      <c r="WV43" s="45"/>
      <c r="WW43" s="45"/>
      <c r="WX43" s="45"/>
      <c r="WY43" s="45"/>
      <c r="WZ43" s="45"/>
      <c r="XA43" s="45"/>
      <c r="XB43" s="45"/>
      <c r="XC43" s="45"/>
      <c r="XD43" s="45"/>
      <c r="XE43" s="45"/>
      <c r="XF43" s="45"/>
      <c r="XG43" s="45"/>
      <c r="XH43" s="45"/>
      <c r="XI43" s="45"/>
      <c r="XJ43" s="45"/>
      <c r="XK43" s="45"/>
      <c r="XL43" s="45"/>
      <c r="XM43" s="45"/>
      <c r="XN43" s="45"/>
      <c r="XO43" s="45"/>
      <c r="XP43" s="45"/>
      <c r="XQ43" s="45"/>
      <c r="XR43" s="45"/>
      <c r="XS43" s="45"/>
      <c r="XT43" s="45"/>
      <c r="XU43" s="45"/>
      <c r="XV43" s="45"/>
      <c r="XW43" s="45"/>
      <c r="XX43" s="45"/>
      <c r="XY43" s="45"/>
      <c r="XZ43" s="45"/>
      <c r="YA43" s="45"/>
      <c r="YB43" s="45"/>
      <c r="YC43" s="45"/>
      <c r="YD43" s="45"/>
      <c r="YE43" s="45"/>
      <c r="YF43" s="45"/>
      <c r="YG43" s="45"/>
      <c r="YH43" s="45"/>
      <c r="YI43" s="45"/>
      <c r="YJ43" s="45"/>
      <c r="YK43" s="45"/>
      <c r="YL43" s="45"/>
      <c r="YM43" s="45"/>
      <c r="YN43" s="45"/>
      <c r="YO43" s="45"/>
      <c r="YP43" s="45"/>
      <c r="YQ43" s="45"/>
      <c r="YR43" s="45"/>
      <c r="YS43" s="45"/>
      <c r="YT43" s="45"/>
      <c r="YU43" s="45"/>
      <c r="YV43" s="45"/>
      <c r="YW43" s="45"/>
      <c r="YX43" s="45"/>
      <c r="YY43" s="45"/>
      <c r="YZ43" s="45"/>
      <c r="ZA43" s="45"/>
      <c r="ZB43" s="45"/>
      <c r="ZC43" s="45"/>
      <c r="ZD43" s="45"/>
      <c r="ZE43" s="45"/>
      <c r="ZF43" s="45"/>
      <c r="ZG43" s="45"/>
      <c r="ZH43" s="45"/>
      <c r="ZI43" s="45"/>
      <c r="ZJ43" s="45"/>
      <c r="ZK43" s="45"/>
      <c r="ZL43" s="45"/>
      <c r="ZM43" s="45"/>
      <c r="ZN43" s="45"/>
      <c r="ZO43" s="45"/>
      <c r="ZP43" s="45"/>
      <c r="ZQ43" s="45"/>
      <c r="ZR43" s="45"/>
      <c r="ZS43" s="45"/>
      <c r="ZT43" s="45"/>
      <c r="ZU43" s="45"/>
      <c r="ZV43" s="45"/>
      <c r="ZW43" s="45"/>
      <c r="ZX43" s="45"/>
      <c r="ZY43" s="45"/>
      <c r="ZZ43" s="45"/>
      <c r="AAA43" s="45"/>
      <c r="AAB43" s="45"/>
      <c r="AAC43" s="45"/>
      <c r="AAD43" s="45"/>
      <c r="AAE43" s="45"/>
      <c r="AAF43" s="45"/>
      <c r="AAG43" s="45"/>
      <c r="AAH43" s="45"/>
      <c r="AAI43" s="45"/>
      <c r="AAJ43" s="45"/>
      <c r="AAK43" s="45"/>
      <c r="AAL43" s="45"/>
      <c r="AAM43" s="45"/>
      <c r="AAN43" s="45"/>
      <c r="AAO43" s="45"/>
      <c r="AAP43" s="45"/>
      <c r="AAQ43" s="45"/>
      <c r="AAR43" s="45"/>
      <c r="AAS43" s="45"/>
      <c r="AAT43" s="45"/>
      <c r="AAU43" s="45"/>
      <c r="AAV43" s="45"/>
      <c r="AAW43" s="45"/>
      <c r="AAX43" s="45"/>
      <c r="AAY43" s="45"/>
      <c r="AAZ43" s="45"/>
      <c r="ABA43" s="45"/>
      <c r="ABB43" s="45"/>
      <c r="ABC43" s="45"/>
      <c r="ABD43" s="45"/>
      <c r="ABE43" s="45"/>
      <c r="ABF43" s="45"/>
      <c r="ABG43" s="45"/>
      <c r="ABH43" s="45"/>
      <c r="ABI43" s="45"/>
      <c r="ABJ43" s="45"/>
      <c r="ABK43" s="45"/>
      <c r="ABL43" s="45"/>
      <c r="ABM43" s="45"/>
      <c r="ABN43" s="45"/>
      <c r="ABO43" s="45"/>
      <c r="ABP43" s="45"/>
      <c r="ABQ43" s="45"/>
      <c r="ABR43" s="45"/>
      <c r="ABS43" s="45"/>
      <c r="ABT43" s="45"/>
      <c r="ABU43" s="45"/>
      <c r="ABV43" s="45"/>
      <c r="ABW43" s="45"/>
      <c r="ABX43" s="45"/>
      <c r="ABY43" s="45"/>
      <c r="ABZ43" s="45"/>
      <c r="ACA43" s="45"/>
      <c r="ACB43" s="45"/>
      <c r="ACC43" s="45"/>
      <c r="ACD43" s="45"/>
      <c r="ACE43" s="45"/>
      <c r="ACF43" s="45"/>
      <c r="ACG43" s="45"/>
      <c r="ACH43" s="45"/>
      <c r="ACI43" s="45"/>
      <c r="ACJ43" s="45"/>
      <c r="ACK43" s="45"/>
      <c r="ACL43" s="45"/>
      <c r="ACM43" s="45"/>
      <c r="ACN43" s="45"/>
      <c r="ACO43" s="45"/>
      <c r="ACP43" s="45"/>
      <c r="ACQ43" s="45"/>
      <c r="ACR43" s="45"/>
      <c r="ACS43" s="45"/>
      <c r="ACT43" s="45"/>
      <c r="ACU43" s="45"/>
      <c r="ACV43" s="45"/>
      <c r="ACW43" s="45"/>
      <c r="ACX43" s="45"/>
      <c r="ACY43" s="45"/>
      <c r="ACZ43" s="45"/>
      <c r="ADA43" s="45"/>
      <c r="ADB43" s="45"/>
      <c r="ADC43" s="45"/>
      <c r="ADD43" s="45"/>
      <c r="ADE43" s="45"/>
      <c r="ADF43" s="45"/>
      <c r="ADG43" s="45"/>
      <c r="ADH43" s="45"/>
      <c r="ADI43" s="45"/>
      <c r="ADJ43" s="45"/>
      <c r="ADK43" s="45"/>
      <c r="ADL43" s="45"/>
      <c r="ADM43" s="45"/>
      <c r="ADN43" s="45"/>
      <c r="ADO43" s="45"/>
      <c r="ADP43" s="45"/>
      <c r="ADQ43" s="45"/>
      <c r="ADR43" s="45"/>
      <c r="ADS43" s="45"/>
      <c r="ADT43" s="45"/>
      <c r="ADU43" s="45"/>
      <c r="ADV43" s="45"/>
      <c r="ADW43" s="45"/>
      <c r="ADX43" s="45"/>
      <c r="ADY43" s="45"/>
      <c r="ADZ43" s="45"/>
      <c r="AEA43" s="45"/>
      <c r="AEB43" s="45"/>
      <c r="AEC43" s="45"/>
      <c r="AED43" s="45"/>
      <c r="AEE43" s="45"/>
      <c r="AEF43" s="45"/>
      <c r="AEG43" s="45"/>
      <c r="AEH43" s="45"/>
      <c r="AEI43" s="45"/>
      <c r="AEJ43" s="45"/>
      <c r="AEK43" s="45"/>
      <c r="AEL43" s="45"/>
      <c r="AEM43" s="45"/>
      <c r="AEN43" s="45"/>
      <c r="AEO43" s="45"/>
      <c r="AEP43" s="45"/>
      <c r="AEQ43" s="45"/>
      <c r="AER43" s="45"/>
      <c r="AES43" s="45"/>
      <c r="AET43" s="45"/>
      <c r="AEU43" s="45"/>
      <c r="AEV43" s="45"/>
      <c r="AEW43" s="45"/>
      <c r="AEX43" s="45"/>
      <c r="AEY43" s="45"/>
      <c r="AEZ43" s="45"/>
      <c r="AFA43" s="45"/>
      <c r="AFB43" s="45"/>
      <c r="AFC43" s="45"/>
      <c r="AFD43" s="45"/>
      <c r="AFE43" s="45"/>
      <c r="AFF43" s="45"/>
      <c r="AFG43" s="45"/>
      <c r="AFH43" s="45"/>
      <c r="AFI43" s="45"/>
      <c r="AFJ43" s="45"/>
      <c r="AFK43" s="45"/>
      <c r="AFL43" s="45"/>
      <c r="AFM43" s="45"/>
      <c r="AFN43" s="45"/>
      <c r="AFO43" s="45"/>
      <c r="AFP43" s="45"/>
      <c r="AFQ43" s="45"/>
      <c r="AFR43" s="45"/>
      <c r="AFS43" s="45"/>
      <c r="AFT43" s="45"/>
      <c r="AFU43" s="45"/>
      <c r="AFV43" s="45"/>
      <c r="AFW43" s="45"/>
      <c r="AFX43" s="45"/>
      <c r="AFY43" s="45"/>
      <c r="AFZ43" s="45"/>
      <c r="AGA43" s="45"/>
      <c r="AGB43" s="45"/>
      <c r="AGC43" s="45"/>
      <c r="AGD43" s="45"/>
      <c r="AGE43" s="45"/>
      <c r="AGF43" s="45"/>
      <c r="AGG43" s="45"/>
      <c r="AGH43" s="45"/>
      <c r="AGI43" s="45"/>
      <c r="AGJ43" s="45"/>
      <c r="AGK43" s="45"/>
      <c r="AGL43" s="45"/>
      <c r="AGM43" s="45"/>
      <c r="AGN43" s="45"/>
      <c r="AGO43" s="45"/>
      <c r="AGP43" s="45"/>
      <c r="AGQ43" s="45"/>
      <c r="AGR43" s="45"/>
      <c r="AGS43" s="45"/>
      <c r="AGT43" s="45"/>
      <c r="AGU43" s="45"/>
      <c r="AGV43" s="45"/>
      <c r="AGW43" s="45"/>
      <c r="AGX43" s="45"/>
      <c r="AGY43" s="45"/>
      <c r="AGZ43" s="45"/>
      <c r="AHA43" s="45"/>
      <c r="AHB43" s="45"/>
      <c r="AHC43" s="45"/>
      <c r="AHD43" s="45"/>
      <c r="AHE43" s="45"/>
      <c r="AHF43" s="45"/>
      <c r="AHG43" s="45"/>
      <c r="AHH43" s="45"/>
      <c r="AHI43" s="45"/>
      <c r="AHJ43" s="45"/>
      <c r="AHK43" s="45"/>
      <c r="AHL43" s="45"/>
      <c r="AHM43" s="45"/>
      <c r="AHN43" s="45"/>
      <c r="AHO43" s="45"/>
      <c r="AHP43" s="45"/>
      <c r="AHQ43" s="45"/>
      <c r="AHR43" s="45"/>
      <c r="AHS43" s="45"/>
      <c r="AHT43" s="45"/>
      <c r="AHU43" s="45"/>
      <c r="AHV43" s="45"/>
      <c r="AHW43" s="45"/>
      <c r="AHX43" s="45"/>
      <c r="AHY43" s="45"/>
      <c r="AHZ43" s="45"/>
      <c r="AIA43" s="45"/>
      <c r="AIB43" s="45"/>
      <c r="AIC43" s="45"/>
      <c r="AID43" s="45"/>
      <c r="AIE43" s="45"/>
      <c r="AIF43" s="45"/>
      <c r="AIG43" s="45"/>
      <c r="AIH43" s="45"/>
      <c r="AII43" s="45"/>
      <c r="AIJ43" s="45"/>
      <c r="AIK43" s="45"/>
      <c r="AIL43" s="45"/>
      <c r="AIM43" s="45"/>
      <c r="AIN43" s="45"/>
      <c r="AIO43" s="45"/>
      <c r="AIP43" s="45"/>
      <c r="AIQ43" s="45"/>
      <c r="AIR43" s="45"/>
      <c r="AIS43" s="45"/>
      <c r="AIT43" s="45"/>
      <c r="AIU43" s="45"/>
      <c r="AIV43" s="45"/>
      <c r="AIW43" s="45"/>
      <c r="AIX43" s="45"/>
      <c r="AIY43" s="45"/>
      <c r="AIZ43" s="45"/>
      <c r="AJA43" s="45"/>
      <c r="AJB43" s="45"/>
      <c r="AJC43" s="45"/>
      <c r="AJD43" s="45"/>
      <c r="AJE43" s="45"/>
      <c r="AJF43" s="45"/>
      <c r="AJG43" s="45"/>
      <c r="AJH43" s="45"/>
      <c r="AJI43" s="45"/>
      <c r="AJJ43" s="45"/>
      <c r="AJK43" s="45"/>
      <c r="AJL43" s="45"/>
      <c r="AJM43" s="45"/>
      <c r="AJN43" s="45"/>
      <c r="AJO43" s="45"/>
      <c r="AJP43" s="45"/>
      <c r="AJQ43" s="45"/>
      <c r="AJR43" s="45"/>
      <c r="AJS43" s="45"/>
      <c r="AJT43" s="45"/>
      <c r="AJU43" s="45"/>
      <c r="AJV43" s="45"/>
      <c r="AJW43" s="45"/>
      <c r="AJX43" s="45"/>
      <c r="AJY43" s="45"/>
      <c r="AJZ43" s="45"/>
      <c r="AKA43" s="45"/>
      <c r="AKB43" s="45"/>
      <c r="AKC43" s="45"/>
      <c r="AKD43" s="45"/>
      <c r="AKE43" s="45"/>
      <c r="AKF43" s="45"/>
      <c r="AKG43" s="45"/>
      <c r="AKH43" s="45"/>
      <c r="AKI43" s="45"/>
      <c r="AKJ43" s="45"/>
      <c r="AKK43" s="45"/>
      <c r="AKL43" s="45"/>
      <c r="AKM43" s="45"/>
      <c r="AKN43" s="45"/>
      <c r="AKO43" s="45"/>
      <c r="AKP43" s="45"/>
      <c r="AKQ43" s="45"/>
      <c r="AKR43" s="45"/>
      <c r="AKS43" s="45"/>
      <c r="AKT43" s="45"/>
      <c r="AKU43" s="45"/>
      <c r="AKV43" s="45"/>
      <c r="AKW43" s="45"/>
      <c r="AKX43" s="45"/>
      <c r="AKY43" s="45"/>
      <c r="AKZ43" s="45"/>
      <c r="ALA43" s="45"/>
      <c r="ALB43" s="45"/>
      <c r="ALC43" s="45"/>
      <c r="ALD43" s="45"/>
      <c r="ALE43" s="45"/>
      <c r="ALF43" s="45"/>
      <c r="ALG43" s="45"/>
      <c r="ALH43" s="45"/>
      <c r="ALI43" s="45"/>
      <c r="ALJ43" s="45"/>
      <c r="ALK43" s="45"/>
      <c r="ALL43" s="45"/>
      <c r="ALM43" s="45"/>
      <c r="ALN43" s="45"/>
      <c r="ALO43" s="45"/>
      <c r="ALP43" s="45"/>
      <c r="ALQ43" s="45"/>
      <c r="ALR43" s="45"/>
      <c r="ALS43" s="45"/>
      <c r="ALT43" s="45"/>
      <c r="ALU43" s="45"/>
      <c r="ALV43" s="45"/>
      <c r="ALW43" s="45"/>
      <c r="ALX43" s="45"/>
      <c r="ALY43" s="45"/>
      <c r="ALZ43" s="45"/>
      <c r="AMA43" s="45"/>
      <c r="AMB43" s="45"/>
      <c r="AMC43" s="45"/>
      <c r="AMD43" s="45"/>
      <c r="AME43" s="45"/>
      <c r="AMF43" s="45"/>
      <c r="AMG43" s="45"/>
      <c r="AMH43" s="45"/>
      <c r="AMI43" s="45"/>
      <c r="AMJ43" s="45"/>
      <c r="AMK43" s="45"/>
      <c r="AML43" s="45"/>
      <c r="AMM43" s="45"/>
      <c r="AMN43" s="45"/>
      <c r="AMO43" s="45"/>
      <c r="AMP43" s="45"/>
      <c r="AMQ43" s="45"/>
      <c r="AMR43" s="45"/>
      <c r="AMS43" s="45"/>
      <c r="AMT43" s="45"/>
      <c r="AMU43" s="45"/>
      <c r="AMV43" s="45"/>
      <c r="AMW43" s="45"/>
      <c r="AMX43" s="45"/>
      <c r="AMY43" s="45"/>
      <c r="AMZ43" s="45"/>
      <c r="ANA43" s="45"/>
      <c r="ANB43" s="45"/>
      <c r="ANC43" s="45"/>
      <c r="AND43" s="45"/>
      <c r="ANE43" s="45"/>
      <c r="ANF43" s="45"/>
      <c r="ANG43" s="45"/>
      <c r="ANH43" s="45"/>
      <c r="ANI43" s="45"/>
      <c r="ANJ43" s="45"/>
      <c r="ANK43" s="45"/>
      <c r="ANL43" s="45"/>
      <c r="ANM43" s="45"/>
      <c r="ANN43" s="45"/>
      <c r="ANO43" s="45"/>
      <c r="ANP43" s="45"/>
      <c r="ANQ43" s="45"/>
      <c r="ANR43" s="45"/>
      <c r="ANS43" s="45"/>
      <c r="ANT43" s="45"/>
      <c r="ANU43" s="45"/>
      <c r="ANV43" s="45"/>
      <c r="ANW43" s="45"/>
      <c r="ANX43" s="45"/>
      <c r="ANY43" s="45"/>
      <c r="ANZ43" s="45"/>
      <c r="AOA43" s="45"/>
      <c r="AOB43" s="45"/>
      <c r="AOC43" s="45"/>
      <c r="AOD43" s="45"/>
      <c r="AOE43" s="45"/>
      <c r="AOF43" s="45"/>
      <c r="AOG43" s="45"/>
      <c r="AOH43" s="45"/>
      <c r="AOI43" s="45"/>
      <c r="AOJ43" s="45"/>
      <c r="AOK43" s="45"/>
      <c r="AOL43" s="45"/>
      <c r="AOM43" s="45"/>
      <c r="AON43" s="45"/>
      <c r="AOO43" s="45"/>
      <c r="AOP43" s="45"/>
      <c r="AOQ43" s="45"/>
      <c r="AOR43" s="45"/>
      <c r="AOS43" s="45"/>
      <c r="AOT43" s="45"/>
      <c r="AOU43" s="45"/>
      <c r="AOV43" s="45"/>
      <c r="AOW43" s="45"/>
      <c r="AOX43" s="45"/>
      <c r="AOY43" s="45"/>
      <c r="AOZ43" s="45"/>
      <c r="APA43" s="45"/>
      <c r="APB43" s="45"/>
      <c r="APC43" s="45"/>
      <c r="APD43" s="45"/>
      <c r="APE43" s="45"/>
      <c r="APF43" s="45"/>
      <c r="APG43" s="45"/>
      <c r="APH43" s="45"/>
      <c r="API43" s="45"/>
      <c r="APJ43" s="45"/>
      <c r="APK43" s="45"/>
      <c r="APL43" s="45"/>
      <c r="APM43" s="45"/>
      <c r="APN43" s="45"/>
      <c r="APO43" s="45"/>
      <c r="APP43" s="45"/>
      <c r="APQ43" s="45"/>
      <c r="APR43" s="45"/>
      <c r="APS43" s="45"/>
      <c r="APT43" s="45"/>
      <c r="APU43" s="45"/>
      <c r="APV43" s="45"/>
      <c r="APW43" s="45"/>
      <c r="APX43" s="45"/>
      <c r="APY43" s="45"/>
      <c r="APZ43" s="45"/>
      <c r="AQA43" s="45"/>
      <c r="AQB43" s="45"/>
      <c r="AQC43" s="45"/>
      <c r="AQD43" s="45"/>
      <c r="AQE43" s="45"/>
      <c r="AQF43" s="45"/>
      <c r="AQG43" s="45"/>
      <c r="AQH43" s="45"/>
      <c r="AQI43" s="45"/>
      <c r="AQJ43" s="45"/>
      <c r="AQK43" s="45"/>
      <c r="AQL43" s="45"/>
      <c r="AQM43" s="45"/>
      <c r="AQN43" s="45"/>
      <c r="AQO43" s="45"/>
      <c r="AQP43" s="45"/>
      <c r="AQQ43" s="45"/>
      <c r="AQR43" s="45"/>
      <c r="AQS43" s="45"/>
      <c r="AQT43" s="45"/>
      <c r="AQU43" s="45"/>
      <c r="AQV43" s="45"/>
      <c r="AQW43" s="45"/>
      <c r="AQX43" s="45"/>
      <c r="AQY43" s="45"/>
      <c r="AQZ43" s="45"/>
      <c r="ARA43" s="45"/>
      <c r="ARB43" s="45"/>
      <c r="ARC43" s="45"/>
      <c r="ARD43" s="45"/>
      <c r="ARE43" s="45"/>
      <c r="ARF43" s="45"/>
      <c r="ARG43" s="45"/>
      <c r="ARH43" s="45"/>
      <c r="ARI43" s="45"/>
      <c r="ARJ43" s="45"/>
      <c r="ARK43" s="45"/>
      <c r="ARL43" s="45"/>
      <c r="ARM43" s="45"/>
      <c r="ARN43" s="45"/>
      <c r="ARO43" s="45"/>
      <c r="ARP43" s="45"/>
      <c r="ARQ43" s="45"/>
      <c r="ARR43" s="45"/>
      <c r="ARS43" s="45"/>
      <c r="ART43" s="45"/>
      <c r="ARU43" s="45"/>
      <c r="ARV43" s="45"/>
      <c r="ARW43" s="45"/>
      <c r="ARX43" s="45"/>
      <c r="ARY43" s="45"/>
      <c r="ARZ43" s="45"/>
      <c r="ASA43" s="45"/>
      <c r="ASB43" s="45"/>
      <c r="ASC43" s="45"/>
      <c r="ASD43" s="45"/>
      <c r="ASE43" s="45"/>
      <c r="ASF43" s="45"/>
      <c r="ASG43" s="45"/>
      <c r="ASH43" s="45"/>
      <c r="ASI43" s="45"/>
      <c r="ASJ43" s="45"/>
      <c r="ASK43" s="45"/>
      <c r="ASL43" s="45"/>
      <c r="ASM43" s="45"/>
      <c r="ASN43" s="45"/>
      <c r="ASO43" s="45"/>
      <c r="ASP43" s="45"/>
      <c r="ASQ43" s="45"/>
      <c r="ASR43" s="45"/>
      <c r="ASS43" s="45"/>
      <c r="AST43" s="45"/>
      <c r="ASU43" s="45"/>
      <c r="ASV43" s="45"/>
      <c r="ASW43" s="45"/>
      <c r="ASX43" s="45"/>
      <c r="ASY43" s="45"/>
      <c r="ASZ43" s="45"/>
      <c r="ATA43" s="45"/>
      <c r="ATB43" s="45"/>
      <c r="ATC43" s="45"/>
      <c r="ATD43" s="45"/>
      <c r="ATE43" s="45"/>
      <c r="ATF43" s="45"/>
      <c r="ATG43" s="45"/>
      <c r="ATH43" s="45"/>
      <c r="ATI43" s="45"/>
      <c r="ATJ43" s="45"/>
      <c r="ATK43" s="45"/>
      <c r="ATL43" s="45"/>
      <c r="ATM43" s="45"/>
      <c r="ATN43" s="45"/>
      <c r="ATO43" s="45"/>
      <c r="ATP43" s="45"/>
      <c r="ATQ43" s="45"/>
      <c r="ATR43" s="45"/>
      <c r="ATS43" s="45"/>
      <c r="ATT43" s="45"/>
      <c r="ATU43" s="45"/>
      <c r="ATV43" s="45"/>
      <c r="ATW43" s="45"/>
      <c r="ATX43" s="45"/>
      <c r="ATY43" s="45"/>
      <c r="ATZ43" s="45"/>
      <c r="AUA43" s="45"/>
      <c r="AUB43" s="45"/>
      <c r="AUC43" s="45"/>
      <c r="AUD43" s="45"/>
      <c r="AUE43" s="45"/>
      <c r="AUF43" s="45"/>
      <c r="AUG43" s="45"/>
      <c r="AUH43" s="45"/>
      <c r="AUI43" s="45"/>
      <c r="AUJ43" s="45"/>
      <c r="AUK43" s="45"/>
      <c r="AUL43" s="45"/>
      <c r="AUM43" s="45"/>
      <c r="AUN43" s="45"/>
      <c r="AUO43" s="45"/>
      <c r="AUP43" s="45"/>
      <c r="AUQ43" s="45"/>
      <c r="AUR43" s="45"/>
      <c r="AUS43" s="45"/>
      <c r="AUT43" s="45"/>
      <c r="AUU43" s="45"/>
      <c r="AUV43" s="45"/>
      <c r="AUW43" s="45"/>
      <c r="AUX43" s="45"/>
      <c r="AUY43" s="45"/>
      <c r="AUZ43" s="45"/>
      <c r="AVA43" s="45"/>
      <c r="AVB43" s="45"/>
      <c r="AVC43" s="45"/>
      <c r="AVD43" s="45"/>
      <c r="AVE43" s="45"/>
      <c r="AVF43" s="45"/>
      <c r="AVG43" s="45"/>
      <c r="AVH43" s="45"/>
      <c r="AVI43" s="45"/>
      <c r="AVJ43" s="45"/>
      <c r="AVK43" s="45"/>
      <c r="AVL43" s="45"/>
      <c r="AVM43" s="45"/>
      <c r="AVN43" s="45"/>
      <c r="AVO43" s="45"/>
      <c r="AVP43" s="45"/>
      <c r="AVQ43" s="45"/>
      <c r="AVR43" s="45"/>
      <c r="AVS43" s="45"/>
      <c r="AVT43" s="45"/>
      <c r="AVU43" s="45"/>
      <c r="AVV43" s="45"/>
      <c r="AVW43" s="45"/>
      <c r="AVX43" s="45"/>
      <c r="AVY43" s="45"/>
      <c r="AVZ43" s="45"/>
      <c r="AWA43" s="45"/>
      <c r="AWB43" s="45"/>
      <c r="AWC43" s="45"/>
      <c r="AWD43" s="45"/>
      <c r="AWE43" s="45"/>
      <c r="AWF43" s="45"/>
      <c r="AWG43" s="45"/>
      <c r="AWH43" s="45"/>
      <c r="AWI43" s="45"/>
      <c r="AWJ43" s="45"/>
      <c r="AWK43" s="45"/>
      <c r="AWL43" s="45"/>
      <c r="AWM43" s="45"/>
      <c r="AWN43" s="45"/>
      <c r="AWO43" s="45"/>
      <c r="AWP43" s="45"/>
      <c r="AWQ43" s="45"/>
      <c r="AWR43" s="45"/>
      <c r="AWS43" s="45"/>
      <c r="AWT43" s="45"/>
      <c r="AWU43" s="45"/>
      <c r="AWV43" s="45"/>
      <c r="AWW43" s="45"/>
      <c r="AWX43" s="45"/>
      <c r="AWY43" s="45"/>
      <c r="AWZ43" s="45"/>
      <c r="AXA43" s="45"/>
      <c r="AXB43" s="45"/>
      <c r="AXC43" s="45"/>
      <c r="AXD43" s="45"/>
      <c r="AXE43" s="45"/>
      <c r="AXF43" s="45"/>
      <c r="AXG43" s="45"/>
      <c r="AXH43" s="45"/>
      <c r="AXI43" s="45"/>
      <c r="AXJ43" s="45"/>
      <c r="AXK43" s="45"/>
      <c r="AXL43" s="45"/>
      <c r="AXM43" s="45"/>
      <c r="AXN43" s="45"/>
      <c r="AXO43" s="45"/>
      <c r="AXP43" s="45"/>
      <c r="AXQ43" s="45"/>
      <c r="AXR43" s="45"/>
      <c r="AXS43" s="45"/>
      <c r="AXT43" s="45"/>
      <c r="AXU43" s="45"/>
      <c r="AXV43" s="45"/>
      <c r="AXW43" s="45"/>
      <c r="AXX43" s="45"/>
      <c r="AXY43" s="45"/>
      <c r="AXZ43" s="45"/>
      <c r="AYA43" s="45"/>
      <c r="AYB43" s="45"/>
      <c r="AYC43" s="45"/>
      <c r="AYD43" s="45"/>
      <c r="AYE43" s="45"/>
      <c r="AYF43" s="45"/>
      <c r="AYG43" s="45"/>
      <c r="AYH43" s="45"/>
      <c r="AYI43" s="45"/>
      <c r="AYJ43" s="45"/>
      <c r="AYK43" s="45"/>
      <c r="AYL43" s="45"/>
      <c r="AYM43" s="45"/>
      <c r="AYN43" s="45"/>
      <c r="AYO43" s="45"/>
      <c r="AYP43" s="45"/>
      <c r="AYQ43" s="45"/>
      <c r="AYR43" s="45"/>
      <c r="AYS43" s="45"/>
      <c r="AYT43" s="45"/>
      <c r="AYU43" s="45"/>
      <c r="AYV43" s="45"/>
      <c r="AYW43" s="45"/>
      <c r="AYX43" s="45"/>
      <c r="AYY43" s="45"/>
      <c r="AYZ43" s="45"/>
      <c r="AZA43" s="45"/>
      <c r="AZB43" s="45"/>
      <c r="AZC43" s="45"/>
      <c r="AZD43" s="45"/>
      <c r="AZE43" s="45"/>
      <c r="AZF43" s="45"/>
      <c r="AZG43" s="45"/>
      <c r="AZH43" s="45"/>
      <c r="AZI43" s="45"/>
      <c r="AZJ43" s="45"/>
      <c r="AZK43" s="45"/>
      <c r="AZL43" s="45"/>
      <c r="AZM43" s="45"/>
      <c r="AZN43" s="45"/>
      <c r="AZO43" s="45"/>
      <c r="AZP43" s="45"/>
      <c r="AZQ43" s="45"/>
      <c r="AZR43" s="45"/>
      <c r="AZS43" s="45"/>
      <c r="AZT43" s="45"/>
      <c r="AZU43" s="45"/>
      <c r="AZV43" s="45"/>
      <c r="AZW43" s="45"/>
      <c r="AZX43" s="45"/>
      <c r="AZY43" s="45"/>
      <c r="AZZ43" s="45"/>
      <c r="BAA43" s="45"/>
      <c r="BAB43" s="45"/>
      <c r="BAC43" s="45"/>
      <c r="BAD43" s="45"/>
      <c r="BAE43" s="45"/>
      <c r="BAF43" s="45"/>
      <c r="BAG43" s="45"/>
      <c r="BAH43" s="45"/>
      <c r="BAI43" s="45"/>
      <c r="BAJ43" s="45"/>
      <c r="BAK43" s="45"/>
      <c r="BAL43" s="45"/>
      <c r="BAM43" s="45"/>
      <c r="BAN43" s="45"/>
      <c r="BAO43" s="45"/>
      <c r="BAP43" s="45"/>
      <c r="BAQ43" s="45"/>
      <c r="BAR43" s="45"/>
      <c r="BAS43" s="45"/>
      <c r="BAT43" s="45"/>
      <c r="BAU43" s="45"/>
      <c r="BAV43" s="45"/>
      <c r="BAW43" s="45"/>
      <c r="BAX43" s="45"/>
      <c r="BAY43" s="45"/>
      <c r="BAZ43" s="45"/>
      <c r="BBA43" s="45"/>
      <c r="BBB43" s="45"/>
      <c r="BBC43" s="45"/>
      <c r="BBD43" s="45"/>
      <c r="BBE43" s="45"/>
      <c r="BBF43" s="45"/>
      <c r="BBG43" s="45"/>
      <c r="BBH43" s="45"/>
      <c r="BBI43" s="45"/>
      <c r="BBJ43" s="45"/>
      <c r="BBK43" s="45"/>
      <c r="BBL43" s="45"/>
      <c r="BBM43" s="45"/>
      <c r="BBN43" s="45"/>
      <c r="BBO43" s="45"/>
      <c r="BBP43" s="45"/>
      <c r="BBQ43" s="45"/>
      <c r="BBR43" s="45"/>
      <c r="BBS43" s="45"/>
      <c r="BBT43" s="45"/>
      <c r="BBU43" s="45"/>
      <c r="BBV43" s="45"/>
      <c r="BBW43" s="45"/>
      <c r="BBX43" s="45"/>
      <c r="BBY43" s="45"/>
      <c r="BBZ43" s="45"/>
      <c r="BCA43" s="45"/>
      <c r="BCB43" s="45"/>
      <c r="BCC43" s="45"/>
      <c r="BCD43" s="45"/>
      <c r="BCE43" s="45"/>
      <c r="BCF43" s="45"/>
      <c r="BCG43" s="45"/>
      <c r="BCH43" s="45"/>
      <c r="BCI43" s="45"/>
      <c r="BCJ43" s="45"/>
      <c r="BCK43" s="45"/>
      <c r="BCL43" s="45"/>
      <c r="BCM43" s="45"/>
      <c r="BCN43" s="45"/>
      <c r="BCO43" s="45"/>
      <c r="BCP43" s="45"/>
      <c r="BCQ43" s="45"/>
      <c r="BCR43" s="45"/>
      <c r="BCS43" s="45"/>
      <c r="BCT43" s="45"/>
      <c r="BCU43" s="45"/>
      <c r="BCV43" s="45"/>
      <c r="BCW43" s="45"/>
      <c r="BCX43" s="45"/>
      <c r="BCY43" s="45"/>
      <c r="BCZ43" s="45"/>
      <c r="BDA43" s="45"/>
      <c r="BDB43" s="45"/>
      <c r="BDC43" s="45"/>
      <c r="BDD43" s="45"/>
      <c r="BDE43" s="45"/>
      <c r="BDF43" s="45"/>
      <c r="BDG43" s="45"/>
      <c r="BDH43" s="45"/>
      <c r="BDI43" s="45"/>
      <c r="BDJ43" s="45"/>
      <c r="BDK43" s="45"/>
      <c r="BDL43" s="45"/>
      <c r="BDM43" s="45"/>
      <c r="BDN43" s="45"/>
      <c r="BDO43" s="45"/>
      <c r="BDP43" s="45"/>
      <c r="BDQ43" s="45"/>
      <c r="BDR43" s="45"/>
      <c r="BDS43" s="45"/>
      <c r="BDT43" s="45"/>
      <c r="BDU43" s="45"/>
      <c r="BDV43" s="45"/>
      <c r="BDW43" s="45"/>
      <c r="BDX43" s="45"/>
      <c r="BDY43" s="45"/>
      <c r="BDZ43" s="45"/>
      <c r="BEA43" s="45"/>
      <c r="BEB43" s="45"/>
      <c r="BEC43" s="45"/>
      <c r="BED43" s="45"/>
      <c r="BEE43" s="45"/>
      <c r="BEF43" s="45"/>
      <c r="BEG43" s="45"/>
      <c r="BEH43" s="45"/>
      <c r="BEI43" s="45"/>
      <c r="BEJ43" s="45"/>
      <c r="BEK43" s="45"/>
      <c r="BEL43" s="45"/>
      <c r="BEM43" s="45"/>
      <c r="BEN43" s="45"/>
      <c r="BEO43" s="45"/>
      <c r="BEP43" s="45"/>
      <c r="BEQ43" s="45"/>
      <c r="BER43" s="45"/>
      <c r="BES43" s="45"/>
      <c r="BET43" s="45"/>
      <c r="BEU43" s="45"/>
      <c r="BEV43" s="45"/>
      <c r="BEW43" s="45"/>
      <c r="BEX43" s="45"/>
      <c r="BEY43" s="45"/>
      <c r="BEZ43" s="45"/>
      <c r="BFA43" s="45"/>
      <c r="BFB43" s="45"/>
      <c r="BFC43" s="45"/>
      <c r="BFD43" s="45"/>
      <c r="BFE43" s="45"/>
      <c r="BFF43" s="45"/>
      <c r="BFG43" s="45"/>
      <c r="BFH43" s="45"/>
      <c r="BFI43" s="45"/>
      <c r="BFJ43" s="45"/>
      <c r="BFK43" s="45"/>
      <c r="BFL43" s="45"/>
      <c r="BFM43" s="45"/>
      <c r="BFN43" s="45"/>
      <c r="BFO43" s="45"/>
      <c r="BFP43" s="45"/>
      <c r="BFQ43" s="45"/>
      <c r="BFR43" s="45"/>
      <c r="BFS43" s="45"/>
      <c r="BFT43" s="45"/>
      <c r="BFU43" s="45"/>
      <c r="BFV43" s="45"/>
      <c r="BFW43" s="45"/>
      <c r="BFX43" s="45"/>
      <c r="BFY43" s="45"/>
      <c r="BFZ43" s="45"/>
      <c r="BGA43" s="45"/>
      <c r="BGB43" s="45"/>
      <c r="BGC43" s="45"/>
      <c r="BGD43" s="45"/>
      <c r="BGE43" s="45"/>
      <c r="BGF43" s="45"/>
      <c r="BGG43" s="45"/>
      <c r="BGH43" s="45"/>
      <c r="BGI43" s="45"/>
      <c r="BGJ43" s="45"/>
      <c r="BGK43" s="45"/>
      <c r="BGL43" s="45"/>
      <c r="BGM43" s="45"/>
      <c r="BGN43" s="45"/>
      <c r="BGO43" s="45"/>
      <c r="BGP43" s="45"/>
      <c r="BGQ43" s="45"/>
      <c r="BGR43" s="45"/>
      <c r="BGS43" s="45"/>
      <c r="BGT43" s="45"/>
      <c r="BGU43" s="45"/>
      <c r="BGV43" s="45"/>
      <c r="BGW43" s="45"/>
      <c r="BGX43" s="45"/>
      <c r="BGY43" s="45"/>
      <c r="BGZ43" s="45"/>
      <c r="BHA43" s="45"/>
      <c r="BHB43" s="45"/>
      <c r="BHC43" s="45"/>
      <c r="BHD43" s="45"/>
      <c r="BHE43" s="45"/>
      <c r="BHF43" s="45"/>
      <c r="BHG43" s="45"/>
      <c r="BHH43" s="45"/>
      <c r="BHI43" s="45"/>
      <c r="BHJ43" s="45"/>
      <c r="BHK43" s="45"/>
      <c r="BHL43" s="45"/>
      <c r="BHM43" s="45"/>
      <c r="BHN43" s="45"/>
      <c r="BHO43" s="45"/>
      <c r="BHP43" s="45"/>
      <c r="BHQ43" s="45"/>
      <c r="BHR43" s="45"/>
      <c r="BHS43" s="45"/>
      <c r="BHT43" s="45"/>
      <c r="BHU43" s="45"/>
      <c r="BHV43" s="45"/>
      <c r="BHW43" s="45"/>
      <c r="BHX43" s="45"/>
      <c r="BHY43" s="45"/>
      <c r="BHZ43" s="45"/>
      <c r="BIA43" s="45"/>
      <c r="BIB43" s="45"/>
      <c r="BIC43" s="45"/>
      <c r="BID43" s="45"/>
      <c r="BIE43" s="45"/>
      <c r="BIF43" s="45"/>
      <c r="BIG43" s="45"/>
      <c r="BIH43" s="45"/>
      <c r="BII43" s="45"/>
      <c r="BIJ43" s="45"/>
      <c r="BIK43" s="45"/>
      <c r="BIL43" s="45"/>
      <c r="BIM43" s="45"/>
      <c r="BIN43" s="45"/>
      <c r="BIO43" s="45"/>
      <c r="BIP43" s="45"/>
      <c r="BIQ43" s="45"/>
      <c r="BIR43" s="45"/>
      <c r="BIS43" s="45"/>
      <c r="BIT43" s="45"/>
      <c r="BIU43" s="45"/>
      <c r="BIV43" s="45"/>
      <c r="BIW43" s="45"/>
      <c r="BIX43" s="45"/>
      <c r="BIY43" s="45"/>
      <c r="BIZ43" s="45"/>
      <c r="BJA43" s="45"/>
      <c r="BJB43" s="45"/>
      <c r="BJC43" s="45"/>
      <c r="BJD43" s="45"/>
      <c r="BJE43" s="45"/>
      <c r="BJF43" s="45"/>
      <c r="BJG43" s="45"/>
      <c r="BJH43" s="45"/>
      <c r="BJI43" s="45"/>
      <c r="BJJ43" s="45"/>
      <c r="BJK43" s="45"/>
      <c r="BJL43" s="45"/>
      <c r="BJM43" s="45"/>
      <c r="BJN43" s="45"/>
      <c r="BJO43" s="45"/>
      <c r="BJP43" s="45"/>
      <c r="BJQ43" s="45"/>
      <c r="BJR43" s="45"/>
      <c r="BJS43" s="45"/>
      <c r="BJT43" s="45"/>
      <c r="BJU43" s="45"/>
      <c r="BJV43" s="45"/>
      <c r="BJW43" s="45"/>
      <c r="BJX43" s="45"/>
      <c r="BJY43" s="45"/>
      <c r="BJZ43" s="45"/>
      <c r="BKA43" s="45"/>
      <c r="BKB43" s="45"/>
      <c r="BKC43" s="45"/>
      <c r="BKD43" s="45"/>
      <c r="BKE43" s="45"/>
      <c r="BKF43" s="45"/>
      <c r="BKG43" s="45"/>
      <c r="BKH43" s="45"/>
      <c r="BKI43" s="45"/>
      <c r="BKJ43" s="45"/>
      <c r="BKK43" s="45"/>
      <c r="BKL43" s="45"/>
      <c r="BKM43" s="45"/>
      <c r="BKN43" s="45"/>
      <c r="BKO43" s="45"/>
      <c r="BKP43" s="45"/>
      <c r="BKQ43" s="45"/>
      <c r="BKR43" s="45"/>
      <c r="BKS43" s="45"/>
      <c r="BKT43" s="45"/>
      <c r="BKU43" s="45"/>
      <c r="BKV43" s="45"/>
      <c r="BKW43" s="45"/>
      <c r="BKX43" s="45"/>
      <c r="BKY43" s="45"/>
      <c r="BKZ43" s="45"/>
      <c r="BLA43" s="45"/>
      <c r="BLB43" s="45"/>
      <c r="BLC43" s="45"/>
      <c r="BLD43" s="45"/>
      <c r="BLE43" s="45"/>
      <c r="BLF43" s="45"/>
      <c r="BLG43" s="45"/>
      <c r="BLH43" s="45"/>
      <c r="BLI43" s="45"/>
      <c r="BLJ43" s="45"/>
      <c r="BLK43" s="45"/>
      <c r="BLL43" s="45"/>
      <c r="BLM43" s="45"/>
      <c r="BLN43" s="45"/>
      <c r="BLO43" s="45"/>
      <c r="BLP43" s="45"/>
      <c r="BLQ43" s="45"/>
      <c r="BLR43" s="45"/>
      <c r="BLS43" s="45"/>
      <c r="BLT43" s="45"/>
      <c r="BLU43" s="45"/>
      <c r="BLV43" s="45"/>
      <c r="BLW43" s="45"/>
      <c r="BLX43" s="45"/>
      <c r="BLY43" s="45"/>
      <c r="BLZ43" s="45"/>
      <c r="BMA43" s="45"/>
      <c r="BMB43" s="45"/>
      <c r="BMC43" s="45"/>
      <c r="BMD43" s="45"/>
      <c r="BME43" s="45"/>
      <c r="BMF43" s="45"/>
      <c r="BMG43" s="45"/>
      <c r="BMH43" s="45"/>
      <c r="BMI43" s="45"/>
      <c r="BMJ43" s="45"/>
      <c r="BMK43" s="45"/>
      <c r="BML43" s="45"/>
      <c r="BMM43" s="45"/>
      <c r="BMN43" s="45"/>
      <c r="BMO43" s="45"/>
      <c r="BMP43" s="45"/>
      <c r="BMQ43" s="45"/>
      <c r="BMR43" s="45"/>
      <c r="BMS43" s="45"/>
      <c r="BMT43" s="45"/>
      <c r="BMU43" s="45"/>
      <c r="BMV43" s="45"/>
      <c r="BMW43" s="45"/>
      <c r="BMX43" s="45"/>
      <c r="BMY43" s="45"/>
      <c r="BMZ43" s="45"/>
      <c r="BNA43" s="45"/>
      <c r="BNB43" s="45"/>
      <c r="BNC43" s="45"/>
      <c r="BND43" s="45"/>
      <c r="BNE43" s="45"/>
      <c r="BNF43" s="45"/>
      <c r="BNG43" s="45"/>
      <c r="BNH43" s="45"/>
      <c r="BNI43" s="45"/>
      <c r="BNJ43" s="45"/>
      <c r="BNK43" s="45"/>
      <c r="BNL43" s="45"/>
      <c r="BNM43" s="45"/>
      <c r="BNN43" s="45"/>
      <c r="BNO43" s="45"/>
      <c r="BNP43" s="45"/>
      <c r="BNQ43" s="45"/>
      <c r="BNR43" s="45"/>
      <c r="BNS43" s="45"/>
      <c r="BNT43" s="45"/>
      <c r="BNU43" s="45"/>
      <c r="BNV43" s="45"/>
      <c r="BNW43" s="45"/>
      <c r="BNX43" s="45"/>
      <c r="BNY43" s="45"/>
      <c r="BNZ43" s="45"/>
      <c r="BOA43" s="45"/>
      <c r="BOB43" s="45"/>
      <c r="BOC43" s="45"/>
      <c r="BOD43" s="45"/>
      <c r="BOE43" s="45"/>
      <c r="BOF43" s="45"/>
      <c r="BOG43" s="45"/>
      <c r="BOH43" s="45"/>
      <c r="BOI43" s="45"/>
      <c r="BOJ43" s="45"/>
      <c r="BOK43" s="45"/>
      <c r="BOL43" s="45"/>
      <c r="BOM43" s="45"/>
      <c r="BON43" s="45"/>
      <c r="BOO43" s="45"/>
      <c r="BOP43" s="45"/>
      <c r="BOQ43" s="45"/>
      <c r="BOR43" s="45"/>
      <c r="BOS43" s="45"/>
      <c r="BOT43" s="45"/>
      <c r="BOU43" s="45"/>
      <c r="BOV43" s="45"/>
      <c r="BOW43" s="45"/>
      <c r="BOX43" s="45"/>
      <c r="BOY43" s="45"/>
      <c r="BOZ43" s="45"/>
      <c r="BPA43" s="45"/>
      <c r="BPB43" s="45"/>
      <c r="BPC43" s="45"/>
      <c r="BPD43" s="45"/>
      <c r="BPE43" s="45"/>
      <c r="BPF43" s="45"/>
      <c r="BPG43" s="45"/>
      <c r="BPH43" s="45"/>
      <c r="BPI43" s="45"/>
      <c r="BPJ43" s="45"/>
      <c r="BPK43" s="45"/>
      <c r="BPL43" s="45"/>
      <c r="BPM43" s="45"/>
      <c r="BPN43" s="45"/>
      <c r="BPO43" s="45"/>
      <c r="BPP43" s="45"/>
      <c r="BPQ43" s="45"/>
      <c r="BPR43" s="45"/>
      <c r="BPS43" s="45"/>
      <c r="BPT43" s="45"/>
      <c r="BPU43" s="45"/>
      <c r="BPV43" s="45"/>
      <c r="BPW43" s="45"/>
      <c r="BPX43" s="45"/>
      <c r="BPY43" s="45"/>
      <c r="BPZ43" s="45"/>
      <c r="BQA43" s="45"/>
      <c r="BQB43" s="45"/>
      <c r="BQC43" s="45"/>
      <c r="BQD43" s="45"/>
      <c r="BQE43" s="45"/>
      <c r="BQF43" s="45"/>
      <c r="BQG43" s="45"/>
      <c r="BQH43" s="45"/>
      <c r="BQI43" s="45"/>
      <c r="BQJ43" s="45"/>
      <c r="BQK43" s="45"/>
      <c r="BQL43" s="45"/>
      <c r="BQM43" s="45"/>
      <c r="BQN43" s="45"/>
      <c r="BQO43" s="45"/>
      <c r="BQP43" s="45"/>
      <c r="BQQ43" s="45"/>
      <c r="BQR43" s="45"/>
      <c r="BQS43" s="45"/>
      <c r="BQT43" s="45"/>
      <c r="BQU43" s="45"/>
      <c r="BQV43" s="45"/>
      <c r="BQW43" s="45"/>
      <c r="BQX43" s="45"/>
      <c r="BQY43" s="45"/>
      <c r="BQZ43" s="45"/>
      <c r="BRA43" s="45"/>
      <c r="BRB43" s="45"/>
      <c r="BRC43" s="45"/>
      <c r="BRD43" s="45"/>
      <c r="BRE43" s="45"/>
      <c r="BRF43" s="45"/>
      <c r="BRG43" s="45"/>
      <c r="BRH43" s="45"/>
      <c r="BRI43" s="45"/>
      <c r="BRJ43" s="45"/>
      <c r="BRK43" s="45"/>
      <c r="BRL43" s="45"/>
      <c r="BRM43" s="45"/>
      <c r="BRN43" s="45"/>
      <c r="BRO43" s="45"/>
      <c r="BRP43" s="45"/>
      <c r="BRQ43" s="45"/>
      <c r="BRR43" s="45"/>
      <c r="BRS43" s="45"/>
      <c r="BRT43" s="45"/>
      <c r="BRU43" s="45"/>
      <c r="BRV43" s="45"/>
      <c r="BRW43" s="45"/>
      <c r="BRX43" s="45"/>
      <c r="BRY43" s="45"/>
      <c r="BRZ43" s="45"/>
      <c r="BSA43" s="45"/>
      <c r="BSB43" s="45"/>
      <c r="BSC43" s="45"/>
      <c r="BSD43" s="45"/>
      <c r="BSE43" s="45"/>
      <c r="BSF43" s="45"/>
      <c r="BSG43" s="45"/>
      <c r="BSH43" s="45"/>
      <c r="BSI43" s="45"/>
      <c r="BSJ43" s="45"/>
      <c r="BSK43" s="45"/>
      <c r="BSL43" s="45"/>
      <c r="BSM43" s="45"/>
      <c r="BSN43" s="45"/>
      <c r="BSO43" s="45"/>
      <c r="BSP43" s="45"/>
      <c r="BSQ43" s="45"/>
      <c r="BSR43" s="45"/>
      <c r="BSS43" s="45"/>
      <c r="BST43" s="45"/>
      <c r="BSU43" s="45"/>
      <c r="BSV43" s="45"/>
      <c r="BSW43" s="45"/>
      <c r="BSX43" s="45"/>
      <c r="BSY43" s="45"/>
      <c r="BSZ43" s="45"/>
      <c r="BTA43" s="45"/>
      <c r="BTB43" s="45"/>
      <c r="BTC43" s="45"/>
      <c r="BTD43" s="45"/>
      <c r="BTE43" s="45"/>
      <c r="BTF43" s="45"/>
      <c r="BTG43" s="45"/>
      <c r="BTH43" s="45"/>
      <c r="BTI43" s="45"/>
      <c r="BTJ43" s="45"/>
      <c r="BTK43" s="45"/>
      <c r="BTL43" s="45"/>
      <c r="BTM43" s="45"/>
      <c r="BTN43" s="45"/>
      <c r="BTO43" s="45"/>
      <c r="BTP43" s="45"/>
      <c r="BTQ43" s="45"/>
      <c r="BTR43" s="45"/>
      <c r="BTS43" s="45"/>
      <c r="BTT43" s="45"/>
      <c r="BTU43" s="45"/>
      <c r="BTV43" s="45"/>
      <c r="BTW43" s="45"/>
      <c r="BTX43" s="45"/>
      <c r="BTY43" s="45"/>
      <c r="BTZ43" s="45"/>
      <c r="BUA43" s="45"/>
      <c r="BUB43" s="45"/>
      <c r="BUC43" s="45"/>
      <c r="BUD43" s="45"/>
      <c r="BUE43" s="45"/>
      <c r="BUF43" s="45"/>
      <c r="BUG43" s="45"/>
      <c r="BUH43" s="45"/>
      <c r="BUI43" s="45"/>
      <c r="BUJ43" s="45"/>
      <c r="BUK43" s="45"/>
      <c r="BUL43" s="45"/>
      <c r="BUM43" s="45"/>
      <c r="BUN43" s="45"/>
      <c r="BUO43" s="45"/>
      <c r="BUP43" s="45"/>
      <c r="BUQ43" s="45"/>
      <c r="BUR43" s="45"/>
      <c r="BUS43" s="45"/>
      <c r="BUT43" s="45"/>
      <c r="BUU43" s="45"/>
      <c r="BUV43" s="45"/>
      <c r="BUW43" s="45"/>
      <c r="BUX43" s="45"/>
      <c r="BUY43" s="45"/>
      <c r="BUZ43" s="45"/>
      <c r="BVA43" s="45"/>
      <c r="BVB43" s="45"/>
      <c r="BVC43" s="45"/>
      <c r="BVD43" s="45"/>
      <c r="BVE43" s="45"/>
      <c r="BVF43" s="45"/>
      <c r="BVG43" s="45"/>
      <c r="BVH43" s="45"/>
      <c r="BVI43" s="45"/>
      <c r="BVJ43" s="45"/>
      <c r="BVK43" s="45"/>
      <c r="BVL43" s="45"/>
      <c r="BVM43" s="45"/>
      <c r="BVN43" s="45"/>
      <c r="BVO43" s="45"/>
      <c r="BVP43" s="45"/>
      <c r="BVQ43" s="45"/>
      <c r="BVR43" s="45"/>
      <c r="BVS43" s="45"/>
      <c r="BVT43" s="45"/>
      <c r="BVU43" s="45"/>
      <c r="BVV43" s="45"/>
      <c r="BVW43" s="45"/>
      <c r="BVX43" s="45"/>
      <c r="BVY43" s="45"/>
      <c r="BVZ43" s="45"/>
      <c r="BWA43" s="45"/>
      <c r="BWB43" s="45"/>
      <c r="BWC43" s="45"/>
      <c r="BWD43" s="45"/>
      <c r="BWE43" s="45"/>
      <c r="BWF43" s="45"/>
      <c r="BWG43" s="45"/>
      <c r="BWH43" s="45"/>
      <c r="BWI43" s="45"/>
      <c r="BWJ43" s="45"/>
      <c r="BWK43" s="45"/>
      <c r="BWL43" s="45"/>
      <c r="BWM43" s="45"/>
      <c r="BWN43" s="45"/>
      <c r="BWO43" s="45"/>
      <c r="BWP43" s="45"/>
      <c r="BWQ43" s="45"/>
      <c r="BWR43" s="45"/>
      <c r="BWS43" s="45"/>
      <c r="BWT43" s="45"/>
      <c r="BWU43" s="45"/>
      <c r="BWV43" s="45"/>
      <c r="BWW43" s="45"/>
      <c r="BWX43" s="45"/>
      <c r="BWY43" s="45"/>
      <c r="BWZ43" s="45"/>
      <c r="BXA43" s="45"/>
      <c r="BXB43" s="45"/>
      <c r="BXC43" s="45"/>
      <c r="BXD43" s="45"/>
      <c r="BXE43" s="45"/>
      <c r="BXF43" s="45"/>
      <c r="BXG43" s="45"/>
      <c r="BXH43" s="45"/>
      <c r="BXI43" s="45"/>
      <c r="BXJ43" s="45"/>
      <c r="BXK43" s="45"/>
      <c r="BXL43" s="45"/>
      <c r="BXM43" s="45"/>
      <c r="BXN43" s="45"/>
      <c r="BXO43" s="45"/>
      <c r="BXP43" s="45"/>
      <c r="BXQ43" s="45"/>
      <c r="BXR43" s="45"/>
      <c r="BXS43" s="45"/>
      <c r="BXT43" s="45"/>
      <c r="BXU43" s="45"/>
      <c r="BXV43" s="45"/>
      <c r="BXW43" s="45"/>
      <c r="BXX43" s="45"/>
      <c r="BXY43" s="45"/>
      <c r="BXZ43" s="45"/>
      <c r="BYA43" s="45"/>
      <c r="BYB43" s="45"/>
      <c r="BYC43" s="45"/>
      <c r="BYD43" s="45"/>
      <c r="BYE43" s="45"/>
      <c r="BYF43" s="45"/>
      <c r="BYG43" s="45"/>
      <c r="BYH43" s="45"/>
      <c r="BYI43" s="45"/>
      <c r="BYJ43" s="45"/>
      <c r="BYK43" s="45"/>
      <c r="BYL43" s="45"/>
      <c r="BYM43" s="45"/>
      <c r="BYN43" s="45"/>
      <c r="BYO43" s="45"/>
      <c r="BYP43" s="45"/>
      <c r="BYQ43" s="45"/>
      <c r="BYR43" s="45"/>
      <c r="BYS43" s="45"/>
      <c r="BYT43" s="45"/>
      <c r="BYU43" s="45"/>
      <c r="BYV43" s="45"/>
      <c r="BYW43" s="45"/>
      <c r="BYX43" s="45"/>
      <c r="BYY43" s="45"/>
      <c r="BYZ43" s="45"/>
      <c r="BZA43" s="45"/>
      <c r="BZB43" s="45"/>
      <c r="BZC43" s="45"/>
      <c r="BZD43" s="45"/>
      <c r="BZE43" s="45"/>
      <c r="BZF43" s="45"/>
      <c r="BZG43" s="45"/>
      <c r="BZH43" s="45"/>
      <c r="BZI43" s="45"/>
      <c r="BZJ43" s="45"/>
      <c r="BZK43" s="45"/>
      <c r="BZL43" s="45"/>
      <c r="BZM43" s="45"/>
      <c r="BZN43" s="45"/>
      <c r="BZO43" s="45"/>
      <c r="BZP43" s="45"/>
      <c r="BZQ43" s="45"/>
      <c r="BZR43" s="45"/>
      <c r="BZS43" s="45"/>
      <c r="BZT43" s="45"/>
      <c r="BZU43" s="45"/>
      <c r="BZV43" s="45"/>
      <c r="BZW43" s="45"/>
      <c r="BZX43" s="45"/>
      <c r="BZY43" s="45"/>
      <c r="BZZ43" s="45"/>
      <c r="CAA43" s="45"/>
      <c r="CAB43" s="45"/>
      <c r="CAC43" s="45"/>
      <c r="CAD43" s="45"/>
      <c r="CAE43" s="45"/>
      <c r="CAF43" s="45"/>
      <c r="CAG43" s="45"/>
      <c r="CAH43" s="45"/>
      <c r="CAI43" s="45"/>
      <c r="CAJ43" s="45"/>
      <c r="CAK43" s="45"/>
      <c r="CAL43" s="45"/>
      <c r="CAM43" s="45"/>
      <c r="CAN43" s="45"/>
      <c r="CAO43" s="45"/>
      <c r="CAP43" s="45"/>
      <c r="CAQ43" s="45"/>
      <c r="CAR43" s="45"/>
      <c r="CAS43" s="45"/>
      <c r="CAT43" s="45"/>
      <c r="CAU43" s="45"/>
      <c r="CAV43" s="45"/>
      <c r="CAW43" s="45"/>
      <c r="CAX43" s="45"/>
      <c r="CAY43" s="45"/>
      <c r="CAZ43" s="45"/>
      <c r="CBA43" s="45"/>
      <c r="CBB43" s="45"/>
      <c r="CBC43" s="45"/>
      <c r="CBD43" s="45"/>
      <c r="CBE43" s="45"/>
      <c r="CBF43" s="45"/>
      <c r="CBG43" s="45"/>
      <c r="CBH43" s="45"/>
      <c r="CBI43" s="45"/>
      <c r="CBJ43" s="45"/>
      <c r="CBK43" s="45"/>
      <c r="CBL43" s="45"/>
      <c r="CBM43" s="45"/>
      <c r="CBN43" s="45"/>
      <c r="CBO43" s="45"/>
      <c r="CBP43" s="45"/>
      <c r="CBQ43" s="45"/>
      <c r="CBR43" s="45"/>
      <c r="CBS43" s="45"/>
      <c r="CBT43" s="45"/>
      <c r="CBU43" s="45"/>
      <c r="CBV43" s="45"/>
      <c r="CBW43" s="45"/>
      <c r="CBX43" s="45"/>
      <c r="CBY43" s="45"/>
      <c r="CBZ43" s="45"/>
      <c r="CCA43" s="45"/>
      <c r="CCB43" s="45"/>
      <c r="CCC43" s="45"/>
      <c r="CCD43" s="45"/>
      <c r="CCE43" s="45"/>
      <c r="CCF43" s="45"/>
      <c r="CCG43" s="45"/>
      <c r="CCH43" s="45"/>
      <c r="CCI43" s="45"/>
      <c r="CCJ43" s="45"/>
      <c r="CCK43" s="45"/>
      <c r="CCL43" s="45"/>
      <c r="CCM43" s="45"/>
      <c r="CCN43" s="45"/>
      <c r="CCO43" s="45"/>
      <c r="CCP43" s="45"/>
      <c r="CCQ43" s="45"/>
      <c r="CCR43" s="45"/>
      <c r="CCS43" s="45"/>
      <c r="CCT43" s="45"/>
      <c r="CCU43" s="45"/>
      <c r="CCV43" s="45"/>
      <c r="CCW43" s="45"/>
      <c r="CCX43" s="45"/>
      <c r="CCY43" s="45"/>
      <c r="CCZ43" s="45"/>
      <c r="CDA43" s="45"/>
      <c r="CDB43" s="45"/>
      <c r="CDC43" s="45"/>
      <c r="CDD43" s="45"/>
      <c r="CDE43" s="45"/>
      <c r="CDF43" s="45"/>
      <c r="CDG43" s="45"/>
      <c r="CDH43" s="45"/>
      <c r="CDI43" s="45"/>
      <c r="CDJ43" s="45"/>
      <c r="CDK43" s="45"/>
      <c r="CDL43" s="45"/>
      <c r="CDM43" s="45"/>
      <c r="CDN43" s="45"/>
      <c r="CDO43" s="45"/>
      <c r="CDP43" s="45"/>
      <c r="CDQ43" s="45"/>
      <c r="CDR43" s="45"/>
      <c r="CDS43" s="45"/>
      <c r="CDT43" s="45"/>
      <c r="CDU43" s="45"/>
      <c r="CDV43" s="45"/>
      <c r="CDW43" s="45"/>
      <c r="CDX43" s="45"/>
      <c r="CDY43" s="45"/>
      <c r="CDZ43" s="45"/>
      <c r="CEA43" s="45"/>
      <c r="CEB43" s="45"/>
      <c r="CEC43" s="45"/>
      <c r="CED43" s="45"/>
      <c r="CEE43" s="45"/>
      <c r="CEF43" s="45"/>
      <c r="CEG43" s="45"/>
      <c r="CEH43" s="45"/>
      <c r="CEI43" s="45"/>
      <c r="CEJ43" s="45"/>
      <c r="CEK43" s="45"/>
      <c r="CEL43" s="45"/>
      <c r="CEM43" s="45"/>
      <c r="CEN43" s="45"/>
      <c r="CEO43" s="45"/>
      <c r="CEP43" s="45"/>
      <c r="CEQ43" s="45"/>
      <c r="CER43" s="45"/>
      <c r="CES43" s="45"/>
      <c r="CET43" s="45"/>
      <c r="CEU43" s="45"/>
      <c r="CEV43" s="45"/>
      <c r="CEW43" s="45"/>
      <c r="CEX43" s="45"/>
      <c r="CEY43" s="45"/>
      <c r="CEZ43" s="45"/>
      <c r="CFA43" s="45"/>
      <c r="CFB43" s="45"/>
      <c r="CFC43" s="45"/>
      <c r="CFD43" s="45"/>
      <c r="CFE43" s="45"/>
      <c r="CFF43" s="45"/>
      <c r="CFG43" s="45"/>
      <c r="CFH43" s="45"/>
      <c r="CFI43" s="45"/>
      <c r="CFJ43" s="45"/>
      <c r="CFK43" s="45"/>
      <c r="CFL43" s="45"/>
      <c r="CFM43" s="45"/>
      <c r="CFN43" s="45"/>
      <c r="CFO43" s="45"/>
      <c r="CFP43" s="45"/>
      <c r="CFQ43" s="45"/>
      <c r="CFR43" s="45"/>
      <c r="CFS43" s="45"/>
      <c r="CFT43" s="45"/>
      <c r="CFU43" s="45"/>
      <c r="CFV43" s="45"/>
      <c r="CFW43" s="45"/>
      <c r="CFX43" s="45"/>
      <c r="CFY43" s="45"/>
      <c r="CFZ43" s="45"/>
      <c r="CGA43" s="45"/>
      <c r="CGB43" s="45"/>
      <c r="CGC43" s="45"/>
      <c r="CGD43" s="45"/>
      <c r="CGE43" s="45"/>
      <c r="CGF43" s="45"/>
      <c r="CGG43" s="45"/>
      <c r="CGH43" s="45"/>
      <c r="CGI43" s="45"/>
      <c r="CGJ43" s="45"/>
      <c r="CGK43" s="45"/>
      <c r="CGL43" s="45"/>
      <c r="CGM43" s="45"/>
      <c r="CGN43" s="45"/>
      <c r="CGO43" s="45"/>
      <c r="CGP43" s="45"/>
      <c r="CGQ43" s="45"/>
      <c r="CGR43" s="45"/>
      <c r="CGS43" s="45"/>
      <c r="CGT43" s="45"/>
      <c r="CGU43" s="45"/>
      <c r="CGV43" s="45"/>
      <c r="CGW43" s="45"/>
      <c r="CGX43" s="45"/>
      <c r="CGY43" s="45"/>
      <c r="CGZ43" s="45"/>
      <c r="CHA43" s="45"/>
      <c r="CHB43" s="45"/>
      <c r="CHC43" s="45"/>
      <c r="CHD43" s="45"/>
      <c r="CHE43" s="45"/>
      <c r="CHF43" s="45"/>
      <c r="CHG43" s="45"/>
      <c r="CHH43" s="45"/>
      <c r="CHI43" s="45"/>
      <c r="CHJ43" s="45"/>
      <c r="CHK43" s="45"/>
      <c r="CHL43" s="45"/>
      <c r="CHM43" s="45"/>
      <c r="CHN43" s="45"/>
      <c r="CHO43" s="45"/>
      <c r="CHP43" s="45"/>
      <c r="CHQ43" s="45"/>
      <c r="CHR43" s="45"/>
      <c r="CHS43" s="45"/>
      <c r="CHT43" s="45"/>
      <c r="CHU43" s="45"/>
      <c r="CHV43" s="45"/>
      <c r="CHW43" s="45"/>
      <c r="CHX43" s="45"/>
      <c r="CHY43" s="45"/>
      <c r="CHZ43" s="45"/>
      <c r="CIA43" s="45"/>
      <c r="CIB43" s="45"/>
      <c r="CIC43" s="45"/>
      <c r="CID43" s="45"/>
      <c r="CIE43" s="45"/>
      <c r="CIF43" s="45"/>
      <c r="CIG43" s="45"/>
      <c r="CIH43" s="45"/>
      <c r="CII43" s="45"/>
      <c r="CIJ43" s="45"/>
      <c r="CIK43" s="45"/>
      <c r="CIL43" s="45"/>
      <c r="CIM43" s="45"/>
      <c r="CIN43" s="45"/>
      <c r="CIO43" s="45"/>
      <c r="CIP43" s="45"/>
      <c r="CIQ43" s="45"/>
      <c r="CIR43" s="45"/>
      <c r="CIS43" s="45"/>
      <c r="CIT43" s="45"/>
      <c r="CIU43" s="45"/>
      <c r="CIV43" s="45"/>
      <c r="CIW43" s="45"/>
      <c r="CIX43" s="45"/>
      <c r="CIY43" s="45"/>
      <c r="CIZ43" s="45"/>
      <c r="CJA43" s="45"/>
      <c r="CJB43" s="45"/>
      <c r="CJC43" s="45"/>
      <c r="CJD43" s="45"/>
      <c r="CJE43" s="45"/>
      <c r="CJF43" s="45"/>
      <c r="CJG43" s="45"/>
      <c r="CJH43" s="45"/>
      <c r="CJI43" s="45"/>
      <c r="CJJ43" s="45"/>
      <c r="CJK43" s="45"/>
      <c r="CJL43" s="45"/>
      <c r="CJM43" s="45"/>
      <c r="CJN43" s="45"/>
      <c r="CJO43" s="45"/>
      <c r="CJP43" s="45"/>
      <c r="CJQ43" s="45"/>
      <c r="CJR43" s="45"/>
      <c r="CJS43" s="45"/>
      <c r="CJT43" s="45"/>
      <c r="CJU43" s="45"/>
      <c r="CJV43" s="45"/>
      <c r="CJW43" s="45"/>
      <c r="CJX43" s="45"/>
      <c r="CJY43" s="45"/>
      <c r="CJZ43" s="45"/>
      <c r="CKA43" s="45"/>
      <c r="CKB43" s="45"/>
      <c r="CKC43" s="45"/>
      <c r="CKD43" s="45"/>
      <c r="CKE43" s="45"/>
      <c r="CKF43" s="45"/>
      <c r="CKG43" s="45"/>
      <c r="CKH43" s="45"/>
      <c r="CKI43" s="45"/>
      <c r="CKJ43" s="45"/>
      <c r="CKK43" s="45"/>
      <c r="CKL43" s="45"/>
      <c r="CKM43" s="45"/>
      <c r="CKN43" s="45"/>
      <c r="CKO43" s="45"/>
      <c r="CKP43" s="45"/>
      <c r="CKQ43" s="45"/>
      <c r="CKR43" s="45"/>
      <c r="CKS43" s="45"/>
      <c r="CKT43" s="45"/>
      <c r="CKU43" s="45"/>
      <c r="CKV43" s="45"/>
      <c r="CKW43" s="45"/>
      <c r="CKX43" s="45"/>
      <c r="CKY43" s="45"/>
      <c r="CKZ43" s="45"/>
      <c r="CLA43" s="45"/>
      <c r="CLB43" s="45"/>
      <c r="CLC43" s="45"/>
      <c r="CLD43" s="45"/>
      <c r="CLE43" s="45"/>
      <c r="CLF43" s="45"/>
      <c r="CLG43" s="45"/>
      <c r="CLH43" s="45"/>
      <c r="CLI43" s="45"/>
      <c r="CLJ43" s="45"/>
      <c r="CLK43" s="45"/>
      <c r="CLL43" s="45"/>
      <c r="CLM43" s="45"/>
      <c r="CLN43" s="45"/>
      <c r="CLO43" s="45"/>
      <c r="CLP43" s="45"/>
      <c r="CLQ43" s="45"/>
      <c r="CLR43" s="45"/>
      <c r="CLS43" s="45"/>
      <c r="CLT43" s="45"/>
      <c r="CLU43" s="45"/>
      <c r="CLV43" s="45"/>
      <c r="CLW43" s="45"/>
      <c r="CLX43" s="45"/>
      <c r="CLY43" s="45"/>
      <c r="CLZ43" s="45"/>
      <c r="CMA43" s="45"/>
      <c r="CMB43" s="45"/>
      <c r="CMC43" s="45"/>
      <c r="CMD43" s="45"/>
      <c r="CME43" s="45"/>
      <c r="CMF43" s="45"/>
      <c r="CMG43" s="45"/>
      <c r="CMH43" s="45"/>
      <c r="CMI43" s="45"/>
      <c r="CMJ43" s="45"/>
      <c r="CMK43" s="45"/>
      <c r="CML43" s="45"/>
      <c r="CMM43" s="45"/>
      <c r="CMN43" s="45"/>
      <c r="CMO43" s="45"/>
      <c r="CMP43" s="45"/>
      <c r="CMQ43" s="45"/>
      <c r="CMR43" s="45"/>
      <c r="CMS43" s="45"/>
      <c r="CMT43" s="45"/>
      <c r="CMU43" s="45"/>
      <c r="CMV43" s="45"/>
      <c r="CMW43" s="45"/>
      <c r="CMX43" s="45"/>
      <c r="CMY43" s="45"/>
      <c r="CMZ43" s="45"/>
      <c r="CNA43" s="45"/>
      <c r="CNB43" s="45"/>
      <c r="CNC43" s="45"/>
      <c r="CND43" s="45"/>
      <c r="CNE43" s="45"/>
      <c r="CNF43" s="45"/>
      <c r="CNG43" s="45"/>
      <c r="CNH43" s="45"/>
      <c r="CNI43" s="45"/>
      <c r="CNJ43" s="45"/>
      <c r="CNK43" s="45"/>
      <c r="CNL43" s="45"/>
      <c r="CNM43" s="45"/>
      <c r="CNN43" s="45"/>
      <c r="CNO43" s="45"/>
      <c r="CNP43" s="45"/>
      <c r="CNQ43" s="45"/>
      <c r="CNR43" s="45"/>
      <c r="CNS43" s="45"/>
      <c r="CNT43" s="45"/>
      <c r="CNU43" s="45"/>
      <c r="CNV43" s="45"/>
      <c r="CNW43" s="45"/>
      <c r="CNX43" s="45"/>
      <c r="CNY43" s="45"/>
      <c r="CNZ43" s="45"/>
      <c r="COA43" s="45"/>
      <c r="COB43" s="45"/>
      <c r="COC43" s="45"/>
      <c r="COD43" s="45"/>
      <c r="COE43" s="45"/>
      <c r="COF43" s="45"/>
      <c r="COG43" s="45"/>
      <c r="COH43" s="45"/>
      <c r="COI43" s="45"/>
      <c r="COJ43" s="45"/>
      <c r="COK43" s="45"/>
      <c r="COL43" s="45"/>
      <c r="COM43" s="45"/>
      <c r="CON43" s="45"/>
      <c r="COO43" s="45"/>
      <c r="COP43" s="45"/>
      <c r="COQ43" s="45"/>
      <c r="COR43" s="45"/>
      <c r="COS43" s="45"/>
      <c r="COT43" s="45"/>
      <c r="COU43" s="45"/>
      <c r="COV43" s="45"/>
      <c r="COW43" s="45"/>
      <c r="COX43" s="45"/>
      <c r="COY43" s="45"/>
      <c r="COZ43" s="45"/>
      <c r="CPA43" s="45"/>
      <c r="CPB43" s="45"/>
      <c r="CPC43" s="45"/>
      <c r="CPD43" s="45"/>
      <c r="CPE43" s="45"/>
      <c r="CPF43" s="45"/>
      <c r="CPG43" s="45"/>
      <c r="CPH43" s="45"/>
      <c r="CPI43" s="45"/>
      <c r="CPJ43" s="45"/>
      <c r="CPK43" s="45"/>
      <c r="CPL43" s="45"/>
      <c r="CPM43" s="45"/>
      <c r="CPN43" s="45"/>
      <c r="CPO43" s="45"/>
      <c r="CPP43" s="45"/>
      <c r="CPQ43" s="45"/>
      <c r="CPR43" s="45"/>
      <c r="CPS43" s="45"/>
      <c r="CPT43" s="45"/>
      <c r="CPU43" s="45"/>
      <c r="CPV43" s="45"/>
      <c r="CPW43" s="45"/>
      <c r="CPX43" s="45"/>
      <c r="CPY43" s="45"/>
      <c r="CPZ43" s="45"/>
      <c r="CQA43" s="45"/>
      <c r="CQB43" s="45"/>
      <c r="CQC43" s="45"/>
      <c r="CQD43" s="45"/>
      <c r="CQE43" s="45"/>
      <c r="CQF43" s="45"/>
      <c r="CQG43" s="45"/>
      <c r="CQH43" s="45"/>
      <c r="CQI43" s="45"/>
      <c r="CQJ43" s="45"/>
      <c r="CQK43" s="45"/>
      <c r="CQL43" s="45"/>
      <c r="CQM43" s="45"/>
      <c r="CQN43" s="45"/>
      <c r="CQO43" s="45"/>
      <c r="CQP43" s="45"/>
      <c r="CQQ43" s="45"/>
      <c r="CQR43" s="45"/>
      <c r="CQS43" s="45"/>
      <c r="CQT43" s="45"/>
      <c r="CQU43" s="45"/>
      <c r="CQV43" s="45"/>
      <c r="CQW43" s="45"/>
      <c r="CQX43" s="45"/>
      <c r="CQY43" s="45"/>
      <c r="CQZ43" s="45"/>
      <c r="CRA43" s="45"/>
      <c r="CRB43" s="45"/>
      <c r="CRC43" s="45"/>
      <c r="CRD43" s="45"/>
      <c r="CRE43" s="45"/>
      <c r="CRF43" s="45"/>
      <c r="CRG43" s="45"/>
      <c r="CRH43" s="45"/>
      <c r="CRI43" s="45"/>
      <c r="CRJ43" s="45"/>
      <c r="CRK43" s="45"/>
      <c r="CRL43" s="45"/>
      <c r="CRM43" s="45"/>
      <c r="CRN43" s="45"/>
      <c r="CRO43" s="45"/>
      <c r="CRP43" s="45"/>
      <c r="CRQ43" s="45"/>
      <c r="CRR43" s="45"/>
      <c r="CRS43" s="45"/>
      <c r="CRT43" s="45"/>
      <c r="CRU43" s="45"/>
      <c r="CRV43" s="45"/>
      <c r="CRW43" s="45"/>
      <c r="CRX43" s="45"/>
      <c r="CRY43" s="45"/>
      <c r="CRZ43" s="45"/>
      <c r="CSA43" s="45"/>
      <c r="CSB43" s="45"/>
      <c r="CSC43" s="45"/>
      <c r="CSD43" s="45"/>
      <c r="CSE43" s="45"/>
      <c r="CSF43" s="45"/>
      <c r="CSG43" s="45"/>
      <c r="CSH43" s="45"/>
      <c r="CSI43" s="45"/>
      <c r="CSJ43" s="45"/>
      <c r="CSK43" s="45"/>
      <c r="CSL43" s="45"/>
      <c r="CSM43" s="45"/>
      <c r="CSN43" s="45"/>
      <c r="CSO43" s="45"/>
      <c r="CSP43" s="45"/>
      <c r="CSQ43" s="45"/>
      <c r="CSR43" s="45"/>
      <c r="CSS43" s="45"/>
      <c r="CST43" s="45"/>
      <c r="CSU43" s="45"/>
      <c r="CSV43" s="45"/>
      <c r="CSW43" s="45"/>
      <c r="CSX43" s="45"/>
      <c r="CSY43" s="45"/>
      <c r="CSZ43" s="45"/>
      <c r="CTA43" s="45"/>
      <c r="CTB43" s="45"/>
      <c r="CTC43" s="45"/>
      <c r="CTD43" s="45"/>
      <c r="CTE43" s="45"/>
      <c r="CTF43" s="45"/>
      <c r="CTG43" s="45"/>
      <c r="CTH43" s="45"/>
      <c r="CTI43" s="45"/>
      <c r="CTJ43" s="45"/>
      <c r="CTK43" s="45"/>
      <c r="CTL43" s="45"/>
      <c r="CTM43" s="45"/>
      <c r="CTN43" s="45"/>
      <c r="CTO43" s="45"/>
      <c r="CTP43" s="45"/>
      <c r="CTQ43" s="45"/>
      <c r="CTR43" s="45"/>
      <c r="CTS43" s="45"/>
      <c r="CTT43" s="45"/>
      <c r="CTU43" s="45"/>
      <c r="CTV43" s="45"/>
      <c r="CTW43" s="45"/>
      <c r="CTX43" s="45"/>
      <c r="CTY43" s="45"/>
      <c r="CTZ43" s="45"/>
      <c r="CUA43" s="45"/>
      <c r="CUB43" s="45"/>
      <c r="CUC43" s="45"/>
      <c r="CUD43" s="45"/>
      <c r="CUE43" s="45"/>
      <c r="CUF43" s="45"/>
      <c r="CUG43" s="45"/>
      <c r="CUH43" s="45"/>
      <c r="CUI43" s="45"/>
      <c r="CUJ43" s="45"/>
      <c r="CUK43" s="45"/>
      <c r="CUL43" s="45"/>
      <c r="CUM43" s="45"/>
      <c r="CUN43" s="45"/>
      <c r="CUO43" s="45"/>
      <c r="CUP43" s="45"/>
      <c r="CUQ43" s="45"/>
      <c r="CUR43" s="45"/>
      <c r="CUS43" s="45"/>
      <c r="CUT43" s="45"/>
      <c r="CUU43" s="45"/>
      <c r="CUV43" s="45"/>
      <c r="CUW43" s="45"/>
      <c r="CUX43" s="45"/>
      <c r="CUY43" s="45"/>
      <c r="CUZ43" s="45"/>
      <c r="CVA43" s="45"/>
      <c r="CVB43" s="45"/>
      <c r="CVC43" s="45"/>
      <c r="CVD43" s="45"/>
      <c r="CVE43" s="45"/>
      <c r="CVF43" s="45"/>
      <c r="CVG43" s="45"/>
      <c r="CVH43" s="45"/>
      <c r="CVI43" s="45"/>
      <c r="CVJ43" s="45"/>
      <c r="CVK43" s="45"/>
      <c r="CVL43" s="45"/>
      <c r="CVM43" s="45"/>
      <c r="CVN43" s="45"/>
      <c r="CVO43" s="45"/>
      <c r="CVP43" s="45"/>
      <c r="CVQ43" s="45"/>
      <c r="CVR43" s="45"/>
      <c r="CVS43" s="45"/>
      <c r="CVT43" s="45"/>
      <c r="CVU43" s="45"/>
      <c r="CVV43" s="45"/>
      <c r="CVW43" s="45"/>
      <c r="CVX43" s="45"/>
      <c r="CVY43" s="45"/>
      <c r="CVZ43" s="45"/>
      <c r="CWA43" s="45"/>
      <c r="CWB43" s="45"/>
      <c r="CWC43" s="45"/>
      <c r="CWD43" s="45"/>
      <c r="CWE43" s="45"/>
      <c r="CWF43" s="45"/>
      <c r="CWG43" s="45"/>
      <c r="CWH43" s="45"/>
      <c r="CWI43" s="45"/>
      <c r="CWJ43" s="45"/>
      <c r="CWK43" s="45"/>
      <c r="CWL43" s="45"/>
      <c r="CWM43" s="45"/>
      <c r="CWN43" s="45"/>
      <c r="CWO43" s="45"/>
      <c r="CWP43" s="45"/>
      <c r="CWQ43" s="45"/>
      <c r="CWR43" s="45"/>
      <c r="CWS43" s="45"/>
      <c r="CWT43" s="45"/>
      <c r="CWU43" s="45"/>
      <c r="CWV43" s="45"/>
      <c r="CWW43" s="45"/>
      <c r="CWX43" s="45"/>
      <c r="CWY43" s="45"/>
      <c r="CWZ43" s="45"/>
      <c r="CXA43" s="45"/>
      <c r="CXB43" s="45"/>
      <c r="CXC43" s="45"/>
      <c r="CXD43" s="45"/>
      <c r="CXE43" s="45"/>
      <c r="CXF43" s="45"/>
      <c r="CXG43" s="45"/>
      <c r="CXH43" s="45"/>
      <c r="CXI43" s="45"/>
      <c r="CXJ43" s="45"/>
      <c r="CXK43" s="45"/>
      <c r="CXL43" s="45"/>
      <c r="CXM43" s="45"/>
      <c r="CXN43" s="45"/>
      <c r="CXO43" s="45"/>
      <c r="CXP43" s="45"/>
      <c r="CXQ43" s="45"/>
      <c r="CXR43" s="45"/>
      <c r="CXS43" s="45"/>
      <c r="CXT43" s="45"/>
      <c r="CXU43" s="45"/>
      <c r="CXV43" s="45"/>
      <c r="CXW43" s="45"/>
      <c r="CXX43" s="45"/>
      <c r="CXY43" s="45"/>
      <c r="CXZ43" s="45"/>
      <c r="CYA43" s="45"/>
      <c r="CYB43" s="45"/>
      <c r="CYC43" s="45"/>
      <c r="CYD43" s="45"/>
      <c r="CYE43" s="45"/>
      <c r="CYF43" s="45"/>
      <c r="CYG43" s="45"/>
      <c r="CYH43" s="45"/>
      <c r="CYI43" s="45"/>
      <c r="CYJ43" s="45"/>
      <c r="CYK43" s="45"/>
      <c r="CYL43" s="45"/>
      <c r="CYM43" s="45"/>
      <c r="CYN43" s="45"/>
      <c r="CYO43" s="45"/>
      <c r="CYP43" s="45"/>
      <c r="CYQ43" s="45"/>
      <c r="CYR43" s="45"/>
      <c r="CYS43" s="45"/>
      <c r="CYT43" s="45"/>
      <c r="CYU43" s="45"/>
      <c r="CYV43" s="45"/>
      <c r="CYW43" s="45"/>
      <c r="CYX43" s="45"/>
      <c r="CYY43" s="45"/>
      <c r="CYZ43" s="45"/>
      <c r="CZA43" s="45"/>
      <c r="CZB43" s="45"/>
      <c r="CZC43" s="45"/>
      <c r="CZD43" s="45"/>
      <c r="CZE43" s="45"/>
      <c r="CZF43" s="45"/>
      <c r="CZG43" s="45"/>
      <c r="CZH43" s="45"/>
      <c r="CZI43" s="45"/>
      <c r="CZJ43" s="45"/>
      <c r="CZK43" s="45"/>
      <c r="CZL43" s="45"/>
      <c r="CZM43" s="45"/>
      <c r="CZN43" s="45"/>
      <c r="CZO43" s="45"/>
      <c r="CZP43" s="45"/>
      <c r="CZQ43" s="45"/>
      <c r="CZR43" s="45"/>
      <c r="CZS43" s="45"/>
      <c r="CZT43" s="45"/>
      <c r="CZU43" s="45"/>
      <c r="CZV43" s="45"/>
      <c r="CZW43" s="45"/>
      <c r="CZX43" s="45"/>
      <c r="CZY43" s="45"/>
      <c r="CZZ43" s="45"/>
      <c r="DAA43" s="45"/>
      <c r="DAB43" s="45"/>
      <c r="DAC43" s="45"/>
      <c r="DAD43" s="45"/>
      <c r="DAE43" s="45"/>
      <c r="DAF43" s="45"/>
      <c r="DAG43" s="45"/>
      <c r="DAH43" s="45"/>
      <c r="DAI43" s="45"/>
      <c r="DAJ43" s="45"/>
      <c r="DAK43" s="45"/>
      <c r="DAL43" s="45"/>
      <c r="DAM43" s="45"/>
      <c r="DAN43" s="45"/>
      <c r="DAO43" s="45"/>
      <c r="DAP43" s="45"/>
      <c r="DAQ43" s="45"/>
      <c r="DAR43" s="45"/>
      <c r="DAS43" s="45"/>
      <c r="DAT43" s="45"/>
      <c r="DAU43" s="45"/>
      <c r="DAV43" s="45"/>
      <c r="DAW43" s="45"/>
      <c r="DAX43" s="45"/>
      <c r="DAY43" s="45"/>
      <c r="DAZ43" s="45"/>
      <c r="DBA43" s="45"/>
      <c r="DBB43" s="45"/>
      <c r="DBC43" s="45"/>
      <c r="DBD43" s="45"/>
      <c r="DBE43" s="45"/>
      <c r="DBF43" s="45"/>
      <c r="DBG43" s="45"/>
      <c r="DBH43" s="45"/>
      <c r="DBI43" s="45"/>
      <c r="DBJ43" s="45"/>
      <c r="DBK43" s="45"/>
      <c r="DBL43" s="45"/>
      <c r="DBM43" s="45"/>
      <c r="DBN43" s="45"/>
      <c r="DBO43" s="45"/>
      <c r="DBP43" s="45"/>
      <c r="DBQ43" s="45"/>
      <c r="DBR43" s="45"/>
      <c r="DBS43" s="45"/>
      <c r="DBT43" s="45"/>
      <c r="DBU43" s="45"/>
      <c r="DBV43" s="45"/>
      <c r="DBW43" s="45"/>
      <c r="DBX43" s="45"/>
      <c r="DBY43" s="45"/>
      <c r="DBZ43" s="45"/>
      <c r="DCA43" s="45"/>
      <c r="DCB43" s="45"/>
      <c r="DCC43" s="45"/>
      <c r="DCD43" s="45"/>
      <c r="DCE43" s="45"/>
      <c r="DCF43" s="45"/>
      <c r="DCG43" s="45"/>
      <c r="DCH43" s="45"/>
      <c r="DCI43" s="45"/>
      <c r="DCJ43" s="45"/>
      <c r="DCK43" s="45"/>
      <c r="DCL43" s="45"/>
      <c r="DCM43" s="45"/>
      <c r="DCN43" s="45"/>
      <c r="DCO43" s="45"/>
      <c r="DCP43" s="45"/>
      <c r="DCQ43" s="45"/>
      <c r="DCR43" s="45"/>
      <c r="DCS43" s="45"/>
      <c r="DCT43" s="45"/>
      <c r="DCU43" s="45"/>
      <c r="DCV43" s="45"/>
      <c r="DCW43" s="45"/>
      <c r="DCX43" s="45"/>
      <c r="DCY43" s="45"/>
      <c r="DCZ43" s="45"/>
      <c r="DDA43" s="45"/>
      <c r="DDB43" s="45"/>
      <c r="DDC43" s="45"/>
      <c r="DDD43" s="45"/>
      <c r="DDE43" s="45"/>
      <c r="DDF43" s="45"/>
      <c r="DDG43" s="45"/>
      <c r="DDH43" s="45"/>
      <c r="DDI43" s="45"/>
      <c r="DDJ43" s="45"/>
      <c r="DDK43" s="45"/>
      <c r="DDL43" s="45"/>
      <c r="DDM43" s="45"/>
      <c r="DDN43" s="45"/>
      <c r="DDO43" s="45"/>
      <c r="DDP43" s="45"/>
      <c r="DDQ43" s="45"/>
      <c r="DDR43" s="45"/>
      <c r="DDS43" s="45"/>
      <c r="DDT43" s="45"/>
      <c r="DDU43" s="45"/>
      <c r="DDV43" s="45"/>
      <c r="DDW43" s="45"/>
      <c r="DDX43" s="45"/>
      <c r="DDY43" s="45"/>
      <c r="DDZ43" s="45"/>
      <c r="DEA43" s="45"/>
      <c r="DEB43" s="45"/>
      <c r="DEC43" s="45"/>
      <c r="DED43" s="45"/>
      <c r="DEE43" s="45"/>
      <c r="DEF43" s="45"/>
      <c r="DEG43" s="45"/>
      <c r="DEH43" s="45"/>
      <c r="DEI43" s="45"/>
      <c r="DEJ43" s="45"/>
      <c r="DEK43" s="45"/>
      <c r="DEL43" s="45"/>
      <c r="DEM43" s="45"/>
      <c r="DEN43" s="45"/>
      <c r="DEO43" s="45"/>
      <c r="DEP43" s="45"/>
      <c r="DEQ43" s="45"/>
      <c r="DER43" s="45"/>
      <c r="DES43" s="45"/>
      <c r="DET43" s="45"/>
      <c r="DEU43" s="45"/>
      <c r="DEV43" s="45"/>
      <c r="DEW43" s="45"/>
      <c r="DEX43" s="45"/>
      <c r="DEY43" s="45"/>
      <c r="DEZ43" s="45"/>
      <c r="DFA43" s="45"/>
      <c r="DFB43" s="45"/>
      <c r="DFC43" s="45"/>
      <c r="DFD43" s="45"/>
      <c r="DFE43" s="45"/>
      <c r="DFF43" s="45"/>
      <c r="DFG43" s="45"/>
      <c r="DFH43" s="45"/>
      <c r="DFI43" s="45"/>
      <c r="DFJ43" s="45"/>
      <c r="DFK43" s="45"/>
      <c r="DFL43" s="45"/>
      <c r="DFM43" s="45"/>
      <c r="DFN43" s="45"/>
      <c r="DFO43" s="45"/>
      <c r="DFP43" s="45"/>
      <c r="DFQ43" s="45"/>
      <c r="DFR43" s="45"/>
      <c r="DFS43" s="45"/>
      <c r="DFT43" s="45"/>
      <c r="DFU43" s="45"/>
      <c r="DFV43" s="45"/>
      <c r="DFW43" s="45"/>
      <c r="DFX43" s="45"/>
      <c r="DFY43" s="45"/>
      <c r="DFZ43" s="45"/>
      <c r="DGA43" s="45"/>
      <c r="DGB43" s="45"/>
      <c r="DGC43" s="45"/>
      <c r="DGD43" s="45"/>
      <c r="DGE43" s="45"/>
      <c r="DGF43" s="45"/>
      <c r="DGG43" s="45"/>
      <c r="DGH43" s="45"/>
      <c r="DGI43" s="45"/>
      <c r="DGJ43" s="45"/>
      <c r="DGK43" s="45"/>
      <c r="DGL43" s="45"/>
      <c r="DGM43" s="45"/>
      <c r="DGN43" s="45"/>
      <c r="DGO43" s="45"/>
      <c r="DGP43" s="45"/>
      <c r="DGQ43" s="45"/>
      <c r="DGR43" s="45"/>
      <c r="DGS43" s="45"/>
      <c r="DGT43" s="45"/>
      <c r="DGU43" s="45"/>
      <c r="DGV43" s="45"/>
      <c r="DGW43" s="45"/>
      <c r="DGX43" s="45"/>
      <c r="DGY43" s="45"/>
      <c r="DGZ43" s="45"/>
      <c r="DHA43" s="45"/>
      <c r="DHB43" s="45"/>
      <c r="DHC43" s="45"/>
      <c r="DHD43" s="45"/>
      <c r="DHE43" s="45"/>
      <c r="DHF43" s="45"/>
      <c r="DHG43" s="45"/>
      <c r="DHH43" s="45"/>
      <c r="DHI43" s="45"/>
      <c r="DHJ43" s="45"/>
      <c r="DHK43" s="45"/>
      <c r="DHL43" s="45"/>
      <c r="DHM43" s="45"/>
      <c r="DHN43" s="45"/>
      <c r="DHO43" s="45"/>
      <c r="DHP43" s="45"/>
      <c r="DHQ43" s="45"/>
      <c r="DHR43" s="45"/>
      <c r="DHS43" s="45"/>
      <c r="DHT43" s="45"/>
      <c r="DHU43" s="45"/>
      <c r="DHV43" s="45"/>
      <c r="DHW43" s="45"/>
      <c r="DHX43" s="45"/>
      <c r="DHY43" s="45"/>
      <c r="DHZ43" s="45"/>
      <c r="DIA43" s="45"/>
      <c r="DIB43" s="45"/>
      <c r="DIC43" s="45"/>
      <c r="DID43" s="45"/>
      <c r="DIE43" s="45"/>
      <c r="DIF43" s="45"/>
      <c r="DIG43" s="45"/>
      <c r="DIH43" s="45"/>
      <c r="DII43" s="45"/>
      <c r="DIJ43" s="45"/>
      <c r="DIK43" s="45"/>
      <c r="DIL43" s="45"/>
      <c r="DIM43" s="45"/>
      <c r="DIN43" s="45"/>
      <c r="DIO43" s="45"/>
      <c r="DIP43" s="45"/>
      <c r="DIQ43" s="45"/>
      <c r="DIR43" s="45"/>
      <c r="DIS43" s="45"/>
      <c r="DIT43" s="45"/>
      <c r="DIU43" s="45"/>
      <c r="DIV43" s="45"/>
      <c r="DIW43" s="45"/>
      <c r="DIX43" s="45"/>
      <c r="DIY43" s="45"/>
      <c r="DIZ43" s="45"/>
      <c r="DJA43" s="45"/>
      <c r="DJB43" s="45"/>
      <c r="DJC43" s="45"/>
      <c r="DJD43" s="45"/>
      <c r="DJE43" s="45"/>
      <c r="DJF43" s="45"/>
      <c r="DJG43" s="45"/>
      <c r="DJH43" s="45"/>
      <c r="DJI43" s="45"/>
      <c r="DJJ43" s="45"/>
      <c r="DJK43" s="45"/>
      <c r="DJL43" s="45"/>
      <c r="DJM43" s="45"/>
      <c r="DJN43" s="45"/>
      <c r="DJO43" s="45"/>
      <c r="DJP43" s="45"/>
      <c r="DJQ43" s="45"/>
      <c r="DJR43" s="45"/>
      <c r="DJS43" s="45"/>
      <c r="DJT43" s="45"/>
      <c r="DJU43" s="45"/>
      <c r="DJV43" s="45"/>
      <c r="DJW43" s="45"/>
      <c r="DJX43" s="45"/>
      <c r="DJY43" s="45"/>
      <c r="DJZ43" s="45"/>
      <c r="DKA43" s="45"/>
      <c r="DKB43" s="45"/>
      <c r="DKC43" s="45"/>
      <c r="DKD43" s="45"/>
      <c r="DKE43" s="45"/>
      <c r="DKF43" s="45"/>
      <c r="DKG43" s="45"/>
      <c r="DKH43" s="45"/>
      <c r="DKI43" s="45"/>
      <c r="DKJ43" s="45"/>
      <c r="DKK43" s="45"/>
      <c r="DKL43" s="45"/>
      <c r="DKM43" s="45"/>
      <c r="DKN43" s="45"/>
      <c r="DKO43" s="45"/>
      <c r="DKP43" s="45"/>
      <c r="DKQ43" s="45"/>
      <c r="DKR43" s="45"/>
      <c r="DKS43" s="45"/>
      <c r="DKT43" s="45"/>
      <c r="DKU43" s="45"/>
      <c r="DKV43" s="45"/>
      <c r="DKW43" s="45"/>
      <c r="DKX43" s="45"/>
      <c r="DKY43" s="45"/>
      <c r="DKZ43" s="45"/>
      <c r="DLA43" s="45"/>
      <c r="DLB43" s="45"/>
      <c r="DLC43" s="45"/>
      <c r="DLD43" s="45"/>
      <c r="DLE43" s="45"/>
      <c r="DLF43" s="45"/>
      <c r="DLG43" s="45"/>
      <c r="DLH43" s="45"/>
      <c r="DLI43" s="45"/>
      <c r="DLJ43" s="45"/>
      <c r="DLK43" s="45"/>
      <c r="DLL43" s="45"/>
      <c r="DLM43" s="45"/>
      <c r="DLN43" s="45"/>
      <c r="DLO43" s="45"/>
      <c r="DLP43" s="45"/>
      <c r="DLQ43" s="45"/>
      <c r="DLR43" s="45"/>
      <c r="DLS43" s="45"/>
      <c r="DLT43" s="45"/>
      <c r="DLU43" s="45"/>
      <c r="DLV43" s="45"/>
      <c r="DLW43" s="45"/>
      <c r="DLX43" s="45"/>
      <c r="DLY43" s="45"/>
      <c r="DLZ43" s="45"/>
      <c r="DMA43" s="45"/>
      <c r="DMB43" s="45"/>
      <c r="DMC43" s="45"/>
      <c r="DMD43" s="45"/>
      <c r="DME43" s="45"/>
      <c r="DMF43" s="45"/>
      <c r="DMG43" s="45"/>
      <c r="DMH43" s="45"/>
      <c r="DMI43" s="45"/>
      <c r="DMJ43" s="45"/>
      <c r="DMK43" s="45"/>
      <c r="DML43" s="45"/>
      <c r="DMM43" s="45"/>
      <c r="DMN43" s="45"/>
      <c r="DMO43" s="45"/>
      <c r="DMP43" s="45"/>
      <c r="DMQ43" s="45"/>
      <c r="DMR43" s="45"/>
      <c r="DMS43" s="45"/>
      <c r="DMT43" s="45"/>
      <c r="DMU43" s="45"/>
      <c r="DMV43" s="45"/>
      <c r="DMW43" s="45"/>
      <c r="DMX43" s="45"/>
      <c r="DMY43" s="45"/>
      <c r="DMZ43" s="45"/>
      <c r="DNA43" s="45"/>
      <c r="DNB43" s="45"/>
      <c r="DNC43" s="45"/>
      <c r="DND43" s="45"/>
      <c r="DNE43" s="45"/>
      <c r="DNF43" s="45"/>
      <c r="DNG43" s="45"/>
      <c r="DNH43" s="45"/>
      <c r="DNI43" s="45"/>
      <c r="DNJ43" s="45"/>
      <c r="DNK43" s="45"/>
      <c r="DNL43" s="45"/>
      <c r="DNM43" s="45"/>
      <c r="DNN43" s="45"/>
      <c r="DNO43" s="45"/>
      <c r="DNP43" s="45"/>
      <c r="DNQ43" s="45"/>
      <c r="DNR43" s="45"/>
      <c r="DNS43" s="45"/>
      <c r="DNT43" s="45"/>
      <c r="DNU43" s="45"/>
      <c r="DNV43" s="45"/>
      <c r="DNW43" s="45"/>
      <c r="DNX43" s="45"/>
      <c r="DNY43" s="45"/>
      <c r="DNZ43" s="45"/>
      <c r="DOA43" s="45"/>
      <c r="DOB43" s="45"/>
      <c r="DOC43" s="45"/>
      <c r="DOD43" s="45"/>
      <c r="DOE43" s="45"/>
      <c r="DOF43" s="45"/>
      <c r="DOG43" s="45"/>
      <c r="DOH43" s="45"/>
      <c r="DOI43" s="45"/>
      <c r="DOJ43" s="45"/>
      <c r="DOK43" s="45"/>
      <c r="DOL43" s="45"/>
      <c r="DOM43" s="45"/>
      <c r="DON43" s="45"/>
      <c r="DOO43" s="45"/>
      <c r="DOP43" s="45"/>
      <c r="DOQ43" s="45"/>
      <c r="DOR43" s="45"/>
      <c r="DOS43" s="45"/>
      <c r="DOT43" s="45"/>
      <c r="DOU43" s="45"/>
      <c r="DOV43" s="45"/>
      <c r="DOW43" s="45"/>
      <c r="DOX43" s="45"/>
      <c r="DOY43" s="45"/>
      <c r="DOZ43" s="45"/>
      <c r="DPA43" s="45"/>
      <c r="DPB43" s="45"/>
      <c r="DPC43" s="45"/>
      <c r="DPD43" s="45"/>
      <c r="DPE43" s="45"/>
      <c r="DPF43" s="45"/>
      <c r="DPG43" s="45"/>
      <c r="DPH43" s="45"/>
      <c r="DPI43" s="45"/>
      <c r="DPJ43" s="45"/>
      <c r="DPK43" s="45"/>
      <c r="DPL43" s="45"/>
      <c r="DPM43" s="45"/>
      <c r="DPN43" s="45"/>
      <c r="DPO43" s="45"/>
      <c r="DPP43" s="45"/>
      <c r="DPQ43" s="45"/>
      <c r="DPR43" s="45"/>
      <c r="DPS43" s="45"/>
      <c r="DPT43" s="45"/>
      <c r="DPU43" s="45"/>
      <c r="DPV43" s="45"/>
      <c r="DPW43" s="45"/>
      <c r="DPX43" s="45"/>
      <c r="DPY43" s="45"/>
      <c r="DPZ43" s="45"/>
      <c r="DQA43" s="45"/>
      <c r="DQB43" s="45"/>
      <c r="DQC43" s="45"/>
      <c r="DQD43" s="45"/>
      <c r="DQE43" s="45"/>
      <c r="DQF43" s="45"/>
      <c r="DQG43" s="45"/>
      <c r="DQH43" s="45"/>
      <c r="DQI43" s="45"/>
      <c r="DQJ43" s="45"/>
      <c r="DQK43" s="45"/>
      <c r="DQL43" s="45"/>
      <c r="DQM43" s="45"/>
      <c r="DQN43" s="45"/>
      <c r="DQO43" s="45"/>
      <c r="DQP43" s="45"/>
      <c r="DQQ43" s="45"/>
      <c r="DQR43" s="45"/>
      <c r="DQS43" s="45"/>
      <c r="DQT43" s="45"/>
      <c r="DQU43" s="45"/>
      <c r="DQV43" s="45"/>
      <c r="DQW43" s="45"/>
      <c r="DQX43" s="45"/>
      <c r="DQY43" s="45"/>
      <c r="DQZ43" s="45"/>
      <c r="DRA43" s="45"/>
      <c r="DRB43" s="45"/>
      <c r="DRC43" s="45"/>
      <c r="DRD43" s="45"/>
      <c r="DRE43" s="45"/>
      <c r="DRF43" s="45"/>
      <c r="DRG43" s="45"/>
      <c r="DRH43" s="45"/>
      <c r="DRI43" s="45"/>
      <c r="DRJ43" s="45"/>
      <c r="DRK43" s="45"/>
      <c r="DRL43" s="45"/>
      <c r="DRM43" s="45"/>
      <c r="DRN43" s="45"/>
      <c r="DRO43" s="45"/>
      <c r="DRP43" s="45"/>
      <c r="DRQ43" s="45"/>
      <c r="DRR43" s="45"/>
      <c r="DRS43" s="45"/>
      <c r="DRT43" s="45"/>
      <c r="DRU43" s="45"/>
      <c r="DRV43" s="45"/>
      <c r="DRW43" s="45"/>
      <c r="DRX43" s="45"/>
      <c r="DRY43" s="45"/>
      <c r="DRZ43" s="45"/>
      <c r="DSA43" s="45"/>
      <c r="DSB43" s="45"/>
      <c r="DSC43" s="45"/>
      <c r="DSD43" s="45"/>
      <c r="DSE43" s="45"/>
      <c r="DSF43" s="45"/>
      <c r="DSG43" s="45"/>
      <c r="DSH43" s="45"/>
      <c r="DSI43" s="45"/>
      <c r="DSJ43" s="45"/>
      <c r="DSK43" s="45"/>
      <c r="DSL43" s="45"/>
      <c r="DSM43" s="45"/>
      <c r="DSN43" s="45"/>
      <c r="DSO43" s="45"/>
      <c r="DSP43" s="45"/>
      <c r="DSQ43" s="45"/>
      <c r="DSR43" s="45"/>
      <c r="DSS43" s="45"/>
      <c r="DST43" s="45"/>
      <c r="DSU43" s="45"/>
      <c r="DSV43" s="45"/>
      <c r="DSW43" s="45"/>
      <c r="DSX43" s="45"/>
      <c r="DSY43" s="45"/>
      <c r="DSZ43" s="45"/>
      <c r="DTA43" s="45"/>
      <c r="DTB43" s="45"/>
      <c r="DTC43" s="45"/>
      <c r="DTD43" s="45"/>
      <c r="DTE43" s="45"/>
      <c r="DTF43" s="45"/>
      <c r="DTG43" s="45"/>
      <c r="DTH43" s="45"/>
      <c r="DTI43" s="45"/>
      <c r="DTJ43" s="45"/>
      <c r="DTK43" s="45"/>
      <c r="DTL43" s="45"/>
      <c r="DTM43" s="45"/>
      <c r="DTN43" s="45"/>
      <c r="DTO43" s="45"/>
      <c r="DTP43" s="45"/>
      <c r="DTQ43" s="45"/>
      <c r="DTR43" s="45"/>
      <c r="DTS43" s="45"/>
      <c r="DTT43" s="45"/>
      <c r="DTU43" s="45"/>
      <c r="DTV43" s="45"/>
      <c r="DTW43" s="45"/>
      <c r="DTX43" s="45"/>
      <c r="DTY43" s="45"/>
      <c r="DTZ43" s="45"/>
      <c r="DUA43" s="45"/>
      <c r="DUB43" s="45"/>
      <c r="DUC43" s="45"/>
      <c r="DUD43" s="45"/>
      <c r="DUE43" s="45"/>
      <c r="DUF43" s="45"/>
      <c r="DUG43" s="45"/>
      <c r="DUH43" s="45"/>
      <c r="DUI43" s="45"/>
      <c r="DUJ43" s="45"/>
      <c r="DUK43" s="45"/>
      <c r="DUL43" s="45"/>
      <c r="DUM43" s="45"/>
      <c r="DUN43" s="45"/>
      <c r="DUO43" s="45"/>
      <c r="DUP43" s="45"/>
      <c r="DUQ43" s="45"/>
      <c r="DUR43" s="45"/>
      <c r="DUS43" s="45"/>
      <c r="DUT43" s="45"/>
      <c r="DUU43" s="45"/>
      <c r="DUV43" s="45"/>
      <c r="DUW43" s="45"/>
      <c r="DUX43" s="45"/>
      <c r="DUY43" s="45"/>
      <c r="DUZ43" s="45"/>
      <c r="DVA43" s="45"/>
      <c r="DVB43" s="45"/>
      <c r="DVC43" s="45"/>
      <c r="DVD43" s="45"/>
      <c r="DVE43" s="45"/>
      <c r="DVF43" s="45"/>
      <c r="DVG43" s="45"/>
      <c r="DVH43" s="45"/>
      <c r="DVI43" s="45"/>
      <c r="DVJ43" s="45"/>
      <c r="DVK43" s="45"/>
      <c r="DVL43" s="45"/>
      <c r="DVM43" s="45"/>
      <c r="DVN43" s="45"/>
      <c r="DVO43" s="45"/>
      <c r="DVP43" s="45"/>
      <c r="DVQ43" s="45"/>
      <c r="DVR43" s="45"/>
      <c r="DVS43" s="45"/>
      <c r="DVT43" s="45"/>
      <c r="DVU43" s="45"/>
      <c r="DVV43" s="45"/>
      <c r="DVW43" s="45"/>
      <c r="DVX43" s="45"/>
      <c r="DVY43" s="45"/>
      <c r="DVZ43" s="45"/>
      <c r="DWA43" s="45"/>
      <c r="DWB43" s="45"/>
      <c r="DWC43" s="45"/>
      <c r="DWD43" s="45"/>
      <c r="DWE43" s="45"/>
      <c r="DWF43" s="45"/>
      <c r="DWG43" s="45"/>
      <c r="DWH43" s="45"/>
      <c r="DWI43" s="45"/>
      <c r="DWJ43" s="45"/>
      <c r="DWK43" s="45"/>
      <c r="DWL43" s="45"/>
      <c r="DWM43" s="45"/>
      <c r="DWN43" s="45"/>
      <c r="DWO43" s="45"/>
      <c r="DWP43" s="45"/>
      <c r="DWQ43" s="45"/>
      <c r="DWR43" s="45"/>
      <c r="DWS43" s="45"/>
      <c r="DWT43" s="45"/>
      <c r="DWU43" s="45"/>
      <c r="DWV43" s="45"/>
      <c r="DWW43" s="45"/>
      <c r="DWX43" s="45"/>
      <c r="DWY43" s="45"/>
      <c r="DWZ43" s="45"/>
      <c r="DXA43" s="45"/>
      <c r="DXB43" s="45"/>
      <c r="DXC43" s="45"/>
      <c r="DXD43" s="45"/>
      <c r="DXE43" s="45"/>
      <c r="DXF43" s="45"/>
      <c r="DXG43" s="45"/>
      <c r="DXH43" s="45"/>
      <c r="DXI43" s="45"/>
      <c r="DXJ43" s="45"/>
      <c r="DXK43" s="45"/>
      <c r="DXL43" s="45"/>
      <c r="DXM43" s="45"/>
      <c r="DXN43" s="45"/>
      <c r="DXO43" s="45"/>
      <c r="DXP43" s="45"/>
      <c r="DXQ43" s="45"/>
      <c r="DXR43" s="45"/>
      <c r="DXS43" s="45"/>
      <c r="DXT43" s="45"/>
      <c r="DXU43" s="45"/>
      <c r="DXV43" s="45"/>
      <c r="DXW43" s="45"/>
      <c r="DXX43" s="45"/>
      <c r="DXY43" s="45"/>
      <c r="DXZ43" s="45"/>
      <c r="DYA43" s="45"/>
      <c r="DYB43" s="45"/>
      <c r="DYC43" s="45"/>
      <c r="DYD43" s="45"/>
      <c r="DYE43" s="45"/>
      <c r="DYF43" s="45"/>
      <c r="DYG43" s="45"/>
      <c r="DYH43" s="45"/>
      <c r="DYI43" s="45"/>
      <c r="DYJ43" s="45"/>
      <c r="DYK43" s="45"/>
      <c r="DYL43" s="45"/>
      <c r="DYM43" s="45"/>
      <c r="DYN43" s="45"/>
      <c r="DYO43" s="45"/>
      <c r="DYP43" s="45"/>
      <c r="DYQ43" s="45"/>
      <c r="DYR43" s="45"/>
      <c r="DYS43" s="45"/>
      <c r="DYT43" s="45"/>
      <c r="DYU43" s="45"/>
      <c r="DYV43" s="45"/>
      <c r="DYW43" s="45"/>
      <c r="DYX43" s="45"/>
      <c r="DYY43" s="45"/>
      <c r="DYZ43" s="45"/>
      <c r="DZA43" s="45"/>
      <c r="DZB43" s="45"/>
      <c r="DZC43" s="45"/>
      <c r="DZD43" s="45"/>
      <c r="DZE43" s="45"/>
      <c r="DZF43" s="45"/>
      <c r="DZG43" s="45"/>
      <c r="DZH43" s="45"/>
      <c r="DZI43" s="45"/>
      <c r="DZJ43" s="45"/>
      <c r="DZK43" s="45"/>
      <c r="DZL43" s="45"/>
      <c r="DZM43" s="45"/>
      <c r="DZN43" s="45"/>
      <c r="DZO43" s="45"/>
      <c r="DZP43" s="45"/>
      <c r="DZQ43" s="45"/>
      <c r="DZR43" s="45"/>
      <c r="DZS43" s="45"/>
      <c r="DZT43" s="45"/>
      <c r="DZU43" s="45"/>
      <c r="DZV43" s="45"/>
      <c r="DZW43" s="45"/>
      <c r="DZX43" s="45"/>
      <c r="DZY43" s="45"/>
      <c r="DZZ43" s="45"/>
      <c r="EAA43" s="45"/>
      <c r="EAB43" s="45"/>
      <c r="EAC43" s="45"/>
      <c r="EAD43" s="45"/>
      <c r="EAE43" s="45"/>
      <c r="EAF43" s="45"/>
      <c r="EAG43" s="45"/>
      <c r="EAH43" s="45"/>
      <c r="EAI43" s="45"/>
      <c r="EAJ43" s="45"/>
      <c r="EAK43" s="45"/>
      <c r="EAL43" s="45"/>
      <c r="EAM43" s="45"/>
      <c r="EAN43" s="45"/>
      <c r="EAO43" s="45"/>
      <c r="EAP43" s="45"/>
      <c r="EAQ43" s="45"/>
      <c r="EAR43" s="45"/>
      <c r="EAS43" s="45"/>
      <c r="EAT43" s="45"/>
      <c r="EAU43" s="45"/>
      <c r="EAV43" s="45"/>
      <c r="EAW43" s="45"/>
      <c r="EAX43" s="45"/>
      <c r="EAY43" s="45"/>
      <c r="EAZ43" s="45"/>
      <c r="EBA43" s="45"/>
      <c r="EBB43" s="45"/>
      <c r="EBC43" s="45"/>
      <c r="EBD43" s="45"/>
      <c r="EBE43" s="45"/>
      <c r="EBF43" s="45"/>
      <c r="EBG43" s="45"/>
      <c r="EBH43" s="45"/>
      <c r="EBI43" s="45"/>
      <c r="EBJ43" s="45"/>
      <c r="EBK43" s="45"/>
      <c r="EBL43" s="45"/>
      <c r="EBM43" s="45"/>
      <c r="EBN43" s="45"/>
      <c r="EBO43" s="45"/>
      <c r="EBP43" s="45"/>
      <c r="EBQ43" s="45"/>
      <c r="EBR43" s="45"/>
      <c r="EBS43" s="45"/>
      <c r="EBT43" s="45"/>
      <c r="EBU43" s="45"/>
      <c r="EBV43" s="45"/>
      <c r="EBW43" s="45"/>
      <c r="EBX43" s="45"/>
      <c r="EBY43" s="45"/>
      <c r="EBZ43" s="45"/>
      <c r="ECA43" s="45"/>
      <c r="ECB43" s="45"/>
      <c r="ECC43" s="45"/>
      <c r="ECD43" s="45"/>
      <c r="ECE43" s="45"/>
      <c r="ECF43" s="45"/>
      <c r="ECG43" s="45"/>
      <c r="ECH43" s="45"/>
      <c r="ECI43" s="45"/>
      <c r="ECJ43" s="45"/>
      <c r="ECK43" s="45"/>
      <c r="ECL43" s="45"/>
      <c r="ECM43" s="45"/>
      <c r="ECN43" s="45"/>
      <c r="ECO43" s="45"/>
      <c r="ECP43" s="45"/>
      <c r="ECQ43" s="45"/>
      <c r="ECR43" s="45"/>
      <c r="ECS43" s="45"/>
      <c r="ECT43" s="45"/>
      <c r="ECU43" s="45"/>
      <c r="ECV43" s="45"/>
      <c r="ECW43" s="45"/>
      <c r="ECX43" s="45"/>
      <c r="ECY43" s="45"/>
      <c r="ECZ43" s="45"/>
      <c r="EDA43" s="45"/>
      <c r="EDB43" s="45"/>
      <c r="EDC43" s="45"/>
      <c r="EDD43" s="45"/>
      <c r="EDE43" s="45"/>
      <c r="EDF43" s="45"/>
      <c r="EDG43" s="45"/>
      <c r="EDH43" s="45"/>
      <c r="EDI43" s="45"/>
      <c r="EDJ43" s="45"/>
      <c r="EDK43" s="45"/>
      <c r="EDL43" s="45"/>
      <c r="EDM43" s="45"/>
      <c r="EDN43" s="45"/>
      <c r="EDO43" s="45"/>
      <c r="EDP43" s="45"/>
      <c r="EDQ43" s="45"/>
      <c r="EDR43" s="45"/>
      <c r="EDS43" s="45"/>
      <c r="EDT43" s="45"/>
      <c r="EDU43" s="45"/>
      <c r="EDV43" s="45"/>
      <c r="EDW43" s="45"/>
      <c r="EDX43" s="45"/>
      <c r="EDY43" s="45"/>
      <c r="EDZ43" s="45"/>
      <c r="EEA43" s="45"/>
      <c r="EEB43" s="45"/>
      <c r="EEC43" s="45"/>
      <c r="EED43" s="45"/>
      <c r="EEE43" s="45"/>
      <c r="EEF43" s="45"/>
      <c r="EEG43" s="45"/>
      <c r="EEH43" s="45"/>
      <c r="EEI43" s="45"/>
      <c r="EEJ43" s="45"/>
      <c r="EEK43" s="45"/>
      <c r="EEL43" s="45"/>
      <c r="EEM43" s="45"/>
      <c r="EEN43" s="45"/>
      <c r="EEO43" s="45"/>
      <c r="EEP43" s="45"/>
      <c r="EEQ43" s="45"/>
      <c r="EER43" s="45"/>
      <c r="EES43" s="45"/>
      <c r="EET43" s="45"/>
      <c r="EEU43" s="45"/>
      <c r="EEV43" s="45"/>
      <c r="EEW43" s="45"/>
      <c r="EEX43" s="45"/>
      <c r="EEY43" s="45"/>
      <c r="EEZ43" s="45"/>
      <c r="EFA43" s="45"/>
      <c r="EFB43" s="45"/>
      <c r="EFC43" s="45"/>
      <c r="EFD43" s="45"/>
      <c r="EFE43" s="45"/>
      <c r="EFF43" s="45"/>
      <c r="EFG43" s="45"/>
      <c r="EFH43" s="45"/>
      <c r="EFI43" s="45"/>
      <c r="EFJ43" s="45"/>
      <c r="EFK43" s="45"/>
      <c r="EFL43" s="45"/>
      <c r="EFM43" s="45"/>
      <c r="EFN43" s="45"/>
      <c r="EFO43" s="45"/>
      <c r="EFP43" s="45"/>
      <c r="EFQ43" s="45"/>
      <c r="EFR43" s="45"/>
      <c r="EFS43" s="45"/>
      <c r="EFT43" s="45"/>
      <c r="EFU43" s="45"/>
      <c r="EFV43" s="45"/>
      <c r="EFW43" s="45"/>
      <c r="EFX43" s="45"/>
      <c r="EFY43" s="45"/>
      <c r="EFZ43" s="45"/>
      <c r="EGA43" s="45"/>
      <c r="EGB43" s="45"/>
      <c r="EGC43" s="45"/>
      <c r="EGD43" s="45"/>
      <c r="EGE43" s="45"/>
      <c r="EGF43" s="45"/>
      <c r="EGG43" s="45"/>
      <c r="EGH43" s="45"/>
      <c r="EGI43" s="45"/>
      <c r="EGJ43" s="45"/>
      <c r="EGK43" s="45"/>
      <c r="EGL43" s="45"/>
      <c r="EGM43" s="45"/>
      <c r="EGN43" s="45"/>
      <c r="EGO43" s="45"/>
      <c r="EGP43" s="45"/>
      <c r="EGQ43" s="45"/>
      <c r="EGR43" s="45"/>
      <c r="EGS43" s="45"/>
      <c r="EGT43" s="45"/>
      <c r="EGU43" s="45"/>
      <c r="EGV43" s="45"/>
      <c r="EGW43" s="45"/>
      <c r="EGX43" s="45"/>
      <c r="EGY43" s="45"/>
      <c r="EGZ43" s="45"/>
      <c r="EHA43" s="45"/>
      <c r="EHB43" s="45"/>
      <c r="EHC43" s="45"/>
      <c r="EHD43" s="45"/>
      <c r="EHE43" s="45"/>
      <c r="EHF43" s="45"/>
      <c r="EHG43" s="45"/>
      <c r="EHH43" s="45"/>
      <c r="EHI43" s="45"/>
      <c r="EHJ43" s="45"/>
      <c r="EHK43" s="45"/>
      <c r="EHL43" s="45"/>
      <c r="EHM43" s="45"/>
      <c r="EHN43" s="45"/>
      <c r="EHO43" s="45"/>
      <c r="EHP43" s="45"/>
      <c r="EHQ43" s="45"/>
      <c r="EHR43" s="45"/>
      <c r="EHS43" s="45"/>
      <c r="EHT43" s="45"/>
      <c r="EHU43" s="45"/>
      <c r="EHV43" s="45"/>
      <c r="EHW43" s="45"/>
      <c r="EHX43" s="45"/>
      <c r="EHY43" s="45"/>
      <c r="EHZ43" s="45"/>
      <c r="EIA43" s="45"/>
      <c r="EIB43" s="45"/>
      <c r="EIC43" s="45"/>
      <c r="EID43" s="45"/>
      <c r="EIE43" s="45"/>
      <c r="EIF43" s="45"/>
      <c r="EIG43" s="45"/>
      <c r="EIH43" s="45"/>
      <c r="EII43" s="45"/>
      <c r="EIJ43" s="45"/>
      <c r="EIK43" s="45"/>
      <c r="EIL43" s="45"/>
      <c r="EIM43" s="45"/>
      <c r="EIN43" s="45"/>
      <c r="EIO43" s="45"/>
      <c r="EIP43" s="45"/>
      <c r="EIQ43" s="45"/>
      <c r="EIR43" s="45"/>
      <c r="EIS43" s="45"/>
      <c r="EIT43" s="45"/>
      <c r="EIU43" s="45"/>
      <c r="EIV43" s="45"/>
      <c r="EIW43" s="45"/>
      <c r="EIX43" s="45"/>
      <c r="EIY43" s="45"/>
      <c r="EIZ43" s="45"/>
      <c r="EJA43" s="45"/>
      <c r="EJB43" s="45"/>
      <c r="EJC43" s="45"/>
      <c r="EJD43" s="45"/>
      <c r="EJE43" s="45"/>
      <c r="EJF43" s="45"/>
      <c r="EJG43" s="45"/>
      <c r="EJH43" s="45"/>
      <c r="EJI43" s="45"/>
      <c r="EJJ43" s="45"/>
      <c r="EJK43" s="45"/>
      <c r="EJL43" s="45"/>
      <c r="EJM43" s="45"/>
      <c r="EJN43" s="45"/>
      <c r="EJO43" s="45"/>
      <c r="EJP43" s="45"/>
      <c r="EJQ43" s="45"/>
      <c r="EJR43" s="45"/>
      <c r="EJS43" s="45"/>
      <c r="EJT43" s="45"/>
      <c r="EJU43" s="45"/>
      <c r="EJV43" s="45"/>
      <c r="EJW43" s="45"/>
      <c r="EJX43" s="45"/>
      <c r="EJY43" s="45"/>
      <c r="EJZ43" s="45"/>
      <c r="EKA43" s="45"/>
      <c r="EKB43" s="45"/>
      <c r="EKC43" s="45"/>
      <c r="EKD43" s="45"/>
      <c r="EKE43" s="45"/>
      <c r="EKF43" s="45"/>
      <c r="EKG43" s="45"/>
      <c r="EKH43" s="45"/>
      <c r="EKI43" s="45"/>
      <c r="EKJ43" s="45"/>
      <c r="EKK43" s="45"/>
      <c r="EKL43" s="45"/>
      <c r="EKM43" s="45"/>
      <c r="EKN43" s="45"/>
      <c r="EKO43" s="45"/>
      <c r="EKP43" s="45"/>
      <c r="EKQ43" s="45"/>
      <c r="EKR43" s="45"/>
      <c r="EKS43" s="45"/>
      <c r="EKT43" s="45"/>
      <c r="EKU43" s="45"/>
      <c r="EKV43" s="45"/>
      <c r="EKW43" s="45"/>
      <c r="EKX43" s="45"/>
      <c r="EKY43" s="45"/>
      <c r="EKZ43" s="45"/>
      <c r="ELA43" s="45"/>
      <c r="ELB43" s="45"/>
      <c r="ELC43" s="45"/>
      <c r="ELD43" s="45"/>
      <c r="ELE43" s="45"/>
      <c r="ELF43" s="45"/>
      <c r="ELG43" s="45"/>
      <c r="ELH43" s="45"/>
      <c r="ELI43" s="45"/>
      <c r="ELJ43" s="45"/>
      <c r="ELK43" s="45"/>
      <c r="ELL43" s="45"/>
      <c r="ELM43" s="45"/>
      <c r="ELN43" s="45"/>
      <c r="ELO43" s="45"/>
      <c r="ELP43" s="45"/>
      <c r="ELQ43" s="45"/>
      <c r="ELR43" s="45"/>
      <c r="ELS43" s="45"/>
      <c r="ELT43" s="45"/>
      <c r="ELU43" s="45"/>
      <c r="ELV43" s="45"/>
      <c r="ELW43" s="45"/>
      <c r="ELX43" s="45"/>
      <c r="ELY43" s="45"/>
      <c r="ELZ43" s="45"/>
      <c r="EMA43" s="45"/>
      <c r="EMB43" s="45"/>
      <c r="EMC43" s="45"/>
      <c r="EMD43" s="45"/>
      <c r="EME43" s="45"/>
      <c r="EMF43" s="45"/>
      <c r="EMG43" s="45"/>
      <c r="EMH43" s="45"/>
      <c r="EMI43" s="45"/>
      <c r="EMJ43" s="45"/>
      <c r="EMK43" s="45"/>
      <c r="EML43" s="45"/>
      <c r="EMM43" s="45"/>
      <c r="EMN43" s="45"/>
      <c r="EMO43" s="45"/>
      <c r="EMP43" s="45"/>
      <c r="EMQ43" s="45"/>
      <c r="EMR43" s="45"/>
      <c r="EMS43" s="45"/>
      <c r="EMT43" s="45"/>
      <c r="EMU43" s="45"/>
      <c r="EMV43" s="45"/>
      <c r="EMW43" s="45"/>
      <c r="EMX43" s="45"/>
      <c r="EMY43" s="45"/>
      <c r="EMZ43" s="45"/>
      <c r="ENA43" s="45"/>
      <c r="ENB43" s="45"/>
      <c r="ENC43" s="45"/>
      <c r="END43" s="45"/>
      <c r="ENE43" s="45"/>
      <c r="ENF43" s="45"/>
      <c r="ENG43" s="45"/>
      <c r="ENH43" s="45"/>
      <c r="ENI43" s="45"/>
      <c r="ENJ43" s="45"/>
      <c r="ENK43" s="45"/>
      <c r="ENL43" s="45"/>
      <c r="ENM43" s="45"/>
      <c r="ENN43" s="45"/>
      <c r="ENO43" s="45"/>
      <c r="ENP43" s="45"/>
      <c r="ENQ43" s="45"/>
      <c r="ENR43" s="45"/>
      <c r="ENS43" s="45"/>
      <c r="ENT43" s="45"/>
      <c r="ENU43" s="45"/>
      <c r="ENV43" s="45"/>
      <c r="ENW43" s="45"/>
      <c r="ENX43" s="45"/>
      <c r="ENY43" s="45"/>
      <c r="ENZ43" s="45"/>
      <c r="EOA43" s="45"/>
      <c r="EOB43" s="45"/>
      <c r="EOC43" s="45"/>
      <c r="EOD43" s="45"/>
      <c r="EOE43" s="45"/>
      <c r="EOF43" s="45"/>
      <c r="EOG43" s="45"/>
      <c r="EOH43" s="45"/>
      <c r="EOI43" s="45"/>
      <c r="EOJ43" s="45"/>
      <c r="EOK43" s="45"/>
      <c r="EOL43" s="45"/>
      <c r="EOM43" s="45"/>
      <c r="EON43" s="45"/>
      <c r="EOO43" s="45"/>
      <c r="EOP43" s="45"/>
      <c r="EOQ43" s="45"/>
      <c r="EOR43" s="45"/>
      <c r="EOS43" s="45"/>
      <c r="EOT43" s="45"/>
      <c r="EOU43" s="45"/>
      <c r="EOV43" s="45"/>
      <c r="EOW43" s="45"/>
      <c r="EOX43" s="45"/>
      <c r="EOY43" s="45"/>
      <c r="EOZ43" s="45"/>
      <c r="EPA43" s="45"/>
      <c r="EPB43" s="45"/>
      <c r="EPC43" s="45"/>
      <c r="EPD43" s="45"/>
      <c r="EPE43" s="45"/>
      <c r="EPF43" s="45"/>
      <c r="EPG43" s="45"/>
      <c r="EPH43" s="45"/>
      <c r="EPI43" s="45"/>
      <c r="EPJ43" s="45"/>
      <c r="EPK43" s="45"/>
      <c r="EPL43" s="45"/>
      <c r="EPM43" s="45"/>
      <c r="EPN43" s="45"/>
      <c r="EPO43" s="45"/>
      <c r="EPP43" s="45"/>
      <c r="EPQ43" s="45"/>
      <c r="EPR43" s="45"/>
      <c r="EPS43" s="45"/>
      <c r="EPT43" s="45"/>
      <c r="EPU43" s="45"/>
      <c r="EPV43" s="45"/>
      <c r="EPW43" s="45"/>
      <c r="EPX43" s="45"/>
      <c r="EPY43" s="45"/>
      <c r="EPZ43" s="45"/>
      <c r="EQA43" s="45"/>
      <c r="EQB43" s="45"/>
      <c r="EQC43" s="45"/>
      <c r="EQD43" s="45"/>
      <c r="EQE43" s="45"/>
      <c r="EQF43" s="45"/>
      <c r="EQG43" s="45"/>
      <c r="EQH43" s="45"/>
      <c r="EQI43" s="45"/>
      <c r="EQJ43" s="45"/>
      <c r="EQK43" s="45"/>
      <c r="EQL43" s="45"/>
      <c r="EQM43" s="45"/>
      <c r="EQN43" s="45"/>
      <c r="EQO43" s="45"/>
      <c r="EQP43" s="45"/>
      <c r="EQQ43" s="45"/>
      <c r="EQR43" s="45"/>
      <c r="EQS43" s="45"/>
      <c r="EQT43" s="45"/>
      <c r="EQU43" s="45"/>
      <c r="EQV43" s="45"/>
      <c r="EQW43" s="45"/>
      <c r="EQX43" s="45"/>
      <c r="EQY43" s="45"/>
      <c r="EQZ43" s="45"/>
      <c r="ERA43" s="45"/>
      <c r="ERB43" s="45"/>
      <c r="ERC43" s="45"/>
      <c r="ERD43" s="45"/>
      <c r="ERE43" s="45"/>
      <c r="ERF43" s="45"/>
      <c r="ERG43" s="45"/>
      <c r="ERH43" s="45"/>
      <c r="ERI43" s="45"/>
      <c r="ERJ43" s="45"/>
      <c r="ERK43" s="45"/>
      <c r="ERL43" s="45"/>
      <c r="ERM43" s="45"/>
      <c r="ERN43" s="45"/>
      <c r="ERO43" s="45"/>
      <c r="ERP43" s="45"/>
      <c r="ERQ43" s="45"/>
      <c r="ERR43" s="45"/>
      <c r="ERS43" s="45"/>
      <c r="ERT43" s="45"/>
      <c r="ERU43" s="45"/>
      <c r="ERV43" s="45"/>
      <c r="ERW43" s="45"/>
      <c r="ERX43" s="45"/>
      <c r="ERY43" s="45"/>
      <c r="ERZ43" s="45"/>
      <c r="ESA43" s="45"/>
      <c r="ESB43" s="45"/>
      <c r="ESC43" s="45"/>
      <c r="ESD43" s="45"/>
      <c r="ESE43" s="45"/>
      <c r="ESF43" s="45"/>
      <c r="ESG43" s="45"/>
      <c r="ESH43" s="45"/>
      <c r="ESI43" s="45"/>
      <c r="ESJ43" s="45"/>
      <c r="ESK43" s="45"/>
      <c r="ESL43" s="45"/>
      <c r="ESM43" s="45"/>
      <c r="ESN43" s="45"/>
      <c r="ESO43" s="45"/>
      <c r="ESP43" s="45"/>
      <c r="ESQ43" s="45"/>
      <c r="ESR43" s="45"/>
      <c r="ESS43" s="45"/>
      <c r="EST43" s="45"/>
      <c r="ESU43" s="45"/>
      <c r="ESV43" s="45"/>
      <c r="ESW43" s="45"/>
      <c r="ESX43" s="45"/>
      <c r="ESY43" s="45"/>
      <c r="ESZ43" s="45"/>
      <c r="ETA43" s="45"/>
      <c r="ETB43" s="45"/>
      <c r="ETC43" s="45"/>
      <c r="ETD43" s="45"/>
      <c r="ETE43" s="45"/>
      <c r="ETF43" s="45"/>
      <c r="ETG43" s="45"/>
      <c r="ETH43" s="45"/>
      <c r="ETI43" s="45"/>
      <c r="ETJ43" s="45"/>
      <c r="ETK43" s="45"/>
      <c r="ETL43" s="45"/>
      <c r="ETM43" s="45"/>
      <c r="ETN43" s="45"/>
      <c r="ETO43" s="45"/>
      <c r="ETP43" s="45"/>
      <c r="ETQ43" s="45"/>
      <c r="ETR43" s="45"/>
      <c r="ETS43" s="45"/>
      <c r="ETT43" s="45"/>
      <c r="ETU43" s="45"/>
      <c r="ETV43" s="45"/>
      <c r="ETW43" s="45"/>
      <c r="ETX43" s="45"/>
      <c r="ETY43" s="45"/>
      <c r="ETZ43" s="45"/>
      <c r="EUA43" s="45"/>
      <c r="EUB43" s="45"/>
      <c r="EUC43" s="45"/>
      <c r="EUD43" s="45"/>
      <c r="EUE43" s="45"/>
      <c r="EUF43" s="45"/>
      <c r="EUG43" s="45"/>
      <c r="EUH43" s="45"/>
      <c r="EUI43" s="45"/>
      <c r="EUJ43" s="45"/>
      <c r="EUK43" s="45"/>
      <c r="EUL43" s="45"/>
      <c r="EUM43" s="45"/>
      <c r="EUN43" s="45"/>
      <c r="EUO43" s="45"/>
      <c r="EUP43" s="45"/>
      <c r="EUQ43" s="45"/>
      <c r="EUR43" s="45"/>
      <c r="EUS43" s="45"/>
      <c r="EUT43" s="45"/>
      <c r="EUU43" s="45"/>
      <c r="EUV43" s="45"/>
      <c r="EUW43" s="45"/>
      <c r="EUX43" s="45"/>
      <c r="EUY43" s="45"/>
      <c r="EUZ43" s="45"/>
      <c r="EVA43" s="45"/>
      <c r="EVB43" s="45"/>
      <c r="EVC43" s="45"/>
      <c r="EVD43" s="45"/>
      <c r="EVE43" s="45"/>
      <c r="EVF43" s="45"/>
      <c r="EVG43" s="45"/>
      <c r="EVH43" s="45"/>
      <c r="EVI43" s="45"/>
      <c r="EVJ43" s="45"/>
      <c r="EVK43" s="45"/>
      <c r="EVL43" s="45"/>
      <c r="EVM43" s="45"/>
      <c r="EVN43" s="45"/>
      <c r="EVO43" s="45"/>
      <c r="EVP43" s="45"/>
      <c r="EVQ43" s="45"/>
      <c r="EVR43" s="45"/>
      <c r="EVS43" s="45"/>
      <c r="EVT43" s="45"/>
      <c r="EVU43" s="45"/>
      <c r="EVV43" s="45"/>
      <c r="EVW43" s="45"/>
      <c r="EVX43" s="45"/>
      <c r="EVY43" s="45"/>
      <c r="EVZ43" s="45"/>
      <c r="EWA43" s="45"/>
      <c r="EWB43" s="45"/>
      <c r="EWC43" s="45"/>
      <c r="EWD43" s="45"/>
      <c r="EWE43" s="45"/>
      <c r="EWF43" s="45"/>
      <c r="EWG43" s="45"/>
      <c r="EWH43" s="45"/>
      <c r="EWI43" s="45"/>
      <c r="EWJ43" s="45"/>
      <c r="EWK43" s="45"/>
      <c r="EWL43" s="45"/>
      <c r="EWM43" s="45"/>
      <c r="EWN43" s="45"/>
      <c r="EWO43" s="45"/>
      <c r="EWP43" s="45"/>
      <c r="EWQ43" s="45"/>
      <c r="EWR43" s="45"/>
      <c r="EWS43" s="45"/>
      <c r="EWT43" s="45"/>
      <c r="EWU43" s="45"/>
      <c r="EWV43" s="45"/>
      <c r="EWW43" s="45"/>
      <c r="EWX43" s="45"/>
      <c r="EWY43" s="45"/>
      <c r="EWZ43" s="45"/>
      <c r="EXA43" s="45"/>
      <c r="EXB43" s="45"/>
      <c r="EXC43" s="45"/>
      <c r="EXD43" s="45"/>
      <c r="EXE43" s="45"/>
      <c r="EXF43" s="45"/>
      <c r="EXG43" s="45"/>
      <c r="EXH43" s="45"/>
      <c r="EXI43" s="45"/>
      <c r="EXJ43" s="45"/>
      <c r="EXK43" s="45"/>
      <c r="EXL43" s="45"/>
      <c r="EXM43" s="45"/>
      <c r="EXN43" s="45"/>
      <c r="EXO43" s="45"/>
      <c r="EXP43" s="45"/>
      <c r="EXQ43" s="45"/>
      <c r="EXR43" s="45"/>
      <c r="EXS43" s="45"/>
      <c r="EXT43" s="45"/>
      <c r="EXU43" s="45"/>
      <c r="EXV43" s="45"/>
      <c r="EXW43" s="45"/>
      <c r="EXX43" s="45"/>
      <c r="EXY43" s="45"/>
      <c r="EXZ43" s="45"/>
      <c r="EYA43" s="45"/>
      <c r="EYB43" s="45"/>
      <c r="EYC43" s="45"/>
      <c r="EYD43" s="45"/>
      <c r="EYE43" s="45"/>
      <c r="EYF43" s="45"/>
      <c r="EYG43" s="45"/>
      <c r="EYH43" s="45"/>
      <c r="EYI43" s="45"/>
      <c r="EYJ43" s="45"/>
      <c r="EYK43" s="45"/>
      <c r="EYL43" s="45"/>
      <c r="EYM43" s="45"/>
      <c r="EYN43" s="45"/>
      <c r="EYO43" s="45"/>
      <c r="EYP43" s="45"/>
      <c r="EYQ43" s="45"/>
      <c r="EYR43" s="45"/>
      <c r="EYS43" s="45"/>
      <c r="EYT43" s="45"/>
      <c r="EYU43" s="45"/>
      <c r="EYV43" s="45"/>
      <c r="EYW43" s="45"/>
      <c r="EYX43" s="45"/>
      <c r="EYY43" s="45"/>
      <c r="EYZ43" s="45"/>
      <c r="EZA43" s="45"/>
      <c r="EZB43" s="45"/>
      <c r="EZC43" s="45"/>
      <c r="EZD43" s="45"/>
      <c r="EZE43" s="45"/>
      <c r="EZF43" s="45"/>
      <c r="EZG43" s="45"/>
      <c r="EZH43" s="45"/>
      <c r="EZI43" s="45"/>
      <c r="EZJ43" s="45"/>
      <c r="EZK43" s="45"/>
      <c r="EZL43" s="45"/>
      <c r="EZM43" s="45"/>
      <c r="EZN43" s="45"/>
      <c r="EZO43" s="45"/>
      <c r="EZP43" s="45"/>
      <c r="EZQ43" s="45"/>
      <c r="EZR43" s="45"/>
      <c r="EZS43" s="45"/>
      <c r="EZT43" s="45"/>
      <c r="EZU43" s="45"/>
      <c r="EZV43" s="45"/>
      <c r="EZW43" s="45"/>
      <c r="EZX43" s="45"/>
      <c r="EZY43" s="45"/>
      <c r="EZZ43" s="45"/>
      <c r="FAA43" s="45"/>
      <c r="FAB43" s="45"/>
      <c r="FAC43" s="45"/>
      <c r="FAD43" s="45"/>
      <c r="FAE43" s="45"/>
      <c r="FAF43" s="45"/>
      <c r="FAG43" s="45"/>
      <c r="FAH43" s="45"/>
      <c r="FAI43" s="45"/>
      <c r="FAJ43" s="45"/>
      <c r="FAK43" s="45"/>
      <c r="FAL43" s="45"/>
      <c r="FAM43" s="45"/>
      <c r="FAN43" s="45"/>
      <c r="FAO43" s="45"/>
      <c r="FAP43" s="45"/>
      <c r="FAQ43" s="45"/>
      <c r="FAR43" s="45"/>
      <c r="FAS43" s="45"/>
      <c r="FAT43" s="45"/>
      <c r="FAU43" s="45"/>
      <c r="FAV43" s="45"/>
      <c r="FAW43" s="45"/>
      <c r="FAX43" s="45"/>
      <c r="FAY43" s="45"/>
      <c r="FAZ43" s="45"/>
      <c r="FBA43" s="45"/>
      <c r="FBB43" s="45"/>
      <c r="FBC43" s="45"/>
      <c r="FBD43" s="45"/>
      <c r="FBE43" s="45"/>
      <c r="FBF43" s="45"/>
      <c r="FBG43" s="45"/>
      <c r="FBH43" s="45"/>
      <c r="FBI43" s="45"/>
      <c r="FBJ43" s="45"/>
      <c r="FBK43" s="45"/>
      <c r="FBL43" s="45"/>
      <c r="FBM43" s="45"/>
      <c r="FBN43" s="45"/>
      <c r="FBO43" s="45"/>
      <c r="FBP43" s="45"/>
      <c r="FBQ43" s="45"/>
      <c r="FBR43" s="45"/>
      <c r="FBS43" s="45"/>
      <c r="FBT43" s="45"/>
      <c r="FBU43" s="45"/>
      <c r="FBV43" s="45"/>
      <c r="FBW43" s="45"/>
      <c r="FBX43" s="45"/>
      <c r="FBY43" s="45"/>
      <c r="FBZ43" s="45"/>
      <c r="FCA43" s="45"/>
      <c r="FCB43" s="45"/>
      <c r="FCC43" s="45"/>
      <c r="FCD43" s="45"/>
      <c r="FCE43" s="45"/>
      <c r="FCF43" s="45"/>
      <c r="FCG43" s="45"/>
      <c r="FCH43" s="45"/>
      <c r="FCI43" s="45"/>
      <c r="FCJ43" s="45"/>
      <c r="FCK43" s="45"/>
      <c r="FCL43" s="45"/>
      <c r="FCM43" s="45"/>
      <c r="FCN43" s="45"/>
      <c r="FCO43" s="45"/>
      <c r="FCP43" s="45"/>
      <c r="FCQ43" s="45"/>
      <c r="FCR43" s="45"/>
      <c r="FCS43" s="45"/>
      <c r="FCT43" s="45"/>
      <c r="FCU43" s="45"/>
      <c r="FCV43" s="45"/>
      <c r="FCW43" s="45"/>
      <c r="FCX43" s="45"/>
      <c r="FCY43" s="45"/>
      <c r="FCZ43" s="45"/>
      <c r="FDA43" s="45"/>
      <c r="FDB43" s="45"/>
      <c r="FDC43" s="45"/>
      <c r="FDD43" s="45"/>
      <c r="FDE43" s="45"/>
      <c r="FDF43" s="45"/>
      <c r="FDG43" s="45"/>
      <c r="FDH43" s="45"/>
      <c r="FDI43" s="45"/>
      <c r="FDJ43" s="45"/>
      <c r="FDK43" s="45"/>
      <c r="FDL43" s="45"/>
      <c r="FDM43" s="45"/>
      <c r="FDN43" s="45"/>
      <c r="FDO43" s="45"/>
      <c r="FDP43" s="45"/>
      <c r="FDQ43" s="45"/>
      <c r="FDR43" s="45"/>
      <c r="FDS43" s="45"/>
      <c r="FDT43" s="45"/>
      <c r="FDU43" s="45"/>
      <c r="FDV43" s="45"/>
      <c r="FDW43" s="45"/>
      <c r="FDX43" s="45"/>
      <c r="FDY43" s="45"/>
      <c r="FDZ43" s="45"/>
      <c r="FEA43" s="45"/>
      <c r="FEB43" s="45"/>
      <c r="FEC43" s="45"/>
      <c r="FED43" s="45"/>
      <c r="FEE43" s="45"/>
      <c r="FEF43" s="45"/>
      <c r="FEG43" s="45"/>
      <c r="FEH43" s="45"/>
      <c r="FEI43" s="45"/>
      <c r="FEJ43" s="45"/>
      <c r="FEK43" s="45"/>
      <c r="FEL43" s="45"/>
      <c r="FEM43" s="45"/>
      <c r="FEN43" s="45"/>
      <c r="FEO43" s="45"/>
      <c r="FEP43" s="45"/>
      <c r="FEQ43" s="45"/>
      <c r="FER43" s="45"/>
      <c r="FES43" s="45"/>
      <c r="FET43" s="45"/>
      <c r="FEU43" s="45"/>
      <c r="FEV43" s="45"/>
      <c r="FEW43" s="45"/>
      <c r="FEX43" s="45"/>
      <c r="FEY43" s="45"/>
      <c r="FEZ43" s="45"/>
      <c r="FFA43" s="45"/>
      <c r="FFB43" s="45"/>
      <c r="FFC43" s="45"/>
      <c r="FFD43" s="45"/>
      <c r="FFE43" s="45"/>
      <c r="FFF43" s="45"/>
      <c r="FFG43" s="45"/>
      <c r="FFH43" s="45"/>
      <c r="FFI43" s="45"/>
      <c r="FFJ43" s="45"/>
      <c r="FFK43" s="45"/>
      <c r="FFL43" s="45"/>
      <c r="FFM43" s="45"/>
      <c r="FFN43" s="45"/>
      <c r="FFO43" s="45"/>
      <c r="FFP43" s="45"/>
      <c r="FFQ43" s="45"/>
      <c r="FFR43" s="45"/>
      <c r="FFS43" s="45"/>
      <c r="FFT43" s="45"/>
      <c r="FFU43" s="45"/>
      <c r="FFV43" s="45"/>
      <c r="FFW43" s="45"/>
      <c r="FFX43" s="45"/>
      <c r="FFY43" s="45"/>
      <c r="FFZ43" s="45"/>
      <c r="FGA43" s="45"/>
      <c r="FGB43" s="45"/>
      <c r="FGC43" s="45"/>
      <c r="FGD43" s="45"/>
      <c r="FGE43" s="45"/>
      <c r="FGF43" s="45"/>
      <c r="FGG43" s="45"/>
      <c r="FGH43" s="45"/>
      <c r="FGI43" s="45"/>
      <c r="FGJ43" s="45"/>
      <c r="FGK43" s="45"/>
      <c r="FGL43" s="45"/>
      <c r="FGM43" s="45"/>
      <c r="FGN43" s="45"/>
      <c r="FGO43" s="45"/>
      <c r="FGP43" s="45"/>
      <c r="FGQ43" s="45"/>
      <c r="FGR43" s="45"/>
      <c r="FGS43" s="45"/>
      <c r="FGT43" s="45"/>
      <c r="FGU43" s="45"/>
      <c r="FGV43" s="45"/>
      <c r="FGW43" s="45"/>
      <c r="FGX43" s="45"/>
      <c r="FGY43" s="45"/>
      <c r="FGZ43" s="45"/>
      <c r="FHA43" s="45"/>
      <c r="FHB43" s="45"/>
      <c r="FHC43" s="45"/>
      <c r="FHD43" s="45"/>
      <c r="FHE43" s="45"/>
      <c r="FHF43" s="45"/>
      <c r="FHG43" s="45"/>
      <c r="FHH43" s="45"/>
      <c r="FHI43" s="45"/>
      <c r="FHJ43" s="45"/>
      <c r="FHK43" s="45"/>
      <c r="FHL43" s="45"/>
      <c r="FHM43" s="45"/>
      <c r="FHN43" s="45"/>
      <c r="FHO43" s="45"/>
      <c r="FHP43" s="45"/>
      <c r="FHQ43" s="45"/>
      <c r="FHR43" s="45"/>
      <c r="FHS43" s="45"/>
      <c r="FHT43" s="45"/>
      <c r="FHU43" s="45"/>
      <c r="FHV43" s="45"/>
      <c r="FHW43" s="45"/>
      <c r="FHX43" s="45"/>
      <c r="FHY43" s="45"/>
      <c r="FHZ43" s="45"/>
      <c r="FIA43" s="45"/>
      <c r="FIB43" s="45"/>
      <c r="FIC43" s="45"/>
      <c r="FID43" s="45"/>
      <c r="FIE43" s="45"/>
      <c r="FIF43" s="45"/>
      <c r="FIG43" s="45"/>
      <c r="FIH43" s="45"/>
      <c r="FII43" s="45"/>
      <c r="FIJ43" s="45"/>
      <c r="FIK43" s="45"/>
      <c r="FIL43" s="45"/>
      <c r="FIM43" s="45"/>
      <c r="FIN43" s="45"/>
      <c r="FIO43" s="45"/>
      <c r="FIP43" s="45"/>
      <c r="FIQ43" s="45"/>
      <c r="FIR43" s="45"/>
      <c r="FIS43" s="45"/>
      <c r="FIT43" s="45"/>
      <c r="FIU43" s="45"/>
      <c r="FIV43" s="45"/>
      <c r="FIW43" s="45"/>
      <c r="FIX43" s="45"/>
      <c r="FIY43" s="45"/>
      <c r="FIZ43" s="45"/>
      <c r="FJA43" s="45"/>
      <c r="FJB43" s="45"/>
      <c r="FJC43" s="45"/>
      <c r="FJD43" s="45"/>
      <c r="FJE43" s="45"/>
      <c r="FJF43" s="45"/>
      <c r="FJG43" s="45"/>
      <c r="FJH43" s="45"/>
      <c r="FJI43" s="45"/>
      <c r="FJJ43" s="45"/>
      <c r="FJK43" s="45"/>
      <c r="FJL43" s="45"/>
      <c r="FJM43" s="45"/>
      <c r="FJN43" s="45"/>
      <c r="FJO43" s="45"/>
      <c r="FJP43" s="45"/>
      <c r="FJQ43" s="45"/>
      <c r="FJR43" s="45"/>
      <c r="FJS43" s="45"/>
      <c r="FJT43" s="45"/>
      <c r="FJU43" s="45"/>
      <c r="FJV43" s="45"/>
      <c r="FJW43" s="45"/>
      <c r="FJX43" s="45"/>
      <c r="FJY43" s="45"/>
      <c r="FJZ43" s="45"/>
      <c r="FKA43" s="45"/>
      <c r="FKB43" s="45"/>
      <c r="FKC43" s="45"/>
      <c r="FKD43" s="45"/>
      <c r="FKE43" s="45"/>
      <c r="FKF43" s="45"/>
      <c r="FKG43" s="45"/>
      <c r="FKH43" s="45"/>
      <c r="FKI43" s="45"/>
      <c r="FKJ43" s="45"/>
      <c r="FKK43" s="45"/>
      <c r="FKL43" s="45"/>
      <c r="FKM43" s="45"/>
      <c r="FKN43" s="45"/>
      <c r="FKO43" s="45"/>
      <c r="FKP43" s="45"/>
      <c r="FKQ43" s="45"/>
      <c r="FKR43" s="45"/>
      <c r="FKS43" s="45"/>
      <c r="FKT43" s="45"/>
      <c r="FKU43" s="45"/>
      <c r="FKV43" s="45"/>
      <c r="FKW43" s="45"/>
      <c r="FKX43" s="45"/>
      <c r="FKY43" s="45"/>
      <c r="FKZ43" s="45"/>
      <c r="FLA43" s="45"/>
      <c r="FLB43" s="45"/>
      <c r="FLC43" s="45"/>
      <c r="FLD43" s="45"/>
      <c r="FLE43" s="45"/>
      <c r="FLF43" s="45"/>
      <c r="FLG43" s="45"/>
      <c r="FLH43" s="45"/>
      <c r="FLI43" s="45"/>
      <c r="FLJ43" s="45"/>
      <c r="FLK43" s="45"/>
      <c r="FLL43" s="45"/>
      <c r="FLM43" s="45"/>
      <c r="FLN43" s="45"/>
      <c r="FLO43" s="45"/>
      <c r="FLP43" s="45"/>
      <c r="FLQ43" s="45"/>
      <c r="FLR43" s="45"/>
      <c r="FLS43" s="45"/>
      <c r="FLT43" s="45"/>
      <c r="FLU43" s="45"/>
      <c r="FLV43" s="45"/>
      <c r="FLW43" s="45"/>
      <c r="FLX43" s="45"/>
      <c r="FLY43" s="45"/>
      <c r="FLZ43" s="45"/>
      <c r="FMA43" s="45"/>
      <c r="FMB43" s="45"/>
      <c r="FMC43" s="45"/>
      <c r="FMD43" s="45"/>
      <c r="FME43" s="45"/>
      <c r="FMF43" s="45"/>
      <c r="FMG43" s="45"/>
      <c r="FMH43" s="45"/>
      <c r="FMI43" s="45"/>
      <c r="FMJ43" s="45"/>
      <c r="FMK43" s="45"/>
      <c r="FML43" s="45"/>
      <c r="FMM43" s="45"/>
      <c r="FMN43" s="45"/>
      <c r="FMO43" s="45"/>
      <c r="FMP43" s="45"/>
      <c r="FMQ43" s="45"/>
      <c r="FMR43" s="45"/>
      <c r="FMS43" s="45"/>
      <c r="FMT43" s="45"/>
      <c r="FMU43" s="45"/>
      <c r="FMV43" s="45"/>
      <c r="FMW43" s="45"/>
      <c r="FMX43" s="45"/>
      <c r="FMY43" s="45"/>
      <c r="FMZ43" s="45"/>
      <c r="FNA43" s="45"/>
      <c r="FNB43" s="45"/>
      <c r="FNC43" s="45"/>
      <c r="FND43" s="45"/>
      <c r="FNE43" s="45"/>
      <c r="FNF43" s="45"/>
      <c r="FNG43" s="45"/>
      <c r="FNH43" s="45"/>
      <c r="FNI43" s="45"/>
      <c r="FNJ43" s="45"/>
      <c r="FNK43" s="45"/>
      <c r="FNL43" s="45"/>
      <c r="FNM43" s="45"/>
      <c r="FNN43" s="45"/>
      <c r="FNO43" s="45"/>
      <c r="FNP43" s="45"/>
      <c r="FNQ43" s="45"/>
      <c r="FNR43" s="45"/>
      <c r="FNS43" s="45"/>
      <c r="FNT43" s="45"/>
      <c r="FNU43" s="45"/>
      <c r="FNV43" s="45"/>
      <c r="FNW43" s="45"/>
      <c r="FNX43" s="45"/>
      <c r="FNY43" s="45"/>
      <c r="FNZ43" s="45"/>
      <c r="FOA43" s="45"/>
      <c r="FOB43" s="45"/>
      <c r="FOC43" s="45"/>
      <c r="FOD43" s="45"/>
      <c r="FOE43" s="45"/>
      <c r="FOF43" s="45"/>
      <c r="FOG43" s="45"/>
      <c r="FOH43" s="45"/>
      <c r="FOI43" s="45"/>
      <c r="FOJ43" s="45"/>
      <c r="FOK43" s="45"/>
      <c r="FOL43" s="45"/>
      <c r="FOM43" s="45"/>
      <c r="FON43" s="45"/>
      <c r="FOO43" s="45"/>
      <c r="FOP43" s="45"/>
      <c r="FOQ43" s="45"/>
      <c r="FOR43" s="45"/>
      <c r="FOS43" s="45"/>
      <c r="FOT43" s="45"/>
      <c r="FOU43" s="45"/>
      <c r="FOV43" s="45"/>
      <c r="FOW43" s="45"/>
      <c r="FOX43" s="45"/>
      <c r="FOY43" s="45"/>
      <c r="FOZ43" s="45"/>
      <c r="FPA43" s="45"/>
      <c r="FPB43" s="45"/>
      <c r="FPC43" s="45"/>
      <c r="FPD43" s="45"/>
      <c r="FPE43" s="45"/>
      <c r="FPF43" s="45"/>
      <c r="FPG43" s="45"/>
      <c r="FPH43" s="45"/>
      <c r="FPI43" s="45"/>
      <c r="FPJ43" s="45"/>
      <c r="FPK43" s="45"/>
      <c r="FPL43" s="45"/>
      <c r="FPM43" s="45"/>
      <c r="FPN43" s="45"/>
      <c r="FPO43" s="45"/>
      <c r="FPP43" s="45"/>
      <c r="FPQ43" s="45"/>
      <c r="FPR43" s="45"/>
      <c r="FPS43" s="45"/>
      <c r="FPT43" s="45"/>
      <c r="FPU43" s="45"/>
      <c r="FPV43" s="45"/>
      <c r="FPW43" s="45"/>
      <c r="FPX43" s="45"/>
      <c r="FPY43" s="45"/>
      <c r="FPZ43" s="45"/>
      <c r="FQA43" s="45"/>
      <c r="FQB43" s="45"/>
      <c r="FQC43" s="45"/>
      <c r="FQD43" s="45"/>
      <c r="FQE43" s="45"/>
      <c r="FQF43" s="45"/>
      <c r="FQG43" s="45"/>
      <c r="FQH43" s="45"/>
      <c r="FQI43" s="45"/>
      <c r="FQJ43" s="45"/>
      <c r="FQK43" s="45"/>
      <c r="FQL43" s="45"/>
      <c r="FQM43" s="45"/>
      <c r="FQN43" s="45"/>
      <c r="FQO43" s="45"/>
      <c r="FQP43" s="45"/>
      <c r="FQQ43" s="45"/>
      <c r="FQR43" s="45"/>
      <c r="FQS43" s="45"/>
      <c r="FQT43" s="45"/>
      <c r="FQU43" s="45"/>
      <c r="FQV43" s="45"/>
      <c r="FQW43" s="45"/>
      <c r="FQX43" s="45"/>
      <c r="FQY43" s="45"/>
      <c r="FQZ43" s="45"/>
      <c r="FRA43" s="45"/>
      <c r="FRB43" s="45"/>
      <c r="FRC43" s="45"/>
      <c r="FRD43" s="45"/>
      <c r="FRE43" s="45"/>
      <c r="FRF43" s="45"/>
      <c r="FRG43" s="45"/>
      <c r="FRH43" s="45"/>
      <c r="FRI43" s="45"/>
      <c r="FRJ43" s="45"/>
      <c r="FRK43" s="45"/>
      <c r="FRL43" s="45"/>
      <c r="FRM43" s="45"/>
      <c r="FRN43" s="45"/>
      <c r="FRO43" s="45"/>
      <c r="FRP43" s="45"/>
      <c r="FRQ43" s="45"/>
      <c r="FRR43" s="45"/>
      <c r="FRS43" s="45"/>
      <c r="FRT43" s="45"/>
      <c r="FRU43" s="45"/>
      <c r="FRV43" s="45"/>
      <c r="FRW43" s="45"/>
      <c r="FRX43" s="45"/>
      <c r="FRY43" s="45"/>
      <c r="FRZ43" s="45"/>
      <c r="FSA43" s="45"/>
      <c r="FSB43" s="45"/>
      <c r="FSC43" s="45"/>
      <c r="FSD43" s="45"/>
      <c r="FSE43" s="45"/>
      <c r="FSF43" s="45"/>
      <c r="FSG43" s="45"/>
      <c r="FSH43" s="45"/>
      <c r="FSI43" s="45"/>
      <c r="FSJ43" s="45"/>
      <c r="FSK43" s="45"/>
      <c r="FSL43" s="45"/>
      <c r="FSM43" s="45"/>
      <c r="FSN43" s="45"/>
      <c r="FSO43" s="45"/>
      <c r="FSP43" s="45"/>
      <c r="FSQ43" s="45"/>
      <c r="FSR43" s="45"/>
      <c r="FSS43" s="45"/>
      <c r="FST43" s="45"/>
      <c r="FSU43" s="45"/>
      <c r="FSV43" s="45"/>
      <c r="FSW43" s="45"/>
      <c r="FSX43" s="45"/>
      <c r="FSY43" s="45"/>
      <c r="FSZ43" s="45"/>
      <c r="FTA43" s="45"/>
      <c r="FTB43" s="45"/>
      <c r="FTC43" s="45"/>
      <c r="FTD43" s="45"/>
      <c r="FTE43" s="45"/>
      <c r="FTF43" s="45"/>
      <c r="FTG43" s="45"/>
      <c r="FTH43" s="45"/>
      <c r="FTI43" s="45"/>
      <c r="FTJ43" s="45"/>
      <c r="FTK43" s="45"/>
      <c r="FTL43" s="45"/>
      <c r="FTM43" s="45"/>
      <c r="FTN43" s="45"/>
      <c r="FTO43" s="45"/>
      <c r="FTP43" s="45"/>
      <c r="FTQ43" s="45"/>
      <c r="FTR43" s="45"/>
      <c r="FTS43" s="45"/>
      <c r="FTT43" s="45"/>
      <c r="FTU43" s="45"/>
      <c r="FTV43" s="45"/>
      <c r="FTW43" s="45"/>
      <c r="FTX43" s="45"/>
      <c r="FTY43" s="45"/>
      <c r="FTZ43" s="45"/>
      <c r="FUA43" s="45"/>
      <c r="FUB43" s="45"/>
      <c r="FUC43" s="45"/>
      <c r="FUD43" s="45"/>
      <c r="FUE43" s="45"/>
      <c r="FUF43" s="45"/>
      <c r="FUG43" s="45"/>
      <c r="FUH43" s="45"/>
      <c r="FUI43" s="45"/>
      <c r="FUJ43" s="45"/>
      <c r="FUK43" s="45"/>
      <c r="FUL43" s="45"/>
      <c r="FUM43" s="45"/>
      <c r="FUN43" s="45"/>
      <c r="FUO43" s="45"/>
      <c r="FUP43" s="45"/>
      <c r="FUQ43" s="45"/>
      <c r="FUR43" s="45"/>
      <c r="FUS43" s="45"/>
      <c r="FUT43" s="45"/>
      <c r="FUU43" s="45"/>
      <c r="FUV43" s="45"/>
      <c r="FUW43" s="45"/>
      <c r="FUX43" s="45"/>
      <c r="FUY43" s="45"/>
      <c r="FUZ43" s="45"/>
      <c r="FVA43" s="45"/>
      <c r="FVB43" s="45"/>
      <c r="FVC43" s="45"/>
      <c r="FVD43" s="45"/>
      <c r="FVE43" s="45"/>
      <c r="FVF43" s="45"/>
      <c r="FVG43" s="45"/>
      <c r="FVH43" s="45"/>
      <c r="FVI43" s="45"/>
      <c r="FVJ43" s="45"/>
      <c r="FVK43" s="45"/>
      <c r="FVL43" s="45"/>
      <c r="FVM43" s="45"/>
      <c r="FVN43" s="45"/>
      <c r="FVO43" s="45"/>
      <c r="FVP43" s="45"/>
      <c r="FVQ43" s="45"/>
      <c r="FVR43" s="45"/>
      <c r="FVS43" s="45"/>
      <c r="FVT43" s="45"/>
      <c r="FVU43" s="45"/>
      <c r="FVV43" s="45"/>
      <c r="FVW43" s="45"/>
      <c r="FVX43" s="45"/>
      <c r="FVY43" s="45"/>
      <c r="FVZ43" s="45"/>
      <c r="FWA43" s="45"/>
      <c r="FWB43" s="45"/>
      <c r="FWC43" s="45"/>
      <c r="FWD43" s="45"/>
      <c r="FWE43" s="45"/>
      <c r="FWF43" s="45"/>
      <c r="FWG43" s="45"/>
      <c r="FWH43" s="45"/>
      <c r="FWI43" s="45"/>
      <c r="FWJ43" s="45"/>
      <c r="FWK43" s="45"/>
      <c r="FWL43" s="45"/>
      <c r="FWM43" s="45"/>
      <c r="FWN43" s="45"/>
      <c r="FWO43" s="45"/>
      <c r="FWP43" s="45"/>
      <c r="FWQ43" s="45"/>
      <c r="FWR43" s="45"/>
      <c r="FWS43" s="45"/>
      <c r="FWT43" s="45"/>
      <c r="FWU43" s="45"/>
      <c r="FWV43" s="45"/>
      <c r="FWW43" s="45"/>
      <c r="FWX43" s="45"/>
      <c r="FWY43" s="45"/>
      <c r="FWZ43" s="45"/>
      <c r="FXA43" s="45"/>
      <c r="FXB43" s="45"/>
      <c r="FXC43" s="45"/>
      <c r="FXD43" s="45"/>
      <c r="FXE43" s="45"/>
      <c r="FXF43" s="45"/>
      <c r="FXG43" s="45"/>
      <c r="FXH43" s="45"/>
      <c r="FXI43" s="45"/>
      <c r="FXJ43" s="45"/>
      <c r="FXK43" s="45"/>
      <c r="FXL43" s="45"/>
      <c r="FXM43" s="45"/>
      <c r="FXN43" s="45"/>
      <c r="FXO43" s="45"/>
      <c r="FXP43" s="45"/>
      <c r="FXQ43" s="45"/>
      <c r="FXR43" s="45"/>
      <c r="FXS43" s="45"/>
      <c r="FXT43" s="45"/>
      <c r="FXU43" s="45"/>
      <c r="FXV43" s="45"/>
      <c r="FXW43" s="45"/>
      <c r="FXX43" s="45"/>
      <c r="FXY43" s="45"/>
      <c r="FXZ43" s="45"/>
      <c r="FYA43" s="45"/>
      <c r="FYB43" s="45"/>
      <c r="FYC43" s="45"/>
      <c r="FYD43" s="45"/>
      <c r="FYE43" s="45"/>
      <c r="FYF43" s="45"/>
      <c r="FYG43" s="45"/>
      <c r="FYH43" s="45"/>
      <c r="FYI43" s="45"/>
      <c r="FYJ43" s="45"/>
      <c r="FYK43" s="45"/>
      <c r="FYL43" s="45"/>
      <c r="FYM43" s="45"/>
      <c r="FYN43" s="45"/>
      <c r="FYO43" s="45"/>
      <c r="FYP43" s="45"/>
      <c r="FYQ43" s="45"/>
      <c r="FYR43" s="45"/>
      <c r="FYS43" s="45"/>
      <c r="FYT43" s="45"/>
      <c r="FYU43" s="45"/>
      <c r="FYV43" s="45"/>
      <c r="FYW43" s="45"/>
      <c r="FYX43" s="45"/>
      <c r="FYY43" s="45"/>
      <c r="FYZ43" s="45"/>
      <c r="FZA43" s="45"/>
      <c r="FZB43" s="45"/>
      <c r="FZC43" s="45"/>
      <c r="FZD43" s="45"/>
      <c r="FZE43" s="45"/>
      <c r="FZF43" s="45"/>
      <c r="FZG43" s="45"/>
      <c r="FZH43" s="45"/>
      <c r="FZI43" s="45"/>
      <c r="FZJ43" s="45"/>
      <c r="FZK43" s="45"/>
      <c r="FZL43" s="45"/>
      <c r="FZM43" s="45"/>
      <c r="FZN43" s="45"/>
      <c r="FZO43" s="45"/>
      <c r="FZP43" s="45"/>
      <c r="FZQ43" s="45"/>
      <c r="FZR43" s="45"/>
      <c r="FZS43" s="45"/>
      <c r="FZT43" s="45"/>
      <c r="FZU43" s="45"/>
      <c r="FZV43" s="45"/>
      <c r="FZW43" s="45"/>
      <c r="FZX43" s="45"/>
      <c r="FZY43" s="45"/>
      <c r="FZZ43" s="45"/>
      <c r="GAA43" s="45"/>
      <c r="GAB43" s="45"/>
      <c r="GAC43" s="45"/>
      <c r="GAD43" s="45"/>
      <c r="GAE43" s="45"/>
      <c r="GAF43" s="45"/>
      <c r="GAG43" s="45"/>
      <c r="GAH43" s="45"/>
      <c r="GAI43" s="45"/>
      <c r="GAJ43" s="45"/>
      <c r="GAK43" s="45"/>
      <c r="GAL43" s="45"/>
      <c r="GAM43" s="45"/>
      <c r="GAN43" s="45"/>
      <c r="GAO43" s="45"/>
      <c r="GAP43" s="45"/>
      <c r="GAQ43" s="45"/>
      <c r="GAR43" s="45"/>
      <c r="GAS43" s="45"/>
      <c r="GAT43" s="45"/>
      <c r="GAU43" s="45"/>
      <c r="GAV43" s="45"/>
      <c r="GAW43" s="45"/>
      <c r="GAX43" s="45"/>
      <c r="GAY43" s="45"/>
      <c r="GAZ43" s="45"/>
      <c r="GBA43" s="45"/>
      <c r="GBB43" s="45"/>
      <c r="GBC43" s="45"/>
      <c r="GBD43" s="45"/>
      <c r="GBE43" s="45"/>
      <c r="GBF43" s="45"/>
      <c r="GBG43" s="45"/>
      <c r="GBH43" s="45"/>
      <c r="GBI43" s="45"/>
      <c r="GBJ43" s="45"/>
      <c r="GBK43" s="45"/>
      <c r="GBL43" s="45"/>
      <c r="GBM43" s="45"/>
      <c r="GBN43" s="45"/>
      <c r="GBO43" s="45"/>
      <c r="GBP43" s="45"/>
      <c r="GBQ43" s="45"/>
      <c r="GBR43" s="45"/>
      <c r="GBS43" s="45"/>
      <c r="GBT43" s="45"/>
      <c r="GBU43" s="45"/>
      <c r="GBV43" s="45"/>
      <c r="GBW43" s="45"/>
      <c r="GBX43" s="45"/>
      <c r="GBY43" s="45"/>
      <c r="GBZ43" s="45"/>
      <c r="GCA43" s="45"/>
      <c r="GCB43" s="45"/>
      <c r="GCC43" s="45"/>
      <c r="GCD43" s="45"/>
      <c r="GCE43" s="45"/>
      <c r="GCF43" s="45"/>
      <c r="GCG43" s="45"/>
      <c r="GCH43" s="45"/>
      <c r="GCI43" s="45"/>
      <c r="GCJ43" s="45"/>
      <c r="GCK43" s="45"/>
      <c r="GCL43" s="45"/>
      <c r="GCM43" s="45"/>
      <c r="GCN43" s="45"/>
      <c r="GCO43" s="45"/>
      <c r="GCP43" s="45"/>
      <c r="GCQ43" s="45"/>
      <c r="GCR43" s="45"/>
      <c r="GCS43" s="45"/>
      <c r="GCT43" s="45"/>
      <c r="GCU43" s="45"/>
      <c r="GCV43" s="45"/>
      <c r="GCW43" s="45"/>
      <c r="GCX43" s="45"/>
      <c r="GCY43" s="45"/>
      <c r="GCZ43" s="45"/>
      <c r="GDA43" s="45"/>
      <c r="GDB43" s="45"/>
      <c r="GDC43" s="45"/>
      <c r="GDD43" s="45"/>
      <c r="GDE43" s="45"/>
      <c r="GDF43" s="45"/>
      <c r="GDG43" s="45"/>
      <c r="GDH43" s="45"/>
      <c r="GDI43" s="45"/>
      <c r="GDJ43" s="45"/>
      <c r="GDK43" s="45"/>
      <c r="GDL43" s="45"/>
      <c r="GDM43" s="45"/>
      <c r="GDN43" s="45"/>
      <c r="GDO43" s="45"/>
      <c r="GDP43" s="45"/>
      <c r="GDQ43" s="45"/>
      <c r="GDR43" s="45"/>
      <c r="GDS43" s="45"/>
      <c r="GDT43" s="45"/>
      <c r="GDU43" s="45"/>
      <c r="GDV43" s="45"/>
      <c r="GDW43" s="45"/>
      <c r="GDX43" s="45"/>
      <c r="GDY43" s="45"/>
      <c r="GDZ43" s="45"/>
      <c r="GEA43" s="45"/>
      <c r="GEB43" s="45"/>
      <c r="GEC43" s="45"/>
      <c r="GED43" s="45"/>
      <c r="GEE43" s="45"/>
      <c r="GEF43" s="45"/>
      <c r="GEG43" s="45"/>
      <c r="GEH43" s="45"/>
      <c r="GEI43" s="45"/>
      <c r="GEJ43" s="45"/>
      <c r="GEK43" s="45"/>
      <c r="GEL43" s="45"/>
      <c r="GEM43" s="45"/>
      <c r="GEN43" s="45"/>
      <c r="GEO43" s="45"/>
      <c r="GEP43" s="45"/>
      <c r="GEQ43" s="45"/>
      <c r="GER43" s="45"/>
      <c r="GES43" s="45"/>
      <c r="GET43" s="45"/>
      <c r="GEU43" s="45"/>
      <c r="GEV43" s="45"/>
      <c r="GEW43" s="45"/>
      <c r="GEX43" s="45"/>
      <c r="GEY43" s="45"/>
      <c r="GEZ43" s="45"/>
      <c r="GFA43" s="45"/>
      <c r="GFB43" s="45"/>
      <c r="GFC43" s="45"/>
      <c r="GFD43" s="45"/>
      <c r="GFE43" s="45"/>
      <c r="GFF43" s="45"/>
      <c r="GFG43" s="45"/>
      <c r="GFH43" s="45"/>
      <c r="GFI43" s="45"/>
      <c r="GFJ43" s="45"/>
      <c r="GFK43" s="45"/>
      <c r="GFL43" s="45"/>
      <c r="GFM43" s="45"/>
      <c r="GFN43" s="45"/>
      <c r="GFO43" s="45"/>
      <c r="GFP43" s="45"/>
      <c r="GFQ43" s="45"/>
      <c r="GFR43" s="45"/>
      <c r="GFS43" s="45"/>
      <c r="GFT43" s="45"/>
      <c r="GFU43" s="45"/>
      <c r="GFV43" s="45"/>
      <c r="GFW43" s="45"/>
      <c r="GFX43" s="45"/>
      <c r="GFY43" s="45"/>
      <c r="GFZ43" s="45"/>
      <c r="GGA43" s="45"/>
      <c r="GGB43" s="45"/>
      <c r="GGC43" s="45"/>
      <c r="GGD43" s="45"/>
      <c r="GGE43" s="45"/>
      <c r="GGF43" s="45"/>
      <c r="GGG43" s="45"/>
      <c r="GGH43" s="45"/>
      <c r="GGI43" s="45"/>
      <c r="GGJ43" s="45"/>
      <c r="GGK43" s="45"/>
      <c r="GGL43" s="45"/>
      <c r="GGM43" s="45"/>
      <c r="GGN43" s="45"/>
      <c r="GGO43" s="45"/>
      <c r="GGP43" s="45"/>
      <c r="GGQ43" s="45"/>
      <c r="GGR43" s="45"/>
      <c r="GGS43" s="45"/>
      <c r="GGT43" s="45"/>
      <c r="GGU43" s="45"/>
      <c r="GGV43" s="45"/>
      <c r="GGW43" s="45"/>
      <c r="GGX43" s="45"/>
      <c r="GGY43" s="45"/>
      <c r="GGZ43" s="45"/>
      <c r="GHA43" s="45"/>
      <c r="GHB43" s="45"/>
      <c r="GHC43" s="45"/>
      <c r="GHD43" s="45"/>
      <c r="GHE43" s="45"/>
      <c r="GHF43" s="45"/>
      <c r="GHG43" s="45"/>
      <c r="GHH43" s="45"/>
      <c r="GHI43" s="45"/>
      <c r="GHJ43" s="45"/>
      <c r="GHK43" s="45"/>
      <c r="GHL43" s="45"/>
      <c r="GHM43" s="45"/>
      <c r="GHN43" s="45"/>
      <c r="GHO43" s="45"/>
      <c r="GHP43" s="45"/>
      <c r="GHQ43" s="45"/>
      <c r="GHR43" s="45"/>
      <c r="GHS43" s="45"/>
      <c r="GHT43" s="45"/>
      <c r="GHU43" s="45"/>
      <c r="GHV43" s="45"/>
      <c r="GHW43" s="45"/>
      <c r="GHX43" s="45"/>
      <c r="GHY43" s="45"/>
      <c r="GHZ43" s="45"/>
      <c r="GIA43" s="45"/>
      <c r="GIB43" s="45"/>
      <c r="GIC43" s="45"/>
      <c r="GID43" s="45"/>
      <c r="GIE43" s="45"/>
      <c r="GIF43" s="45"/>
      <c r="GIG43" s="45"/>
      <c r="GIH43" s="45"/>
      <c r="GII43" s="45"/>
      <c r="GIJ43" s="45"/>
      <c r="GIK43" s="45"/>
      <c r="GIL43" s="45"/>
      <c r="GIM43" s="45"/>
      <c r="GIN43" s="45"/>
      <c r="GIO43" s="45"/>
      <c r="GIP43" s="45"/>
      <c r="GIQ43" s="45"/>
      <c r="GIR43" s="45"/>
      <c r="GIS43" s="45"/>
      <c r="GIT43" s="45"/>
      <c r="GIU43" s="45"/>
      <c r="GIV43" s="45"/>
      <c r="GIW43" s="45"/>
      <c r="GIX43" s="45"/>
      <c r="GIY43" s="45"/>
      <c r="GIZ43" s="45"/>
      <c r="GJA43" s="45"/>
      <c r="GJB43" s="45"/>
      <c r="GJC43" s="45"/>
      <c r="GJD43" s="45"/>
      <c r="GJE43" s="45"/>
      <c r="GJF43" s="45"/>
      <c r="GJG43" s="45"/>
      <c r="GJH43" s="45"/>
      <c r="GJI43" s="45"/>
      <c r="GJJ43" s="45"/>
      <c r="GJK43" s="45"/>
      <c r="GJL43" s="45"/>
      <c r="GJM43" s="45"/>
      <c r="GJN43" s="45"/>
      <c r="GJO43" s="45"/>
      <c r="GJP43" s="45"/>
      <c r="GJQ43" s="45"/>
      <c r="GJR43" s="45"/>
      <c r="GJS43" s="45"/>
      <c r="GJT43" s="45"/>
      <c r="GJU43" s="45"/>
      <c r="GJV43" s="45"/>
      <c r="GJW43" s="45"/>
      <c r="GJX43" s="45"/>
      <c r="GJY43" s="45"/>
      <c r="GJZ43" s="45"/>
      <c r="GKA43" s="45"/>
      <c r="GKB43" s="45"/>
      <c r="GKC43" s="45"/>
      <c r="GKD43" s="45"/>
      <c r="GKE43" s="45"/>
      <c r="GKF43" s="45"/>
      <c r="GKG43" s="45"/>
      <c r="GKH43" s="45"/>
      <c r="GKI43" s="45"/>
      <c r="GKJ43" s="45"/>
      <c r="GKK43" s="45"/>
      <c r="GKL43" s="45"/>
      <c r="GKM43" s="45"/>
      <c r="GKN43" s="45"/>
      <c r="GKO43" s="45"/>
      <c r="GKP43" s="45"/>
      <c r="GKQ43" s="45"/>
      <c r="GKR43" s="45"/>
      <c r="GKS43" s="45"/>
      <c r="GKT43" s="45"/>
      <c r="GKU43" s="45"/>
      <c r="GKV43" s="45"/>
      <c r="GKW43" s="45"/>
      <c r="GKX43" s="45"/>
      <c r="GKY43" s="45"/>
      <c r="GKZ43" s="45"/>
      <c r="GLA43" s="45"/>
      <c r="GLB43" s="45"/>
      <c r="GLC43" s="45"/>
      <c r="GLD43" s="45"/>
      <c r="GLE43" s="45"/>
      <c r="GLF43" s="45"/>
      <c r="GLG43" s="45"/>
      <c r="GLH43" s="45"/>
      <c r="GLI43" s="45"/>
      <c r="GLJ43" s="45"/>
      <c r="GLK43" s="45"/>
      <c r="GLL43" s="45"/>
      <c r="GLM43" s="45"/>
      <c r="GLN43" s="45"/>
      <c r="GLO43" s="45"/>
      <c r="GLP43" s="45"/>
      <c r="GLQ43" s="45"/>
      <c r="GLR43" s="45"/>
      <c r="GLS43" s="45"/>
      <c r="GLT43" s="45"/>
      <c r="GLU43" s="45"/>
      <c r="GLV43" s="45"/>
      <c r="GLW43" s="45"/>
      <c r="GLX43" s="45"/>
      <c r="GLY43" s="45"/>
      <c r="GLZ43" s="45"/>
      <c r="GMA43" s="45"/>
      <c r="GMB43" s="45"/>
      <c r="GMC43" s="45"/>
      <c r="GMD43" s="45"/>
      <c r="GME43" s="45"/>
      <c r="GMF43" s="45"/>
      <c r="GMG43" s="45"/>
      <c r="GMH43" s="45"/>
      <c r="GMI43" s="45"/>
      <c r="GMJ43" s="45"/>
      <c r="GMK43" s="45"/>
      <c r="GML43" s="45"/>
      <c r="GMM43" s="45"/>
      <c r="GMN43" s="45"/>
      <c r="GMO43" s="45"/>
      <c r="GMP43" s="45"/>
      <c r="GMQ43" s="45"/>
      <c r="GMR43" s="45"/>
      <c r="GMS43" s="45"/>
      <c r="GMT43" s="45"/>
      <c r="GMU43" s="45"/>
      <c r="GMV43" s="45"/>
      <c r="GMW43" s="45"/>
      <c r="GMX43" s="45"/>
      <c r="GMY43" s="45"/>
      <c r="GMZ43" s="45"/>
      <c r="GNA43" s="45"/>
      <c r="GNB43" s="45"/>
      <c r="GNC43" s="45"/>
      <c r="GND43" s="45"/>
      <c r="GNE43" s="45"/>
      <c r="GNF43" s="45"/>
      <c r="GNG43" s="45"/>
      <c r="GNH43" s="45"/>
      <c r="GNI43" s="45"/>
      <c r="GNJ43" s="45"/>
      <c r="GNK43" s="45"/>
      <c r="GNL43" s="45"/>
      <c r="GNM43" s="45"/>
      <c r="GNN43" s="45"/>
      <c r="GNO43" s="45"/>
      <c r="GNP43" s="45"/>
      <c r="GNQ43" s="45"/>
      <c r="GNR43" s="45"/>
      <c r="GNS43" s="45"/>
      <c r="GNT43" s="45"/>
      <c r="GNU43" s="45"/>
      <c r="GNV43" s="45"/>
      <c r="GNW43" s="45"/>
      <c r="GNX43" s="45"/>
      <c r="GNY43" s="45"/>
      <c r="GNZ43" s="45"/>
      <c r="GOA43" s="45"/>
      <c r="GOB43" s="45"/>
      <c r="GOC43" s="45"/>
      <c r="GOD43" s="45"/>
      <c r="GOE43" s="45"/>
      <c r="GOF43" s="45"/>
      <c r="GOG43" s="45"/>
      <c r="GOH43" s="45"/>
      <c r="GOI43" s="45"/>
      <c r="GOJ43" s="45"/>
      <c r="GOK43" s="45"/>
      <c r="GOL43" s="45"/>
      <c r="GOM43" s="45"/>
      <c r="GON43" s="45"/>
      <c r="GOO43" s="45"/>
      <c r="GOP43" s="45"/>
      <c r="GOQ43" s="45"/>
      <c r="GOR43" s="45"/>
      <c r="GOS43" s="45"/>
      <c r="GOT43" s="45"/>
      <c r="GOU43" s="45"/>
      <c r="GOV43" s="45"/>
      <c r="GOW43" s="45"/>
      <c r="GOX43" s="45"/>
      <c r="GOY43" s="45"/>
      <c r="GOZ43" s="45"/>
      <c r="GPA43" s="45"/>
      <c r="GPB43" s="45"/>
      <c r="GPC43" s="45"/>
      <c r="GPD43" s="45"/>
      <c r="GPE43" s="45"/>
      <c r="GPF43" s="45"/>
      <c r="GPG43" s="45"/>
      <c r="GPH43" s="45"/>
      <c r="GPI43" s="45"/>
      <c r="GPJ43" s="45"/>
      <c r="GPK43" s="45"/>
      <c r="GPL43" s="45"/>
      <c r="GPM43" s="45"/>
      <c r="GPN43" s="45"/>
      <c r="GPO43" s="45"/>
      <c r="GPP43" s="45"/>
      <c r="GPQ43" s="45"/>
      <c r="GPR43" s="45"/>
      <c r="GPS43" s="45"/>
      <c r="GPT43" s="45"/>
      <c r="GPU43" s="45"/>
      <c r="GPV43" s="45"/>
      <c r="GPW43" s="45"/>
      <c r="GPX43" s="45"/>
      <c r="GPY43" s="45"/>
      <c r="GPZ43" s="45"/>
      <c r="GQA43" s="45"/>
      <c r="GQB43" s="45"/>
      <c r="GQC43" s="45"/>
      <c r="GQD43" s="45"/>
      <c r="GQE43" s="45"/>
      <c r="GQF43" s="45"/>
      <c r="GQG43" s="45"/>
      <c r="GQH43" s="45"/>
      <c r="GQI43" s="45"/>
      <c r="GQJ43" s="45"/>
      <c r="GQK43" s="45"/>
      <c r="GQL43" s="45"/>
      <c r="GQM43" s="45"/>
      <c r="GQN43" s="45"/>
      <c r="GQO43" s="45"/>
      <c r="GQP43" s="45"/>
      <c r="GQQ43" s="45"/>
      <c r="GQR43" s="45"/>
      <c r="GQS43" s="45"/>
      <c r="GQT43" s="45"/>
      <c r="GQU43" s="45"/>
      <c r="GQV43" s="45"/>
      <c r="GQW43" s="45"/>
      <c r="GQX43" s="45"/>
      <c r="GQY43" s="45"/>
      <c r="GQZ43" s="45"/>
      <c r="GRA43" s="45"/>
      <c r="GRB43" s="45"/>
      <c r="GRC43" s="45"/>
      <c r="GRD43" s="45"/>
      <c r="GRE43" s="45"/>
      <c r="GRF43" s="45"/>
      <c r="GRG43" s="45"/>
      <c r="GRH43" s="45"/>
      <c r="GRI43" s="45"/>
      <c r="GRJ43" s="45"/>
      <c r="GRK43" s="45"/>
      <c r="GRL43" s="45"/>
      <c r="GRM43" s="45"/>
      <c r="GRN43" s="45"/>
      <c r="GRO43" s="45"/>
      <c r="GRP43" s="45"/>
      <c r="GRQ43" s="45"/>
      <c r="GRR43" s="45"/>
      <c r="GRS43" s="45"/>
      <c r="GRT43" s="45"/>
      <c r="GRU43" s="45"/>
      <c r="GRV43" s="45"/>
      <c r="GRW43" s="45"/>
      <c r="GRX43" s="45"/>
      <c r="GRY43" s="45"/>
      <c r="GRZ43" s="45"/>
      <c r="GSA43" s="45"/>
      <c r="GSB43" s="45"/>
      <c r="GSC43" s="45"/>
      <c r="GSD43" s="45"/>
      <c r="GSE43" s="45"/>
      <c r="GSF43" s="45"/>
      <c r="GSG43" s="45"/>
      <c r="GSH43" s="45"/>
      <c r="GSI43" s="45"/>
      <c r="GSJ43" s="45"/>
      <c r="GSK43" s="45"/>
      <c r="GSL43" s="45"/>
      <c r="GSM43" s="45"/>
      <c r="GSN43" s="45"/>
      <c r="GSO43" s="45"/>
      <c r="GSP43" s="45"/>
      <c r="GSQ43" s="45"/>
      <c r="GSR43" s="45"/>
      <c r="GSS43" s="45"/>
      <c r="GST43" s="45"/>
      <c r="GSU43" s="45"/>
      <c r="GSV43" s="45"/>
      <c r="GSW43" s="45"/>
      <c r="GSX43" s="45"/>
      <c r="GSY43" s="45"/>
      <c r="GSZ43" s="45"/>
      <c r="GTA43" s="45"/>
      <c r="GTB43" s="45"/>
      <c r="GTC43" s="45"/>
      <c r="GTD43" s="45"/>
      <c r="GTE43" s="45"/>
      <c r="GTF43" s="45"/>
      <c r="GTG43" s="45"/>
      <c r="GTH43" s="45"/>
      <c r="GTI43" s="45"/>
      <c r="GTJ43" s="45"/>
      <c r="GTK43" s="45"/>
      <c r="GTL43" s="45"/>
      <c r="GTM43" s="45"/>
      <c r="GTN43" s="45"/>
      <c r="GTO43" s="45"/>
      <c r="GTP43" s="45"/>
      <c r="GTQ43" s="45"/>
      <c r="GTR43" s="45"/>
      <c r="GTS43" s="45"/>
      <c r="GTT43" s="45"/>
      <c r="GTU43" s="45"/>
      <c r="GTV43" s="45"/>
      <c r="GTW43" s="45"/>
      <c r="GTX43" s="45"/>
      <c r="GTY43" s="45"/>
      <c r="GTZ43" s="45"/>
      <c r="GUA43" s="45"/>
      <c r="GUB43" s="45"/>
      <c r="GUC43" s="45"/>
      <c r="GUD43" s="45"/>
      <c r="GUE43" s="45"/>
      <c r="GUF43" s="45"/>
      <c r="GUG43" s="45"/>
      <c r="GUH43" s="45"/>
      <c r="GUI43" s="45"/>
      <c r="GUJ43" s="45"/>
      <c r="GUK43" s="45"/>
      <c r="GUL43" s="45"/>
      <c r="GUM43" s="45"/>
      <c r="GUN43" s="45"/>
      <c r="GUO43" s="45"/>
      <c r="GUP43" s="45"/>
      <c r="GUQ43" s="45"/>
      <c r="GUR43" s="45"/>
      <c r="GUS43" s="45"/>
      <c r="GUT43" s="45"/>
      <c r="GUU43" s="45"/>
      <c r="GUV43" s="45"/>
      <c r="GUW43" s="45"/>
      <c r="GUX43" s="45"/>
      <c r="GUY43" s="45"/>
      <c r="GUZ43" s="45"/>
      <c r="GVA43" s="45"/>
      <c r="GVB43" s="45"/>
      <c r="GVC43" s="45"/>
      <c r="GVD43" s="45"/>
      <c r="GVE43" s="45"/>
      <c r="GVF43" s="45"/>
      <c r="GVG43" s="45"/>
      <c r="GVH43" s="45"/>
      <c r="GVI43" s="45"/>
      <c r="GVJ43" s="45"/>
      <c r="GVK43" s="45"/>
      <c r="GVL43" s="45"/>
      <c r="GVM43" s="45"/>
      <c r="GVN43" s="45"/>
      <c r="GVO43" s="45"/>
      <c r="GVP43" s="45"/>
      <c r="GVQ43" s="45"/>
      <c r="GVR43" s="45"/>
      <c r="GVS43" s="45"/>
      <c r="GVT43" s="45"/>
      <c r="GVU43" s="45"/>
      <c r="GVV43" s="45"/>
      <c r="GVW43" s="45"/>
      <c r="GVX43" s="45"/>
      <c r="GVY43" s="45"/>
      <c r="GVZ43" s="45"/>
      <c r="GWA43" s="45"/>
      <c r="GWB43" s="45"/>
      <c r="GWC43" s="45"/>
      <c r="GWD43" s="45"/>
      <c r="GWE43" s="45"/>
      <c r="GWF43" s="45"/>
      <c r="GWG43" s="45"/>
      <c r="GWH43" s="45"/>
      <c r="GWI43" s="45"/>
      <c r="GWJ43" s="45"/>
      <c r="GWK43" s="45"/>
      <c r="GWL43" s="45"/>
      <c r="GWM43" s="45"/>
      <c r="GWN43" s="45"/>
      <c r="GWO43" s="45"/>
      <c r="GWP43" s="45"/>
      <c r="GWQ43" s="45"/>
      <c r="GWR43" s="45"/>
      <c r="GWS43" s="45"/>
      <c r="GWT43" s="45"/>
      <c r="GWU43" s="45"/>
      <c r="GWV43" s="45"/>
      <c r="GWW43" s="45"/>
      <c r="GWX43" s="45"/>
      <c r="GWY43" s="45"/>
      <c r="GWZ43" s="45"/>
      <c r="GXA43" s="45"/>
      <c r="GXB43" s="45"/>
      <c r="GXC43" s="45"/>
      <c r="GXD43" s="45"/>
      <c r="GXE43" s="45"/>
      <c r="GXF43" s="45"/>
      <c r="GXG43" s="45"/>
      <c r="GXH43" s="45"/>
      <c r="GXI43" s="45"/>
      <c r="GXJ43" s="45"/>
      <c r="GXK43" s="45"/>
      <c r="GXL43" s="45"/>
      <c r="GXM43" s="45"/>
      <c r="GXN43" s="45"/>
      <c r="GXO43" s="45"/>
      <c r="GXP43" s="45"/>
      <c r="GXQ43" s="45"/>
      <c r="GXR43" s="45"/>
      <c r="GXS43" s="45"/>
      <c r="GXT43" s="45"/>
      <c r="GXU43" s="45"/>
      <c r="GXV43" s="45"/>
      <c r="GXW43" s="45"/>
      <c r="GXX43" s="45"/>
      <c r="GXY43" s="45"/>
      <c r="GXZ43" s="45"/>
      <c r="GYA43" s="45"/>
      <c r="GYB43" s="45"/>
      <c r="GYC43" s="45"/>
      <c r="GYD43" s="45"/>
      <c r="GYE43" s="45"/>
      <c r="GYF43" s="45"/>
      <c r="GYG43" s="45"/>
      <c r="GYH43" s="45"/>
      <c r="GYI43" s="45"/>
      <c r="GYJ43" s="45"/>
      <c r="GYK43" s="45"/>
      <c r="GYL43" s="45"/>
      <c r="GYM43" s="45"/>
      <c r="GYN43" s="45"/>
      <c r="GYO43" s="45"/>
      <c r="GYP43" s="45"/>
      <c r="GYQ43" s="45"/>
      <c r="GYR43" s="45"/>
      <c r="GYS43" s="45"/>
      <c r="GYT43" s="45"/>
      <c r="GYU43" s="45"/>
      <c r="GYV43" s="45"/>
      <c r="GYW43" s="45"/>
      <c r="GYX43" s="45"/>
      <c r="GYY43" s="45"/>
      <c r="GYZ43" s="45"/>
      <c r="GZA43" s="45"/>
      <c r="GZB43" s="45"/>
      <c r="GZC43" s="45"/>
      <c r="GZD43" s="45"/>
      <c r="GZE43" s="45"/>
      <c r="GZF43" s="45"/>
      <c r="GZG43" s="45"/>
      <c r="GZH43" s="45"/>
      <c r="GZI43" s="45"/>
      <c r="GZJ43" s="45"/>
      <c r="GZK43" s="45"/>
      <c r="GZL43" s="45"/>
      <c r="GZM43" s="45"/>
      <c r="GZN43" s="45"/>
      <c r="GZO43" s="45"/>
      <c r="GZP43" s="45"/>
      <c r="GZQ43" s="45"/>
      <c r="GZR43" s="45"/>
      <c r="GZS43" s="45"/>
      <c r="GZT43" s="45"/>
      <c r="GZU43" s="45"/>
      <c r="GZV43" s="45"/>
      <c r="GZW43" s="45"/>
      <c r="GZX43" s="45"/>
      <c r="GZY43" s="45"/>
      <c r="GZZ43" s="45"/>
      <c r="HAA43" s="45"/>
      <c r="HAB43" s="45"/>
      <c r="HAC43" s="45"/>
      <c r="HAD43" s="45"/>
      <c r="HAE43" s="45"/>
      <c r="HAF43" s="45"/>
      <c r="HAG43" s="45"/>
      <c r="HAH43" s="45"/>
      <c r="HAI43" s="45"/>
      <c r="HAJ43" s="45"/>
      <c r="HAK43" s="45"/>
      <c r="HAL43" s="45"/>
      <c r="HAM43" s="45"/>
      <c r="HAN43" s="45"/>
      <c r="HAO43" s="45"/>
      <c r="HAP43" s="45"/>
      <c r="HAQ43" s="45"/>
      <c r="HAR43" s="45"/>
      <c r="HAS43" s="45"/>
      <c r="HAT43" s="45"/>
      <c r="HAU43" s="45"/>
      <c r="HAV43" s="45"/>
      <c r="HAW43" s="45"/>
      <c r="HAX43" s="45"/>
      <c r="HAY43" s="45"/>
      <c r="HAZ43" s="45"/>
      <c r="HBA43" s="45"/>
      <c r="HBB43" s="45"/>
      <c r="HBC43" s="45"/>
      <c r="HBD43" s="45"/>
      <c r="HBE43" s="45"/>
      <c r="HBF43" s="45"/>
      <c r="HBG43" s="45"/>
      <c r="HBH43" s="45"/>
      <c r="HBI43" s="45"/>
      <c r="HBJ43" s="45"/>
      <c r="HBK43" s="45"/>
      <c r="HBL43" s="45"/>
      <c r="HBM43" s="45"/>
      <c r="HBN43" s="45"/>
      <c r="HBO43" s="45"/>
      <c r="HBP43" s="45"/>
      <c r="HBQ43" s="45"/>
      <c r="HBR43" s="45"/>
      <c r="HBS43" s="45"/>
      <c r="HBT43" s="45"/>
      <c r="HBU43" s="45"/>
      <c r="HBV43" s="45"/>
      <c r="HBW43" s="45"/>
      <c r="HBX43" s="45"/>
      <c r="HBY43" s="45"/>
      <c r="HBZ43" s="45"/>
      <c r="HCA43" s="45"/>
      <c r="HCB43" s="45"/>
      <c r="HCC43" s="45"/>
      <c r="HCD43" s="45"/>
      <c r="HCE43" s="45"/>
      <c r="HCF43" s="45"/>
      <c r="HCG43" s="45"/>
      <c r="HCH43" s="45"/>
      <c r="HCI43" s="45"/>
      <c r="HCJ43" s="45"/>
      <c r="HCK43" s="45"/>
      <c r="HCL43" s="45"/>
      <c r="HCM43" s="45"/>
      <c r="HCN43" s="45"/>
      <c r="HCO43" s="45"/>
      <c r="HCP43" s="45"/>
      <c r="HCQ43" s="45"/>
      <c r="HCR43" s="45"/>
      <c r="HCS43" s="45"/>
      <c r="HCT43" s="45"/>
      <c r="HCU43" s="45"/>
      <c r="HCV43" s="45"/>
      <c r="HCW43" s="45"/>
      <c r="HCX43" s="45"/>
      <c r="HCY43" s="45"/>
      <c r="HCZ43" s="45"/>
      <c r="HDA43" s="45"/>
      <c r="HDB43" s="45"/>
      <c r="HDC43" s="45"/>
      <c r="HDD43" s="45"/>
      <c r="HDE43" s="45"/>
      <c r="HDF43" s="45"/>
      <c r="HDG43" s="45"/>
      <c r="HDH43" s="45"/>
      <c r="HDI43" s="45"/>
      <c r="HDJ43" s="45"/>
      <c r="HDK43" s="45"/>
      <c r="HDL43" s="45"/>
      <c r="HDM43" s="45"/>
      <c r="HDN43" s="45"/>
      <c r="HDO43" s="45"/>
      <c r="HDP43" s="45"/>
      <c r="HDQ43" s="45"/>
      <c r="HDR43" s="45"/>
      <c r="HDS43" s="45"/>
      <c r="HDT43" s="45"/>
      <c r="HDU43" s="45"/>
      <c r="HDV43" s="45"/>
      <c r="HDW43" s="45"/>
      <c r="HDX43" s="45"/>
      <c r="HDY43" s="45"/>
      <c r="HDZ43" s="45"/>
      <c r="HEA43" s="45"/>
      <c r="HEB43" s="45"/>
      <c r="HEC43" s="45"/>
      <c r="HED43" s="45"/>
      <c r="HEE43" s="45"/>
      <c r="HEF43" s="45"/>
      <c r="HEG43" s="45"/>
      <c r="HEH43" s="45"/>
      <c r="HEI43" s="45"/>
      <c r="HEJ43" s="45"/>
      <c r="HEK43" s="45"/>
      <c r="HEL43" s="45"/>
      <c r="HEM43" s="45"/>
      <c r="HEN43" s="45"/>
      <c r="HEO43" s="45"/>
      <c r="HEP43" s="45"/>
      <c r="HEQ43" s="45"/>
      <c r="HER43" s="45"/>
      <c r="HES43" s="45"/>
      <c r="HET43" s="45"/>
      <c r="HEU43" s="45"/>
      <c r="HEV43" s="45"/>
      <c r="HEW43" s="45"/>
      <c r="HEX43" s="45"/>
      <c r="HEY43" s="45"/>
      <c r="HEZ43" s="45"/>
      <c r="HFA43" s="45"/>
      <c r="HFB43" s="45"/>
      <c r="HFC43" s="45"/>
      <c r="HFD43" s="45"/>
      <c r="HFE43" s="45"/>
      <c r="HFF43" s="45"/>
      <c r="HFG43" s="45"/>
      <c r="HFH43" s="45"/>
      <c r="HFI43" s="45"/>
      <c r="HFJ43" s="45"/>
      <c r="HFK43" s="45"/>
      <c r="HFL43" s="45"/>
      <c r="HFM43" s="45"/>
      <c r="HFN43" s="45"/>
      <c r="HFO43" s="45"/>
      <c r="HFP43" s="45"/>
      <c r="HFQ43" s="45"/>
      <c r="HFR43" s="45"/>
      <c r="HFS43" s="45"/>
      <c r="HFT43" s="45"/>
      <c r="HFU43" s="45"/>
      <c r="HFV43" s="45"/>
      <c r="HFW43" s="45"/>
      <c r="HFX43" s="45"/>
      <c r="HFY43" s="45"/>
      <c r="HFZ43" s="45"/>
      <c r="HGA43" s="45"/>
      <c r="HGB43" s="45"/>
      <c r="HGC43" s="45"/>
      <c r="HGD43" s="45"/>
      <c r="HGE43" s="45"/>
      <c r="HGF43" s="45"/>
      <c r="HGG43" s="45"/>
      <c r="HGH43" s="45"/>
      <c r="HGI43" s="45"/>
      <c r="HGJ43" s="45"/>
      <c r="HGK43" s="45"/>
      <c r="HGL43" s="45"/>
      <c r="HGM43" s="45"/>
      <c r="HGN43" s="45"/>
      <c r="HGO43" s="45"/>
      <c r="HGP43" s="45"/>
      <c r="HGQ43" s="45"/>
      <c r="HGR43" s="45"/>
      <c r="HGS43" s="45"/>
      <c r="HGT43" s="45"/>
      <c r="HGU43" s="45"/>
      <c r="HGV43" s="45"/>
      <c r="HGW43" s="45"/>
      <c r="HGX43" s="45"/>
      <c r="HGY43" s="45"/>
      <c r="HGZ43" s="45"/>
      <c r="HHA43" s="45"/>
      <c r="HHB43" s="45"/>
      <c r="HHC43" s="45"/>
      <c r="HHD43" s="45"/>
      <c r="HHE43" s="45"/>
      <c r="HHF43" s="45"/>
      <c r="HHG43" s="45"/>
      <c r="HHH43" s="45"/>
      <c r="HHI43" s="45"/>
      <c r="HHJ43" s="45"/>
      <c r="HHK43" s="45"/>
      <c r="HHL43" s="45"/>
      <c r="HHM43" s="45"/>
      <c r="HHN43" s="45"/>
      <c r="HHO43" s="45"/>
      <c r="HHP43" s="45"/>
      <c r="HHQ43" s="45"/>
      <c r="HHR43" s="45"/>
      <c r="HHS43" s="45"/>
      <c r="HHT43" s="45"/>
      <c r="HHU43" s="45"/>
      <c r="HHV43" s="45"/>
      <c r="HHW43" s="45"/>
      <c r="HHX43" s="45"/>
      <c r="HHY43" s="45"/>
      <c r="HHZ43" s="45"/>
      <c r="HIA43" s="45"/>
      <c r="HIB43" s="45"/>
      <c r="HIC43" s="45"/>
      <c r="HID43" s="45"/>
      <c r="HIE43" s="45"/>
      <c r="HIF43" s="45"/>
      <c r="HIG43" s="45"/>
      <c r="HIH43" s="45"/>
      <c r="HII43" s="45"/>
      <c r="HIJ43" s="45"/>
      <c r="HIK43" s="45"/>
      <c r="HIL43" s="45"/>
      <c r="HIM43" s="45"/>
      <c r="HIN43" s="45"/>
      <c r="HIO43" s="45"/>
      <c r="HIP43" s="45"/>
      <c r="HIQ43" s="45"/>
      <c r="HIR43" s="45"/>
      <c r="HIS43" s="45"/>
      <c r="HIT43" s="45"/>
      <c r="HIU43" s="45"/>
      <c r="HIV43" s="45"/>
      <c r="HIW43" s="45"/>
      <c r="HIX43" s="45"/>
      <c r="HIY43" s="45"/>
      <c r="HIZ43" s="45"/>
      <c r="HJA43" s="45"/>
      <c r="HJB43" s="45"/>
      <c r="HJC43" s="45"/>
      <c r="HJD43" s="45"/>
      <c r="HJE43" s="45"/>
      <c r="HJF43" s="45"/>
      <c r="HJG43" s="45"/>
      <c r="HJH43" s="45"/>
      <c r="HJI43" s="45"/>
      <c r="HJJ43" s="45"/>
      <c r="HJK43" s="45"/>
      <c r="HJL43" s="45"/>
      <c r="HJM43" s="45"/>
      <c r="HJN43" s="45"/>
      <c r="HJO43" s="45"/>
      <c r="HJP43" s="45"/>
      <c r="HJQ43" s="45"/>
      <c r="HJR43" s="45"/>
      <c r="HJS43" s="45"/>
      <c r="HJT43" s="45"/>
      <c r="HJU43" s="45"/>
      <c r="HJV43" s="45"/>
      <c r="HJW43" s="45"/>
      <c r="HJX43" s="45"/>
      <c r="HJY43" s="45"/>
      <c r="HJZ43" s="45"/>
      <c r="HKA43" s="45"/>
      <c r="HKB43" s="45"/>
      <c r="HKC43" s="45"/>
      <c r="HKD43" s="45"/>
      <c r="HKE43" s="45"/>
      <c r="HKF43" s="45"/>
      <c r="HKG43" s="45"/>
      <c r="HKH43" s="45"/>
      <c r="HKI43" s="45"/>
      <c r="HKJ43" s="45"/>
      <c r="HKK43" s="45"/>
      <c r="HKL43" s="45"/>
      <c r="HKM43" s="45"/>
      <c r="HKN43" s="45"/>
      <c r="HKO43" s="45"/>
      <c r="HKP43" s="45"/>
      <c r="HKQ43" s="45"/>
      <c r="HKR43" s="45"/>
      <c r="HKS43" s="45"/>
      <c r="HKT43" s="45"/>
      <c r="HKU43" s="45"/>
      <c r="HKV43" s="45"/>
      <c r="HKW43" s="45"/>
      <c r="HKX43" s="45"/>
      <c r="HKY43" s="45"/>
      <c r="HKZ43" s="45"/>
      <c r="HLA43" s="45"/>
      <c r="HLB43" s="45"/>
      <c r="HLC43" s="45"/>
      <c r="HLD43" s="45"/>
      <c r="HLE43" s="45"/>
      <c r="HLF43" s="45"/>
      <c r="HLG43" s="45"/>
      <c r="HLH43" s="45"/>
      <c r="HLI43" s="45"/>
      <c r="HLJ43" s="45"/>
      <c r="HLK43" s="45"/>
      <c r="HLL43" s="45"/>
      <c r="HLM43" s="45"/>
      <c r="HLN43" s="45"/>
      <c r="HLO43" s="45"/>
      <c r="HLP43" s="45"/>
      <c r="HLQ43" s="45"/>
      <c r="HLR43" s="45"/>
      <c r="HLS43" s="45"/>
      <c r="HLT43" s="45"/>
      <c r="HLU43" s="45"/>
      <c r="HLV43" s="45"/>
      <c r="HLW43" s="45"/>
      <c r="HLX43" s="45"/>
      <c r="HLY43" s="45"/>
      <c r="HLZ43" s="45"/>
      <c r="HMA43" s="45"/>
      <c r="HMB43" s="45"/>
      <c r="HMC43" s="45"/>
      <c r="HMD43" s="45"/>
      <c r="HME43" s="45"/>
      <c r="HMF43" s="45"/>
      <c r="HMG43" s="45"/>
      <c r="HMH43" s="45"/>
      <c r="HMI43" s="45"/>
      <c r="HMJ43" s="45"/>
      <c r="HMK43" s="45"/>
      <c r="HML43" s="45"/>
      <c r="HMM43" s="45"/>
      <c r="HMN43" s="45"/>
      <c r="HMO43" s="45"/>
      <c r="HMP43" s="45"/>
      <c r="HMQ43" s="45"/>
      <c r="HMR43" s="45"/>
      <c r="HMS43" s="45"/>
      <c r="HMT43" s="45"/>
      <c r="HMU43" s="45"/>
      <c r="HMV43" s="45"/>
      <c r="HMW43" s="45"/>
      <c r="HMX43" s="45"/>
      <c r="HMY43" s="45"/>
      <c r="HMZ43" s="45"/>
      <c r="HNA43" s="45"/>
      <c r="HNB43" s="45"/>
      <c r="HNC43" s="45"/>
      <c r="HND43" s="45"/>
      <c r="HNE43" s="45"/>
      <c r="HNF43" s="45"/>
      <c r="HNG43" s="45"/>
      <c r="HNH43" s="45"/>
      <c r="HNI43" s="45"/>
      <c r="HNJ43" s="45"/>
      <c r="HNK43" s="45"/>
      <c r="HNL43" s="45"/>
      <c r="HNM43" s="45"/>
      <c r="HNN43" s="45"/>
      <c r="HNO43" s="45"/>
      <c r="HNP43" s="45"/>
      <c r="HNQ43" s="45"/>
      <c r="HNR43" s="45"/>
      <c r="HNS43" s="45"/>
      <c r="HNT43" s="45"/>
      <c r="HNU43" s="45"/>
      <c r="HNV43" s="45"/>
      <c r="HNW43" s="45"/>
      <c r="HNX43" s="45"/>
      <c r="HNY43" s="45"/>
      <c r="HNZ43" s="45"/>
      <c r="HOA43" s="45"/>
      <c r="HOB43" s="45"/>
      <c r="HOC43" s="45"/>
      <c r="HOD43" s="45"/>
      <c r="HOE43" s="45"/>
      <c r="HOF43" s="45"/>
      <c r="HOG43" s="45"/>
      <c r="HOH43" s="45"/>
      <c r="HOI43" s="45"/>
      <c r="HOJ43" s="45"/>
      <c r="HOK43" s="45"/>
      <c r="HOL43" s="45"/>
      <c r="HOM43" s="45"/>
      <c r="HON43" s="45"/>
      <c r="HOO43" s="45"/>
      <c r="HOP43" s="45"/>
      <c r="HOQ43" s="45"/>
      <c r="HOR43" s="45"/>
      <c r="HOS43" s="45"/>
      <c r="HOT43" s="45"/>
      <c r="HOU43" s="45"/>
      <c r="HOV43" s="45"/>
      <c r="HOW43" s="45"/>
      <c r="HOX43" s="45"/>
      <c r="HOY43" s="45"/>
      <c r="HOZ43" s="45"/>
      <c r="HPA43" s="45"/>
      <c r="HPB43" s="45"/>
      <c r="HPC43" s="45"/>
      <c r="HPD43" s="45"/>
      <c r="HPE43" s="45"/>
      <c r="HPF43" s="45"/>
      <c r="HPG43" s="45"/>
      <c r="HPH43" s="45"/>
      <c r="HPI43" s="45"/>
      <c r="HPJ43" s="45"/>
      <c r="HPK43" s="45"/>
      <c r="HPL43" s="45"/>
      <c r="HPM43" s="45"/>
      <c r="HPN43" s="45"/>
      <c r="HPO43" s="45"/>
      <c r="HPP43" s="45"/>
      <c r="HPQ43" s="45"/>
      <c r="HPR43" s="45"/>
      <c r="HPS43" s="45"/>
      <c r="HPT43" s="45"/>
      <c r="HPU43" s="45"/>
      <c r="HPV43" s="45"/>
      <c r="HPW43" s="45"/>
      <c r="HPX43" s="45"/>
      <c r="HPY43" s="45"/>
      <c r="HPZ43" s="45"/>
      <c r="HQA43" s="45"/>
      <c r="HQB43" s="45"/>
      <c r="HQC43" s="45"/>
      <c r="HQD43" s="45"/>
      <c r="HQE43" s="45"/>
      <c r="HQF43" s="45"/>
      <c r="HQG43" s="45"/>
      <c r="HQH43" s="45"/>
      <c r="HQI43" s="45"/>
      <c r="HQJ43" s="45"/>
      <c r="HQK43" s="45"/>
      <c r="HQL43" s="45"/>
      <c r="HQM43" s="45"/>
      <c r="HQN43" s="45"/>
      <c r="HQO43" s="45"/>
      <c r="HQP43" s="45"/>
      <c r="HQQ43" s="45"/>
      <c r="HQR43" s="45"/>
      <c r="HQS43" s="45"/>
      <c r="HQT43" s="45"/>
      <c r="HQU43" s="45"/>
      <c r="HQV43" s="45"/>
      <c r="HQW43" s="45"/>
      <c r="HQX43" s="45"/>
      <c r="HQY43" s="45"/>
      <c r="HQZ43" s="45"/>
      <c r="HRA43" s="45"/>
      <c r="HRB43" s="45"/>
      <c r="HRC43" s="45"/>
      <c r="HRD43" s="45"/>
      <c r="HRE43" s="45"/>
      <c r="HRF43" s="45"/>
      <c r="HRG43" s="45"/>
      <c r="HRH43" s="45"/>
      <c r="HRI43" s="45"/>
      <c r="HRJ43" s="45"/>
      <c r="HRK43" s="45"/>
      <c r="HRL43" s="45"/>
      <c r="HRM43" s="45"/>
      <c r="HRN43" s="45"/>
      <c r="HRO43" s="45"/>
      <c r="HRP43" s="45"/>
      <c r="HRQ43" s="45"/>
      <c r="HRR43" s="45"/>
      <c r="HRS43" s="45"/>
      <c r="HRT43" s="45"/>
      <c r="HRU43" s="45"/>
      <c r="HRV43" s="45"/>
      <c r="HRW43" s="45"/>
      <c r="HRX43" s="45"/>
      <c r="HRY43" s="45"/>
      <c r="HRZ43" s="45"/>
      <c r="HSA43" s="45"/>
      <c r="HSB43" s="45"/>
      <c r="HSC43" s="45"/>
      <c r="HSD43" s="45"/>
      <c r="HSE43" s="45"/>
      <c r="HSF43" s="45"/>
      <c r="HSG43" s="45"/>
      <c r="HSH43" s="45"/>
      <c r="HSI43" s="45"/>
      <c r="HSJ43" s="45"/>
      <c r="HSK43" s="45"/>
      <c r="HSL43" s="45"/>
      <c r="HSM43" s="45"/>
      <c r="HSN43" s="45"/>
      <c r="HSO43" s="45"/>
      <c r="HSP43" s="45"/>
      <c r="HSQ43" s="45"/>
      <c r="HSR43" s="45"/>
      <c r="HSS43" s="45"/>
      <c r="HST43" s="45"/>
      <c r="HSU43" s="45"/>
      <c r="HSV43" s="45"/>
      <c r="HSW43" s="45"/>
      <c r="HSX43" s="45"/>
      <c r="HSY43" s="45"/>
      <c r="HSZ43" s="45"/>
      <c r="HTA43" s="45"/>
      <c r="HTB43" s="45"/>
      <c r="HTC43" s="45"/>
      <c r="HTD43" s="45"/>
      <c r="HTE43" s="45"/>
      <c r="HTF43" s="45"/>
      <c r="HTG43" s="45"/>
      <c r="HTH43" s="45"/>
      <c r="HTI43" s="45"/>
      <c r="HTJ43" s="45"/>
      <c r="HTK43" s="45"/>
      <c r="HTL43" s="45"/>
      <c r="HTM43" s="45"/>
      <c r="HTN43" s="45"/>
      <c r="HTO43" s="45"/>
      <c r="HTP43" s="45"/>
      <c r="HTQ43" s="45"/>
      <c r="HTR43" s="45"/>
      <c r="HTS43" s="45"/>
      <c r="HTT43" s="45"/>
      <c r="HTU43" s="45"/>
      <c r="HTV43" s="45"/>
      <c r="HTW43" s="45"/>
      <c r="HTX43" s="45"/>
      <c r="HTY43" s="45"/>
      <c r="HTZ43" s="45"/>
      <c r="HUA43" s="45"/>
      <c r="HUB43" s="45"/>
      <c r="HUC43" s="45"/>
      <c r="HUD43" s="45"/>
      <c r="HUE43" s="45"/>
      <c r="HUF43" s="45"/>
      <c r="HUG43" s="45"/>
      <c r="HUH43" s="45"/>
      <c r="HUI43" s="45"/>
      <c r="HUJ43" s="45"/>
      <c r="HUK43" s="45"/>
      <c r="HUL43" s="45"/>
      <c r="HUM43" s="45"/>
      <c r="HUN43" s="45"/>
      <c r="HUO43" s="45"/>
      <c r="HUP43" s="45"/>
      <c r="HUQ43" s="45"/>
      <c r="HUR43" s="45"/>
      <c r="HUS43" s="45"/>
      <c r="HUT43" s="45"/>
      <c r="HUU43" s="45"/>
      <c r="HUV43" s="45"/>
      <c r="HUW43" s="45"/>
      <c r="HUX43" s="45"/>
      <c r="HUY43" s="45"/>
      <c r="HUZ43" s="45"/>
      <c r="HVA43" s="45"/>
      <c r="HVB43" s="45"/>
      <c r="HVC43" s="45"/>
      <c r="HVD43" s="45"/>
      <c r="HVE43" s="45"/>
      <c r="HVF43" s="45"/>
      <c r="HVG43" s="45"/>
      <c r="HVH43" s="45"/>
      <c r="HVI43" s="45"/>
      <c r="HVJ43" s="45"/>
      <c r="HVK43" s="45"/>
      <c r="HVL43" s="45"/>
      <c r="HVM43" s="45"/>
      <c r="HVN43" s="45"/>
      <c r="HVO43" s="45"/>
      <c r="HVP43" s="45"/>
      <c r="HVQ43" s="45"/>
      <c r="HVR43" s="45"/>
      <c r="HVS43" s="45"/>
      <c r="HVT43" s="45"/>
      <c r="HVU43" s="45"/>
      <c r="HVV43" s="45"/>
      <c r="HVW43" s="45"/>
      <c r="HVX43" s="45"/>
      <c r="HVY43" s="45"/>
      <c r="HVZ43" s="45"/>
      <c r="HWA43" s="45"/>
      <c r="HWB43" s="45"/>
      <c r="HWC43" s="45"/>
      <c r="HWD43" s="45"/>
      <c r="HWE43" s="45"/>
      <c r="HWF43" s="45"/>
      <c r="HWG43" s="45"/>
      <c r="HWH43" s="45"/>
      <c r="HWI43" s="45"/>
      <c r="HWJ43" s="45"/>
      <c r="HWK43" s="45"/>
      <c r="HWL43" s="45"/>
      <c r="HWM43" s="45"/>
      <c r="HWN43" s="45"/>
      <c r="HWO43" s="45"/>
      <c r="HWP43" s="45"/>
      <c r="HWQ43" s="45"/>
      <c r="HWR43" s="45"/>
      <c r="HWS43" s="45"/>
      <c r="HWT43" s="45"/>
      <c r="HWU43" s="45"/>
      <c r="HWV43" s="45"/>
      <c r="HWW43" s="45"/>
      <c r="HWX43" s="45"/>
      <c r="HWY43" s="45"/>
      <c r="HWZ43" s="45"/>
      <c r="HXA43" s="45"/>
      <c r="HXB43" s="45"/>
      <c r="HXC43" s="45"/>
      <c r="HXD43" s="45"/>
      <c r="HXE43" s="45"/>
      <c r="HXF43" s="45"/>
      <c r="HXG43" s="45"/>
      <c r="HXH43" s="45"/>
      <c r="HXI43" s="45"/>
      <c r="HXJ43" s="45"/>
      <c r="HXK43" s="45"/>
      <c r="HXL43" s="45"/>
      <c r="HXM43" s="45"/>
      <c r="HXN43" s="45"/>
      <c r="HXO43" s="45"/>
      <c r="HXP43" s="45"/>
      <c r="HXQ43" s="45"/>
      <c r="HXR43" s="45"/>
      <c r="HXS43" s="45"/>
      <c r="HXT43" s="45"/>
      <c r="HXU43" s="45"/>
      <c r="HXV43" s="45"/>
      <c r="HXW43" s="45"/>
      <c r="HXX43" s="45"/>
      <c r="HXY43" s="45"/>
      <c r="HXZ43" s="45"/>
      <c r="HYA43" s="45"/>
      <c r="HYB43" s="45"/>
      <c r="HYC43" s="45"/>
      <c r="HYD43" s="45"/>
      <c r="HYE43" s="45"/>
      <c r="HYF43" s="45"/>
      <c r="HYG43" s="45"/>
      <c r="HYH43" s="45"/>
      <c r="HYI43" s="45"/>
      <c r="HYJ43" s="45"/>
      <c r="HYK43" s="45"/>
      <c r="HYL43" s="45"/>
      <c r="HYM43" s="45"/>
      <c r="HYN43" s="45"/>
      <c r="HYO43" s="45"/>
      <c r="HYP43" s="45"/>
      <c r="HYQ43" s="45"/>
      <c r="HYR43" s="45"/>
      <c r="HYS43" s="45"/>
      <c r="HYT43" s="45"/>
      <c r="HYU43" s="45"/>
      <c r="HYV43" s="45"/>
      <c r="HYW43" s="45"/>
      <c r="HYX43" s="45"/>
      <c r="HYY43" s="45"/>
      <c r="HYZ43" s="45"/>
      <c r="HZA43" s="45"/>
      <c r="HZB43" s="45"/>
      <c r="HZC43" s="45"/>
      <c r="HZD43" s="45"/>
      <c r="HZE43" s="45"/>
      <c r="HZF43" s="45"/>
      <c r="HZG43" s="45"/>
      <c r="HZH43" s="45"/>
      <c r="HZI43" s="45"/>
      <c r="HZJ43" s="45"/>
      <c r="HZK43" s="45"/>
      <c r="HZL43" s="45"/>
      <c r="HZM43" s="45"/>
      <c r="HZN43" s="45"/>
      <c r="HZO43" s="45"/>
      <c r="HZP43" s="45"/>
      <c r="HZQ43" s="45"/>
      <c r="HZR43" s="45"/>
      <c r="HZS43" s="45"/>
      <c r="HZT43" s="45"/>
      <c r="HZU43" s="45"/>
      <c r="HZV43" s="45"/>
      <c r="HZW43" s="45"/>
      <c r="HZX43" s="45"/>
      <c r="HZY43" s="45"/>
      <c r="HZZ43" s="45"/>
      <c r="IAA43" s="45"/>
      <c r="IAB43" s="45"/>
      <c r="IAC43" s="45"/>
      <c r="IAD43" s="45"/>
      <c r="IAE43" s="45"/>
      <c r="IAF43" s="45"/>
      <c r="IAG43" s="45"/>
      <c r="IAH43" s="45"/>
      <c r="IAI43" s="45"/>
      <c r="IAJ43" s="45"/>
      <c r="IAK43" s="45"/>
      <c r="IAL43" s="45"/>
      <c r="IAM43" s="45"/>
      <c r="IAN43" s="45"/>
      <c r="IAO43" s="45"/>
      <c r="IAP43" s="45"/>
      <c r="IAQ43" s="45"/>
      <c r="IAR43" s="45"/>
      <c r="IAS43" s="45"/>
      <c r="IAT43" s="45"/>
      <c r="IAU43" s="45"/>
      <c r="IAV43" s="45"/>
      <c r="IAW43" s="45"/>
      <c r="IAX43" s="45"/>
      <c r="IAY43" s="45"/>
      <c r="IAZ43" s="45"/>
      <c r="IBA43" s="45"/>
      <c r="IBB43" s="45"/>
      <c r="IBC43" s="45"/>
      <c r="IBD43" s="45"/>
      <c r="IBE43" s="45"/>
      <c r="IBF43" s="45"/>
      <c r="IBG43" s="45"/>
      <c r="IBH43" s="45"/>
      <c r="IBI43" s="45"/>
      <c r="IBJ43" s="45"/>
      <c r="IBK43" s="45"/>
      <c r="IBL43" s="45"/>
      <c r="IBM43" s="45"/>
      <c r="IBN43" s="45"/>
      <c r="IBO43" s="45"/>
      <c r="IBP43" s="45"/>
      <c r="IBQ43" s="45"/>
      <c r="IBR43" s="45"/>
      <c r="IBS43" s="45"/>
      <c r="IBT43" s="45"/>
      <c r="IBU43" s="45"/>
      <c r="IBV43" s="45"/>
      <c r="IBW43" s="45"/>
      <c r="IBX43" s="45"/>
      <c r="IBY43" s="45"/>
      <c r="IBZ43" s="45"/>
      <c r="ICA43" s="45"/>
      <c r="ICB43" s="45"/>
      <c r="ICC43" s="45"/>
      <c r="ICD43" s="45"/>
      <c r="ICE43" s="45"/>
      <c r="ICF43" s="45"/>
      <c r="ICG43" s="45"/>
      <c r="ICH43" s="45"/>
      <c r="ICI43" s="45"/>
      <c r="ICJ43" s="45"/>
      <c r="ICK43" s="45"/>
      <c r="ICL43" s="45"/>
      <c r="ICM43" s="45"/>
      <c r="ICN43" s="45"/>
      <c r="ICO43" s="45"/>
      <c r="ICP43" s="45"/>
      <c r="ICQ43" s="45"/>
      <c r="ICR43" s="45"/>
      <c r="ICS43" s="45"/>
      <c r="ICT43" s="45"/>
      <c r="ICU43" s="45"/>
      <c r="ICV43" s="45"/>
      <c r="ICW43" s="45"/>
      <c r="ICX43" s="45"/>
      <c r="ICY43" s="45"/>
      <c r="ICZ43" s="45"/>
      <c r="IDA43" s="45"/>
      <c r="IDB43" s="45"/>
      <c r="IDC43" s="45"/>
      <c r="IDD43" s="45"/>
      <c r="IDE43" s="45"/>
      <c r="IDF43" s="45"/>
      <c r="IDG43" s="45"/>
      <c r="IDH43" s="45"/>
      <c r="IDI43" s="45"/>
      <c r="IDJ43" s="45"/>
      <c r="IDK43" s="45"/>
      <c r="IDL43" s="45"/>
      <c r="IDM43" s="45"/>
      <c r="IDN43" s="45"/>
      <c r="IDO43" s="45"/>
      <c r="IDP43" s="45"/>
      <c r="IDQ43" s="45"/>
      <c r="IDR43" s="45"/>
      <c r="IDS43" s="45"/>
      <c r="IDT43" s="45"/>
      <c r="IDU43" s="45"/>
      <c r="IDV43" s="45"/>
      <c r="IDW43" s="45"/>
      <c r="IDX43" s="45"/>
      <c r="IDY43" s="45"/>
      <c r="IDZ43" s="45"/>
      <c r="IEA43" s="45"/>
      <c r="IEB43" s="45"/>
      <c r="IEC43" s="45"/>
      <c r="IED43" s="45"/>
      <c r="IEE43" s="45"/>
      <c r="IEF43" s="45"/>
      <c r="IEG43" s="45"/>
      <c r="IEH43" s="45"/>
      <c r="IEI43" s="45"/>
      <c r="IEJ43" s="45"/>
      <c r="IEK43" s="45"/>
      <c r="IEL43" s="45"/>
      <c r="IEM43" s="45"/>
      <c r="IEN43" s="45"/>
      <c r="IEO43" s="45"/>
      <c r="IEP43" s="45"/>
      <c r="IEQ43" s="45"/>
      <c r="IER43" s="45"/>
      <c r="IES43" s="45"/>
      <c r="IET43" s="45"/>
      <c r="IEU43" s="45"/>
      <c r="IEV43" s="45"/>
      <c r="IEW43" s="45"/>
      <c r="IEX43" s="45"/>
      <c r="IEY43" s="45"/>
      <c r="IEZ43" s="45"/>
      <c r="IFA43" s="45"/>
      <c r="IFB43" s="45"/>
      <c r="IFC43" s="45"/>
      <c r="IFD43" s="45"/>
      <c r="IFE43" s="45"/>
      <c r="IFF43" s="45"/>
      <c r="IFG43" s="45"/>
      <c r="IFH43" s="45"/>
      <c r="IFI43" s="45"/>
      <c r="IFJ43" s="45"/>
      <c r="IFK43" s="45"/>
      <c r="IFL43" s="45"/>
      <c r="IFM43" s="45"/>
      <c r="IFN43" s="45"/>
      <c r="IFO43" s="45"/>
      <c r="IFP43" s="45"/>
      <c r="IFQ43" s="45"/>
      <c r="IFR43" s="45"/>
      <c r="IFS43" s="45"/>
      <c r="IFT43" s="45"/>
      <c r="IFU43" s="45"/>
      <c r="IFV43" s="45"/>
      <c r="IFW43" s="45"/>
      <c r="IFX43" s="45"/>
      <c r="IFY43" s="45"/>
      <c r="IFZ43" s="45"/>
      <c r="IGA43" s="45"/>
      <c r="IGB43" s="45"/>
      <c r="IGC43" s="45"/>
      <c r="IGD43" s="45"/>
      <c r="IGE43" s="45"/>
      <c r="IGF43" s="45"/>
      <c r="IGG43" s="45"/>
      <c r="IGH43" s="45"/>
      <c r="IGI43" s="45"/>
      <c r="IGJ43" s="45"/>
      <c r="IGK43" s="45"/>
      <c r="IGL43" s="45"/>
      <c r="IGM43" s="45"/>
      <c r="IGN43" s="45"/>
      <c r="IGO43" s="45"/>
      <c r="IGP43" s="45"/>
      <c r="IGQ43" s="45"/>
      <c r="IGR43" s="45"/>
      <c r="IGS43" s="45"/>
      <c r="IGT43" s="45"/>
      <c r="IGU43" s="45"/>
      <c r="IGV43" s="45"/>
      <c r="IGW43" s="45"/>
      <c r="IGX43" s="45"/>
      <c r="IGY43" s="45"/>
      <c r="IGZ43" s="45"/>
      <c r="IHA43" s="45"/>
      <c r="IHB43" s="45"/>
      <c r="IHC43" s="45"/>
      <c r="IHD43" s="45"/>
      <c r="IHE43" s="45"/>
      <c r="IHF43" s="45"/>
      <c r="IHG43" s="45"/>
      <c r="IHH43" s="45"/>
      <c r="IHI43" s="45"/>
      <c r="IHJ43" s="45"/>
      <c r="IHK43" s="45"/>
      <c r="IHL43" s="45"/>
      <c r="IHM43" s="45"/>
      <c r="IHN43" s="45"/>
      <c r="IHO43" s="45"/>
      <c r="IHP43" s="45"/>
      <c r="IHQ43" s="45"/>
      <c r="IHR43" s="45"/>
      <c r="IHS43" s="45"/>
      <c r="IHT43" s="45"/>
      <c r="IHU43" s="45"/>
      <c r="IHV43" s="45"/>
      <c r="IHW43" s="45"/>
      <c r="IHX43" s="45"/>
      <c r="IHY43" s="45"/>
      <c r="IHZ43" s="45"/>
      <c r="IIA43" s="45"/>
      <c r="IIB43" s="45"/>
      <c r="IIC43" s="45"/>
      <c r="IID43" s="45"/>
      <c r="IIE43" s="45"/>
      <c r="IIF43" s="45"/>
      <c r="IIG43" s="45"/>
      <c r="IIH43" s="45"/>
      <c r="III43" s="45"/>
      <c r="IIJ43" s="45"/>
      <c r="IIK43" s="45"/>
      <c r="IIL43" s="45"/>
      <c r="IIM43" s="45"/>
      <c r="IIN43" s="45"/>
      <c r="IIO43" s="45"/>
      <c r="IIP43" s="45"/>
      <c r="IIQ43" s="45"/>
      <c r="IIR43" s="45"/>
      <c r="IIS43" s="45"/>
      <c r="IIT43" s="45"/>
      <c r="IIU43" s="45"/>
      <c r="IIV43" s="45"/>
      <c r="IIW43" s="45"/>
      <c r="IIX43" s="45"/>
      <c r="IIY43" s="45"/>
      <c r="IIZ43" s="45"/>
      <c r="IJA43" s="45"/>
      <c r="IJB43" s="45"/>
      <c r="IJC43" s="45"/>
      <c r="IJD43" s="45"/>
      <c r="IJE43" s="45"/>
      <c r="IJF43" s="45"/>
      <c r="IJG43" s="45"/>
      <c r="IJH43" s="45"/>
      <c r="IJI43" s="45"/>
      <c r="IJJ43" s="45"/>
      <c r="IJK43" s="45"/>
      <c r="IJL43" s="45"/>
      <c r="IJM43" s="45"/>
      <c r="IJN43" s="45"/>
      <c r="IJO43" s="45"/>
      <c r="IJP43" s="45"/>
      <c r="IJQ43" s="45"/>
      <c r="IJR43" s="45"/>
      <c r="IJS43" s="45"/>
      <c r="IJT43" s="45"/>
      <c r="IJU43" s="45"/>
      <c r="IJV43" s="45"/>
      <c r="IJW43" s="45"/>
      <c r="IJX43" s="45"/>
      <c r="IJY43" s="45"/>
      <c r="IJZ43" s="45"/>
      <c r="IKA43" s="45"/>
      <c r="IKB43" s="45"/>
      <c r="IKC43" s="45"/>
      <c r="IKD43" s="45"/>
      <c r="IKE43" s="45"/>
      <c r="IKF43" s="45"/>
      <c r="IKG43" s="45"/>
      <c r="IKH43" s="45"/>
      <c r="IKI43" s="45"/>
      <c r="IKJ43" s="45"/>
      <c r="IKK43" s="45"/>
      <c r="IKL43" s="45"/>
      <c r="IKM43" s="45"/>
      <c r="IKN43" s="45"/>
      <c r="IKO43" s="45"/>
      <c r="IKP43" s="45"/>
      <c r="IKQ43" s="45"/>
      <c r="IKR43" s="45"/>
      <c r="IKS43" s="45"/>
      <c r="IKT43" s="45"/>
      <c r="IKU43" s="45"/>
      <c r="IKV43" s="45"/>
      <c r="IKW43" s="45"/>
      <c r="IKX43" s="45"/>
      <c r="IKY43" s="45"/>
      <c r="IKZ43" s="45"/>
      <c r="ILA43" s="45"/>
      <c r="ILB43" s="45"/>
      <c r="ILC43" s="45"/>
      <c r="ILD43" s="45"/>
      <c r="ILE43" s="45"/>
      <c r="ILF43" s="45"/>
      <c r="ILG43" s="45"/>
      <c r="ILH43" s="45"/>
      <c r="ILI43" s="45"/>
      <c r="ILJ43" s="45"/>
      <c r="ILK43" s="45"/>
      <c r="ILL43" s="45"/>
      <c r="ILM43" s="45"/>
      <c r="ILN43" s="45"/>
      <c r="ILO43" s="45"/>
      <c r="ILP43" s="45"/>
      <c r="ILQ43" s="45"/>
      <c r="ILR43" s="45"/>
      <c r="ILS43" s="45"/>
      <c r="ILT43" s="45"/>
      <c r="ILU43" s="45"/>
      <c r="ILV43" s="45"/>
      <c r="ILW43" s="45"/>
      <c r="ILX43" s="45"/>
      <c r="ILY43" s="45"/>
      <c r="ILZ43" s="45"/>
      <c r="IMA43" s="45"/>
      <c r="IMB43" s="45"/>
      <c r="IMC43" s="45"/>
      <c r="IMD43" s="45"/>
      <c r="IME43" s="45"/>
      <c r="IMF43" s="45"/>
      <c r="IMG43" s="45"/>
      <c r="IMH43" s="45"/>
      <c r="IMI43" s="45"/>
      <c r="IMJ43" s="45"/>
      <c r="IMK43" s="45"/>
      <c r="IML43" s="45"/>
      <c r="IMM43" s="45"/>
      <c r="IMN43" s="45"/>
      <c r="IMO43" s="45"/>
      <c r="IMP43" s="45"/>
      <c r="IMQ43" s="45"/>
      <c r="IMR43" s="45"/>
      <c r="IMS43" s="45"/>
      <c r="IMT43" s="45"/>
      <c r="IMU43" s="45"/>
      <c r="IMV43" s="45"/>
      <c r="IMW43" s="45"/>
      <c r="IMX43" s="45"/>
      <c r="IMY43" s="45"/>
      <c r="IMZ43" s="45"/>
      <c r="INA43" s="45"/>
      <c r="INB43" s="45"/>
      <c r="INC43" s="45"/>
      <c r="IND43" s="45"/>
      <c r="INE43" s="45"/>
      <c r="INF43" s="45"/>
      <c r="ING43" s="45"/>
      <c r="INH43" s="45"/>
      <c r="INI43" s="45"/>
      <c r="INJ43" s="45"/>
      <c r="INK43" s="45"/>
      <c r="INL43" s="45"/>
      <c r="INM43" s="45"/>
      <c r="INN43" s="45"/>
      <c r="INO43" s="45"/>
      <c r="INP43" s="45"/>
      <c r="INQ43" s="45"/>
      <c r="INR43" s="45"/>
      <c r="INS43" s="45"/>
      <c r="INT43" s="45"/>
      <c r="INU43" s="45"/>
      <c r="INV43" s="45"/>
      <c r="INW43" s="45"/>
      <c r="INX43" s="45"/>
      <c r="INY43" s="45"/>
      <c r="INZ43" s="45"/>
      <c r="IOA43" s="45"/>
      <c r="IOB43" s="45"/>
      <c r="IOC43" s="45"/>
      <c r="IOD43" s="45"/>
      <c r="IOE43" s="45"/>
      <c r="IOF43" s="45"/>
      <c r="IOG43" s="45"/>
      <c r="IOH43" s="45"/>
      <c r="IOI43" s="45"/>
      <c r="IOJ43" s="45"/>
      <c r="IOK43" s="45"/>
      <c r="IOL43" s="45"/>
      <c r="IOM43" s="45"/>
      <c r="ION43" s="45"/>
      <c r="IOO43" s="45"/>
      <c r="IOP43" s="45"/>
      <c r="IOQ43" s="45"/>
      <c r="IOR43" s="45"/>
      <c r="IOS43" s="45"/>
      <c r="IOT43" s="45"/>
      <c r="IOU43" s="45"/>
      <c r="IOV43" s="45"/>
      <c r="IOW43" s="45"/>
      <c r="IOX43" s="45"/>
      <c r="IOY43" s="45"/>
      <c r="IOZ43" s="45"/>
      <c r="IPA43" s="45"/>
      <c r="IPB43" s="45"/>
      <c r="IPC43" s="45"/>
      <c r="IPD43" s="45"/>
      <c r="IPE43" s="45"/>
      <c r="IPF43" s="45"/>
      <c r="IPG43" s="45"/>
      <c r="IPH43" s="45"/>
      <c r="IPI43" s="45"/>
      <c r="IPJ43" s="45"/>
      <c r="IPK43" s="45"/>
      <c r="IPL43" s="45"/>
      <c r="IPM43" s="45"/>
      <c r="IPN43" s="45"/>
      <c r="IPO43" s="45"/>
      <c r="IPP43" s="45"/>
      <c r="IPQ43" s="45"/>
      <c r="IPR43" s="45"/>
      <c r="IPS43" s="45"/>
      <c r="IPT43" s="45"/>
      <c r="IPU43" s="45"/>
      <c r="IPV43" s="45"/>
      <c r="IPW43" s="45"/>
      <c r="IPX43" s="45"/>
      <c r="IPY43" s="45"/>
      <c r="IPZ43" s="45"/>
      <c r="IQA43" s="45"/>
      <c r="IQB43" s="45"/>
      <c r="IQC43" s="45"/>
      <c r="IQD43" s="45"/>
      <c r="IQE43" s="45"/>
      <c r="IQF43" s="45"/>
      <c r="IQG43" s="45"/>
      <c r="IQH43" s="45"/>
      <c r="IQI43" s="45"/>
      <c r="IQJ43" s="45"/>
      <c r="IQK43" s="45"/>
      <c r="IQL43" s="45"/>
      <c r="IQM43" s="45"/>
      <c r="IQN43" s="45"/>
      <c r="IQO43" s="45"/>
      <c r="IQP43" s="45"/>
      <c r="IQQ43" s="45"/>
      <c r="IQR43" s="45"/>
      <c r="IQS43" s="45"/>
      <c r="IQT43" s="45"/>
      <c r="IQU43" s="45"/>
      <c r="IQV43" s="45"/>
      <c r="IQW43" s="45"/>
      <c r="IQX43" s="45"/>
      <c r="IQY43" s="45"/>
      <c r="IQZ43" s="45"/>
      <c r="IRA43" s="45"/>
      <c r="IRB43" s="45"/>
      <c r="IRC43" s="45"/>
      <c r="IRD43" s="45"/>
      <c r="IRE43" s="45"/>
      <c r="IRF43" s="45"/>
      <c r="IRG43" s="45"/>
      <c r="IRH43" s="45"/>
      <c r="IRI43" s="45"/>
      <c r="IRJ43" s="45"/>
      <c r="IRK43" s="45"/>
      <c r="IRL43" s="45"/>
      <c r="IRM43" s="45"/>
      <c r="IRN43" s="45"/>
      <c r="IRO43" s="45"/>
      <c r="IRP43" s="45"/>
      <c r="IRQ43" s="45"/>
      <c r="IRR43" s="45"/>
      <c r="IRS43" s="45"/>
      <c r="IRT43" s="45"/>
      <c r="IRU43" s="45"/>
      <c r="IRV43" s="45"/>
      <c r="IRW43" s="45"/>
      <c r="IRX43" s="45"/>
      <c r="IRY43" s="45"/>
      <c r="IRZ43" s="45"/>
      <c r="ISA43" s="45"/>
      <c r="ISB43" s="45"/>
      <c r="ISC43" s="45"/>
      <c r="ISD43" s="45"/>
      <c r="ISE43" s="45"/>
      <c r="ISF43" s="45"/>
      <c r="ISG43" s="45"/>
      <c r="ISH43" s="45"/>
      <c r="ISI43" s="45"/>
      <c r="ISJ43" s="45"/>
      <c r="ISK43" s="45"/>
      <c r="ISL43" s="45"/>
      <c r="ISM43" s="45"/>
      <c r="ISN43" s="45"/>
      <c r="ISO43" s="45"/>
      <c r="ISP43" s="45"/>
      <c r="ISQ43" s="45"/>
      <c r="ISR43" s="45"/>
      <c r="ISS43" s="45"/>
      <c r="IST43" s="45"/>
      <c r="ISU43" s="45"/>
      <c r="ISV43" s="45"/>
      <c r="ISW43" s="45"/>
      <c r="ISX43" s="45"/>
      <c r="ISY43" s="45"/>
      <c r="ISZ43" s="45"/>
      <c r="ITA43" s="45"/>
      <c r="ITB43" s="45"/>
      <c r="ITC43" s="45"/>
      <c r="ITD43" s="45"/>
      <c r="ITE43" s="45"/>
      <c r="ITF43" s="45"/>
      <c r="ITG43" s="45"/>
      <c r="ITH43" s="45"/>
      <c r="ITI43" s="45"/>
      <c r="ITJ43" s="45"/>
      <c r="ITK43" s="45"/>
      <c r="ITL43" s="45"/>
      <c r="ITM43" s="45"/>
      <c r="ITN43" s="45"/>
      <c r="ITO43" s="45"/>
      <c r="ITP43" s="45"/>
      <c r="ITQ43" s="45"/>
      <c r="ITR43" s="45"/>
      <c r="ITS43" s="45"/>
      <c r="ITT43" s="45"/>
      <c r="ITU43" s="45"/>
      <c r="ITV43" s="45"/>
      <c r="ITW43" s="45"/>
      <c r="ITX43" s="45"/>
      <c r="ITY43" s="45"/>
      <c r="ITZ43" s="45"/>
      <c r="IUA43" s="45"/>
      <c r="IUB43" s="45"/>
      <c r="IUC43" s="45"/>
      <c r="IUD43" s="45"/>
      <c r="IUE43" s="45"/>
      <c r="IUF43" s="45"/>
      <c r="IUG43" s="45"/>
      <c r="IUH43" s="45"/>
      <c r="IUI43" s="45"/>
      <c r="IUJ43" s="45"/>
      <c r="IUK43" s="45"/>
      <c r="IUL43" s="45"/>
      <c r="IUM43" s="45"/>
      <c r="IUN43" s="45"/>
      <c r="IUO43" s="45"/>
      <c r="IUP43" s="45"/>
      <c r="IUQ43" s="45"/>
      <c r="IUR43" s="45"/>
      <c r="IUS43" s="45"/>
      <c r="IUT43" s="45"/>
      <c r="IUU43" s="45"/>
      <c r="IUV43" s="45"/>
      <c r="IUW43" s="45"/>
      <c r="IUX43" s="45"/>
      <c r="IUY43" s="45"/>
      <c r="IUZ43" s="45"/>
      <c r="IVA43" s="45"/>
      <c r="IVB43" s="45"/>
      <c r="IVC43" s="45"/>
      <c r="IVD43" s="45"/>
      <c r="IVE43" s="45"/>
      <c r="IVF43" s="45"/>
      <c r="IVG43" s="45"/>
      <c r="IVH43" s="45"/>
      <c r="IVI43" s="45"/>
      <c r="IVJ43" s="45"/>
      <c r="IVK43" s="45"/>
      <c r="IVL43" s="45"/>
      <c r="IVM43" s="45"/>
      <c r="IVN43" s="45"/>
      <c r="IVO43" s="45"/>
      <c r="IVP43" s="45"/>
      <c r="IVQ43" s="45"/>
      <c r="IVR43" s="45"/>
      <c r="IVS43" s="45"/>
      <c r="IVT43" s="45"/>
      <c r="IVU43" s="45"/>
      <c r="IVV43" s="45"/>
      <c r="IVW43" s="45"/>
      <c r="IVX43" s="45"/>
      <c r="IVY43" s="45"/>
      <c r="IVZ43" s="45"/>
      <c r="IWA43" s="45"/>
      <c r="IWB43" s="45"/>
      <c r="IWC43" s="45"/>
      <c r="IWD43" s="45"/>
      <c r="IWE43" s="45"/>
      <c r="IWF43" s="45"/>
      <c r="IWG43" s="45"/>
      <c r="IWH43" s="45"/>
      <c r="IWI43" s="45"/>
      <c r="IWJ43" s="45"/>
      <c r="IWK43" s="45"/>
      <c r="IWL43" s="45"/>
      <c r="IWM43" s="45"/>
      <c r="IWN43" s="45"/>
      <c r="IWO43" s="45"/>
      <c r="IWP43" s="45"/>
      <c r="IWQ43" s="45"/>
      <c r="IWR43" s="45"/>
      <c r="IWS43" s="45"/>
      <c r="IWT43" s="45"/>
      <c r="IWU43" s="45"/>
      <c r="IWV43" s="45"/>
      <c r="IWW43" s="45"/>
      <c r="IWX43" s="45"/>
      <c r="IWY43" s="45"/>
      <c r="IWZ43" s="45"/>
      <c r="IXA43" s="45"/>
      <c r="IXB43" s="45"/>
      <c r="IXC43" s="45"/>
      <c r="IXD43" s="45"/>
      <c r="IXE43" s="45"/>
      <c r="IXF43" s="45"/>
      <c r="IXG43" s="45"/>
      <c r="IXH43" s="45"/>
      <c r="IXI43" s="45"/>
      <c r="IXJ43" s="45"/>
      <c r="IXK43" s="45"/>
      <c r="IXL43" s="45"/>
      <c r="IXM43" s="45"/>
      <c r="IXN43" s="45"/>
      <c r="IXO43" s="45"/>
      <c r="IXP43" s="45"/>
      <c r="IXQ43" s="45"/>
      <c r="IXR43" s="45"/>
      <c r="IXS43" s="45"/>
      <c r="IXT43" s="45"/>
      <c r="IXU43" s="45"/>
      <c r="IXV43" s="45"/>
      <c r="IXW43" s="45"/>
      <c r="IXX43" s="45"/>
      <c r="IXY43" s="45"/>
      <c r="IXZ43" s="45"/>
      <c r="IYA43" s="45"/>
      <c r="IYB43" s="45"/>
      <c r="IYC43" s="45"/>
      <c r="IYD43" s="45"/>
      <c r="IYE43" s="45"/>
      <c r="IYF43" s="45"/>
      <c r="IYG43" s="45"/>
      <c r="IYH43" s="45"/>
      <c r="IYI43" s="45"/>
      <c r="IYJ43" s="45"/>
      <c r="IYK43" s="45"/>
      <c r="IYL43" s="45"/>
      <c r="IYM43" s="45"/>
      <c r="IYN43" s="45"/>
      <c r="IYO43" s="45"/>
      <c r="IYP43" s="45"/>
      <c r="IYQ43" s="45"/>
      <c r="IYR43" s="45"/>
      <c r="IYS43" s="45"/>
      <c r="IYT43" s="45"/>
      <c r="IYU43" s="45"/>
      <c r="IYV43" s="45"/>
      <c r="IYW43" s="45"/>
      <c r="IYX43" s="45"/>
      <c r="IYY43" s="45"/>
      <c r="IYZ43" s="45"/>
      <c r="IZA43" s="45"/>
      <c r="IZB43" s="45"/>
      <c r="IZC43" s="45"/>
      <c r="IZD43" s="45"/>
      <c r="IZE43" s="45"/>
      <c r="IZF43" s="45"/>
      <c r="IZG43" s="45"/>
      <c r="IZH43" s="45"/>
      <c r="IZI43" s="45"/>
      <c r="IZJ43" s="45"/>
      <c r="IZK43" s="45"/>
      <c r="IZL43" s="45"/>
      <c r="IZM43" s="45"/>
      <c r="IZN43" s="45"/>
      <c r="IZO43" s="45"/>
      <c r="IZP43" s="45"/>
      <c r="IZQ43" s="45"/>
      <c r="IZR43" s="45"/>
      <c r="IZS43" s="45"/>
      <c r="IZT43" s="45"/>
      <c r="IZU43" s="45"/>
      <c r="IZV43" s="45"/>
      <c r="IZW43" s="45"/>
      <c r="IZX43" s="45"/>
      <c r="IZY43" s="45"/>
      <c r="IZZ43" s="45"/>
      <c r="JAA43" s="45"/>
      <c r="JAB43" s="45"/>
      <c r="JAC43" s="45"/>
      <c r="JAD43" s="45"/>
      <c r="JAE43" s="45"/>
      <c r="JAF43" s="45"/>
      <c r="JAG43" s="45"/>
      <c r="JAH43" s="45"/>
      <c r="JAI43" s="45"/>
      <c r="JAJ43" s="45"/>
      <c r="JAK43" s="45"/>
      <c r="JAL43" s="45"/>
      <c r="JAM43" s="45"/>
      <c r="JAN43" s="45"/>
      <c r="JAO43" s="45"/>
      <c r="JAP43" s="45"/>
      <c r="JAQ43" s="45"/>
      <c r="JAR43" s="45"/>
      <c r="JAS43" s="45"/>
      <c r="JAT43" s="45"/>
      <c r="JAU43" s="45"/>
      <c r="JAV43" s="45"/>
      <c r="JAW43" s="45"/>
      <c r="JAX43" s="45"/>
      <c r="JAY43" s="45"/>
      <c r="JAZ43" s="45"/>
      <c r="JBA43" s="45"/>
      <c r="JBB43" s="45"/>
      <c r="JBC43" s="45"/>
      <c r="JBD43" s="45"/>
      <c r="JBE43" s="45"/>
      <c r="JBF43" s="45"/>
      <c r="JBG43" s="45"/>
      <c r="JBH43" s="45"/>
      <c r="JBI43" s="45"/>
      <c r="JBJ43" s="45"/>
      <c r="JBK43" s="45"/>
      <c r="JBL43" s="45"/>
      <c r="JBM43" s="45"/>
      <c r="JBN43" s="45"/>
      <c r="JBO43" s="45"/>
      <c r="JBP43" s="45"/>
      <c r="JBQ43" s="45"/>
      <c r="JBR43" s="45"/>
      <c r="JBS43" s="45"/>
      <c r="JBT43" s="45"/>
      <c r="JBU43" s="45"/>
      <c r="JBV43" s="45"/>
      <c r="JBW43" s="45"/>
      <c r="JBX43" s="45"/>
      <c r="JBY43" s="45"/>
      <c r="JBZ43" s="45"/>
      <c r="JCA43" s="45"/>
      <c r="JCB43" s="45"/>
      <c r="JCC43" s="45"/>
      <c r="JCD43" s="45"/>
      <c r="JCE43" s="45"/>
      <c r="JCF43" s="45"/>
      <c r="JCG43" s="45"/>
      <c r="JCH43" s="45"/>
      <c r="JCI43" s="45"/>
      <c r="JCJ43" s="45"/>
      <c r="JCK43" s="45"/>
      <c r="JCL43" s="45"/>
      <c r="JCM43" s="45"/>
      <c r="JCN43" s="45"/>
      <c r="JCO43" s="45"/>
      <c r="JCP43" s="45"/>
      <c r="JCQ43" s="45"/>
      <c r="JCR43" s="45"/>
      <c r="JCS43" s="45"/>
      <c r="JCT43" s="45"/>
      <c r="JCU43" s="45"/>
      <c r="JCV43" s="45"/>
      <c r="JCW43" s="45"/>
      <c r="JCX43" s="45"/>
      <c r="JCY43" s="45"/>
      <c r="JCZ43" s="45"/>
      <c r="JDA43" s="45"/>
      <c r="JDB43" s="45"/>
      <c r="JDC43" s="45"/>
      <c r="JDD43" s="45"/>
      <c r="JDE43" s="45"/>
      <c r="JDF43" s="45"/>
      <c r="JDG43" s="45"/>
      <c r="JDH43" s="45"/>
      <c r="JDI43" s="45"/>
      <c r="JDJ43" s="45"/>
      <c r="JDK43" s="45"/>
      <c r="JDL43" s="45"/>
      <c r="JDM43" s="45"/>
      <c r="JDN43" s="45"/>
      <c r="JDO43" s="45"/>
      <c r="JDP43" s="45"/>
      <c r="JDQ43" s="45"/>
      <c r="JDR43" s="45"/>
      <c r="JDS43" s="45"/>
      <c r="JDT43" s="45"/>
      <c r="JDU43" s="45"/>
      <c r="JDV43" s="45"/>
      <c r="JDW43" s="45"/>
      <c r="JDX43" s="45"/>
      <c r="JDY43" s="45"/>
      <c r="JDZ43" s="45"/>
      <c r="JEA43" s="45"/>
      <c r="JEB43" s="45"/>
      <c r="JEC43" s="45"/>
      <c r="JED43" s="45"/>
      <c r="JEE43" s="45"/>
      <c r="JEF43" s="45"/>
      <c r="JEG43" s="45"/>
      <c r="JEH43" s="45"/>
      <c r="JEI43" s="45"/>
      <c r="JEJ43" s="45"/>
      <c r="JEK43" s="45"/>
      <c r="JEL43" s="45"/>
      <c r="JEM43" s="45"/>
      <c r="JEN43" s="45"/>
      <c r="JEO43" s="45"/>
      <c r="JEP43" s="45"/>
      <c r="JEQ43" s="45"/>
      <c r="JER43" s="45"/>
      <c r="JES43" s="45"/>
      <c r="JET43" s="45"/>
      <c r="JEU43" s="45"/>
      <c r="JEV43" s="45"/>
      <c r="JEW43" s="45"/>
      <c r="JEX43" s="45"/>
      <c r="JEY43" s="45"/>
      <c r="JEZ43" s="45"/>
      <c r="JFA43" s="45"/>
      <c r="JFB43" s="45"/>
      <c r="JFC43" s="45"/>
      <c r="JFD43" s="45"/>
      <c r="JFE43" s="45"/>
      <c r="JFF43" s="45"/>
      <c r="JFG43" s="45"/>
      <c r="JFH43" s="45"/>
      <c r="JFI43" s="45"/>
      <c r="JFJ43" s="45"/>
      <c r="JFK43" s="45"/>
      <c r="JFL43" s="45"/>
      <c r="JFM43" s="45"/>
      <c r="JFN43" s="45"/>
      <c r="JFO43" s="45"/>
      <c r="JFP43" s="45"/>
      <c r="JFQ43" s="45"/>
      <c r="JFR43" s="45"/>
      <c r="JFS43" s="45"/>
      <c r="JFT43" s="45"/>
      <c r="JFU43" s="45"/>
      <c r="JFV43" s="45"/>
      <c r="JFW43" s="45"/>
      <c r="JFX43" s="45"/>
      <c r="JFY43" s="45"/>
      <c r="JFZ43" s="45"/>
      <c r="JGA43" s="45"/>
      <c r="JGB43" s="45"/>
      <c r="JGC43" s="45"/>
      <c r="JGD43" s="45"/>
      <c r="JGE43" s="45"/>
      <c r="JGF43" s="45"/>
      <c r="JGG43" s="45"/>
      <c r="JGH43" s="45"/>
      <c r="JGI43" s="45"/>
      <c r="JGJ43" s="45"/>
      <c r="JGK43" s="45"/>
      <c r="JGL43" s="45"/>
      <c r="JGM43" s="45"/>
      <c r="JGN43" s="45"/>
      <c r="JGO43" s="45"/>
      <c r="JGP43" s="45"/>
      <c r="JGQ43" s="45"/>
      <c r="JGR43" s="45"/>
      <c r="JGS43" s="45"/>
      <c r="JGT43" s="45"/>
      <c r="JGU43" s="45"/>
      <c r="JGV43" s="45"/>
      <c r="JGW43" s="45"/>
      <c r="JGX43" s="45"/>
      <c r="JGY43" s="45"/>
      <c r="JGZ43" s="45"/>
      <c r="JHA43" s="45"/>
      <c r="JHB43" s="45"/>
      <c r="JHC43" s="45"/>
      <c r="JHD43" s="45"/>
      <c r="JHE43" s="45"/>
      <c r="JHF43" s="45"/>
      <c r="JHG43" s="45"/>
      <c r="JHH43" s="45"/>
      <c r="JHI43" s="45"/>
      <c r="JHJ43" s="45"/>
      <c r="JHK43" s="45"/>
      <c r="JHL43" s="45"/>
      <c r="JHM43" s="45"/>
      <c r="JHN43" s="45"/>
      <c r="JHO43" s="45"/>
      <c r="JHP43" s="45"/>
      <c r="JHQ43" s="45"/>
      <c r="JHR43" s="45"/>
      <c r="JHS43" s="45"/>
      <c r="JHT43" s="45"/>
      <c r="JHU43" s="45"/>
      <c r="JHV43" s="45"/>
      <c r="JHW43" s="45"/>
      <c r="JHX43" s="45"/>
      <c r="JHY43" s="45"/>
      <c r="JHZ43" s="45"/>
      <c r="JIA43" s="45"/>
      <c r="JIB43" s="45"/>
      <c r="JIC43" s="45"/>
      <c r="JID43" s="45"/>
      <c r="JIE43" s="45"/>
      <c r="JIF43" s="45"/>
      <c r="JIG43" s="45"/>
      <c r="JIH43" s="45"/>
      <c r="JII43" s="45"/>
      <c r="JIJ43" s="45"/>
      <c r="JIK43" s="45"/>
      <c r="JIL43" s="45"/>
      <c r="JIM43" s="45"/>
      <c r="JIN43" s="45"/>
      <c r="JIO43" s="45"/>
      <c r="JIP43" s="45"/>
      <c r="JIQ43" s="45"/>
      <c r="JIR43" s="45"/>
      <c r="JIS43" s="45"/>
      <c r="JIT43" s="45"/>
      <c r="JIU43" s="45"/>
      <c r="JIV43" s="45"/>
      <c r="JIW43" s="45"/>
      <c r="JIX43" s="45"/>
      <c r="JIY43" s="45"/>
      <c r="JIZ43" s="45"/>
      <c r="JJA43" s="45"/>
      <c r="JJB43" s="45"/>
      <c r="JJC43" s="45"/>
      <c r="JJD43" s="45"/>
      <c r="JJE43" s="45"/>
      <c r="JJF43" s="45"/>
      <c r="JJG43" s="45"/>
      <c r="JJH43" s="45"/>
      <c r="JJI43" s="45"/>
      <c r="JJJ43" s="45"/>
      <c r="JJK43" s="45"/>
      <c r="JJL43" s="45"/>
      <c r="JJM43" s="45"/>
      <c r="JJN43" s="45"/>
      <c r="JJO43" s="45"/>
      <c r="JJP43" s="45"/>
      <c r="JJQ43" s="45"/>
      <c r="JJR43" s="45"/>
      <c r="JJS43" s="45"/>
      <c r="JJT43" s="45"/>
      <c r="JJU43" s="45"/>
      <c r="JJV43" s="45"/>
      <c r="JJW43" s="45"/>
      <c r="JJX43" s="45"/>
      <c r="JJY43" s="45"/>
      <c r="JJZ43" s="45"/>
      <c r="JKA43" s="45"/>
      <c r="JKB43" s="45"/>
      <c r="JKC43" s="45"/>
      <c r="JKD43" s="45"/>
      <c r="JKE43" s="45"/>
      <c r="JKF43" s="45"/>
      <c r="JKG43" s="45"/>
      <c r="JKH43" s="45"/>
      <c r="JKI43" s="45"/>
      <c r="JKJ43" s="45"/>
      <c r="JKK43" s="45"/>
      <c r="JKL43" s="45"/>
      <c r="JKM43" s="45"/>
      <c r="JKN43" s="45"/>
      <c r="JKO43" s="45"/>
      <c r="JKP43" s="45"/>
      <c r="JKQ43" s="45"/>
      <c r="JKR43" s="45"/>
      <c r="JKS43" s="45"/>
      <c r="JKT43" s="45"/>
      <c r="JKU43" s="45"/>
      <c r="JKV43" s="45"/>
      <c r="JKW43" s="45"/>
      <c r="JKX43" s="45"/>
      <c r="JKY43" s="45"/>
      <c r="JKZ43" s="45"/>
      <c r="JLA43" s="45"/>
      <c r="JLB43" s="45"/>
      <c r="JLC43" s="45"/>
      <c r="JLD43" s="45"/>
      <c r="JLE43" s="45"/>
      <c r="JLF43" s="45"/>
      <c r="JLG43" s="45"/>
      <c r="JLH43" s="45"/>
      <c r="JLI43" s="45"/>
      <c r="JLJ43" s="45"/>
      <c r="JLK43" s="45"/>
      <c r="JLL43" s="45"/>
      <c r="JLM43" s="45"/>
      <c r="JLN43" s="45"/>
      <c r="JLO43" s="45"/>
      <c r="JLP43" s="45"/>
      <c r="JLQ43" s="45"/>
      <c r="JLR43" s="45"/>
      <c r="JLS43" s="45"/>
      <c r="JLT43" s="45"/>
      <c r="JLU43" s="45"/>
      <c r="JLV43" s="45"/>
      <c r="JLW43" s="45"/>
      <c r="JLX43" s="45"/>
      <c r="JLY43" s="45"/>
      <c r="JLZ43" s="45"/>
      <c r="JMA43" s="45"/>
      <c r="JMB43" s="45"/>
      <c r="JMC43" s="45"/>
      <c r="JMD43" s="45"/>
      <c r="JME43" s="45"/>
      <c r="JMF43" s="45"/>
      <c r="JMG43" s="45"/>
      <c r="JMH43" s="45"/>
      <c r="JMI43" s="45"/>
      <c r="JMJ43" s="45"/>
      <c r="JMK43" s="45"/>
      <c r="JML43" s="45"/>
      <c r="JMM43" s="45"/>
      <c r="JMN43" s="45"/>
      <c r="JMO43" s="45"/>
      <c r="JMP43" s="45"/>
      <c r="JMQ43" s="45"/>
      <c r="JMR43" s="45"/>
      <c r="JMS43" s="45"/>
      <c r="JMT43" s="45"/>
      <c r="JMU43" s="45"/>
      <c r="JMV43" s="45"/>
      <c r="JMW43" s="45"/>
      <c r="JMX43" s="45"/>
      <c r="JMY43" s="45"/>
      <c r="JMZ43" s="45"/>
      <c r="JNA43" s="45"/>
      <c r="JNB43" s="45"/>
      <c r="JNC43" s="45"/>
      <c r="JND43" s="45"/>
      <c r="JNE43" s="45"/>
      <c r="JNF43" s="45"/>
      <c r="JNG43" s="45"/>
      <c r="JNH43" s="45"/>
      <c r="JNI43" s="45"/>
      <c r="JNJ43" s="45"/>
      <c r="JNK43" s="45"/>
      <c r="JNL43" s="45"/>
      <c r="JNM43" s="45"/>
      <c r="JNN43" s="45"/>
      <c r="JNO43" s="45"/>
      <c r="JNP43" s="45"/>
      <c r="JNQ43" s="45"/>
      <c r="JNR43" s="45"/>
      <c r="JNS43" s="45"/>
      <c r="JNT43" s="45"/>
      <c r="JNU43" s="45"/>
      <c r="JNV43" s="45"/>
      <c r="JNW43" s="45"/>
      <c r="JNX43" s="45"/>
      <c r="JNY43" s="45"/>
      <c r="JNZ43" s="45"/>
      <c r="JOA43" s="45"/>
      <c r="JOB43" s="45"/>
      <c r="JOC43" s="45"/>
      <c r="JOD43" s="45"/>
      <c r="JOE43" s="45"/>
      <c r="JOF43" s="45"/>
      <c r="JOG43" s="45"/>
      <c r="JOH43" s="45"/>
      <c r="JOI43" s="45"/>
      <c r="JOJ43" s="45"/>
      <c r="JOK43" s="45"/>
      <c r="JOL43" s="45"/>
      <c r="JOM43" s="45"/>
      <c r="JON43" s="45"/>
      <c r="JOO43" s="45"/>
      <c r="JOP43" s="45"/>
      <c r="JOQ43" s="45"/>
      <c r="JOR43" s="45"/>
      <c r="JOS43" s="45"/>
      <c r="JOT43" s="45"/>
      <c r="JOU43" s="45"/>
      <c r="JOV43" s="45"/>
      <c r="JOW43" s="45"/>
      <c r="JOX43" s="45"/>
      <c r="JOY43" s="45"/>
      <c r="JOZ43" s="45"/>
      <c r="JPA43" s="45"/>
      <c r="JPB43" s="45"/>
      <c r="JPC43" s="45"/>
      <c r="JPD43" s="45"/>
      <c r="JPE43" s="45"/>
      <c r="JPF43" s="45"/>
      <c r="JPG43" s="45"/>
      <c r="JPH43" s="45"/>
      <c r="JPI43" s="45"/>
      <c r="JPJ43" s="45"/>
      <c r="JPK43" s="45"/>
      <c r="JPL43" s="45"/>
      <c r="JPM43" s="45"/>
      <c r="JPN43" s="45"/>
      <c r="JPO43" s="45"/>
      <c r="JPP43" s="45"/>
      <c r="JPQ43" s="45"/>
      <c r="JPR43" s="45"/>
      <c r="JPS43" s="45"/>
      <c r="JPT43" s="45"/>
      <c r="JPU43" s="45"/>
      <c r="JPV43" s="45"/>
      <c r="JPW43" s="45"/>
      <c r="JPX43" s="45"/>
      <c r="JPY43" s="45"/>
      <c r="JPZ43" s="45"/>
      <c r="JQA43" s="45"/>
      <c r="JQB43" s="45"/>
      <c r="JQC43" s="45"/>
      <c r="JQD43" s="45"/>
      <c r="JQE43" s="45"/>
      <c r="JQF43" s="45"/>
      <c r="JQG43" s="45"/>
      <c r="JQH43" s="45"/>
      <c r="JQI43" s="45"/>
      <c r="JQJ43" s="45"/>
      <c r="JQK43" s="45"/>
      <c r="JQL43" s="45"/>
      <c r="JQM43" s="45"/>
      <c r="JQN43" s="45"/>
      <c r="JQO43" s="45"/>
      <c r="JQP43" s="45"/>
      <c r="JQQ43" s="45"/>
      <c r="JQR43" s="45"/>
      <c r="JQS43" s="45"/>
      <c r="JQT43" s="45"/>
      <c r="JQU43" s="45"/>
      <c r="JQV43" s="45"/>
      <c r="JQW43" s="45"/>
      <c r="JQX43" s="45"/>
      <c r="JQY43" s="45"/>
      <c r="JQZ43" s="45"/>
      <c r="JRA43" s="45"/>
      <c r="JRB43" s="45"/>
      <c r="JRC43" s="45"/>
      <c r="JRD43" s="45"/>
      <c r="JRE43" s="45"/>
      <c r="JRF43" s="45"/>
      <c r="JRG43" s="45"/>
      <c r="JRH43" s="45"/>
      <c r="JRI43" s="45"/>
      <c r="JRJ43" s="45"/>
      <c r="JRK43" s="45"/>
      <c r="JRL43" s="45"/>
      <c r="JRM43" s="45"/>
      <c r="JRN43" s="45"/>
      <c r="JRO43" s="45"/>
      <c r="JRP43" s="45"/>
      <c r="JRQ43" s="45"/>
      <c r="JRR43" s="45"/>
      <c r="JRS43" s="45"/>
      <c r="JRT43" s="45"/>
      <c r="JRU43" s="45"/>
      <c r="JRV43" s="45"/>
      <c r="JRW43" s="45"/>
      <c r="JRX43" s="45"/>
      <c r="JRY43" s="45"/>
      <c r="JRZ43" s="45"/>
      <c r="JSA43" s="45"/>
      <c r="JSB43" s="45"/>
      <c r="JSC43" s="45"/>
      <c r="JSD43" s="45"/>
      <c r="JSE43" s="45"/>
      <c r="JSF43" s="45"/>
      <c r="JSG43" s="45"/>
      <c r="JSH43" s="45"/>
      <c r="JSI43" s="45"/>
      <c r="JSJ43" s="45"/>
      <c r="JSK43" s="45"/>
      <c r="JSL43" s="45"/>
      <c r="JSM43" s="45"/>
      <c r="JSN43" s="45"/>
      <c r="JSO43" s="45"/>
      <c r="JSP43" s="45"/>
      <c r="JSQ43" s="45"/>
      <c r="JSR43" s="45"/>
      <c r="JSS43" s="45"/>
      <c r="JST43" s="45"/>
      <c r="JSU43" s="45"/>
      <c r="JSV43" s="45"/>
      <c r="JSW43" s="45"/>
      <c r="JSX43" s="45"/>
      <c r="JSY43" s="45"/>
      <c r="JSZ43" s="45"/>
      <c r="JTA43" s="45"/>
      <c r="JTB43" s="45"/>
      <c r="JTC43" s="45"/>
      <c r="JTD43" s="45"/>
      <c r="JTE43" s="45"/>
      <c r="JTF43" s="45"/>
      <c r="JTG43" s="45"/>
      <c r="JTH43" s="45"/>
      <c r="JTI43" s="45"/>
      <c r="JTJ43" s="45"/>
      <c r="JTK43" s="45"/>
      <c r="JTL43" s="45"/>
      <c r="JTM43" s="45"/>
      <c r="JTN43" s="45"/>
      <c r="JTO43" s="45"/>
      <c r="JTP43" s="45"/>
      <c r="JTQ43" s="45"/>
      <c r="JTR43" s="45"/>
      <c r="JTS43" s="45"/>
      <c r="JTT43" s="45"/>
      <c r="JTU43" s="45"/>
      <c r="JTV43" s="45"/>
      <c r="JTW43" s="45"/>
      <c r="JTX43" s="45"/>
      <c r="JTY43" s="45"/>
      <c r="JTZ43" s="45"/>
      <c r="JUA43" s="45"/>
      <c r="JUB43" s="45"/>
      <c r="JUC43" s="45"/>
      <c r="JUD43" s="45"/>
      <c r="JUE43" s="45"/>
      <c r="JUF43" s="45"/>
      <c r="JUG43" s="45"/>
      <c r="JUH43" s="45"/>
      <c r="JUI43" s="45"/>
      <c r="JUJ43" s="45"/>
      <c r="JUK43" s="45"/>
      <c r="JUL43" s="45"/>
      <c r="JUM43" s="45"/>
      <c r="JUN43" s="45"/>
      <c r="JUO43" s="45"/>
      <c r="JUP43" s="45"/>
      <c r="JUQ43" s="45"/>
      <c r="JUR43" s="45"/>
      <c r="JUS43" s="45"/>
      <c r="JUT43" s="45"/>
      <c r="JUU43" s="45"/>
      <c r="JUV43" s="45"/>
      <c r="JUW43" s="45"/>
      <c r="JUX43" s="45"/>
      <c r="JUY43" s="45"/>
      <c r="JUZ43" s="45"/>
      <c r="JVA43" s="45"/>
      <c r="JVB43" s="45"/>
      <c r="JVC43" s="45"/>
      <c r="JVD43" s="45"/>
      <c r="JVE43" s="45"/>
      <c r="JVF43" s="45"/>
      <c r="JVG43" s="45"/>
      <c r="JVH43" s="45"/>
      <c r="JVI43" s="45"/>
      <c r="JVJ43" s="45"/>
      <c r="JVK43" s="45"/>
      <c r="JVL43" s="45"/>
      <c r="JVM43" s="45"/>
      <c r="JVN43" s="45"/>
      <c r="JVO43" s="45"/>
      <c r="JVP43" s="45"/>
      <c r="JVQ43" s="45"/>
      <c r="JVR43" s="45"/>
      <c r="JVS43" s="45"/>
      <c r="JVT43" s="45"/>
      <c r="JVU43" s="45"/>
      <c r="JVV43" s="45"/>
      <c r="JVW43" s="45"/>
      <c r="JVX43" s="45"/>
      <c r="JVY43" s="45"/>
      <c r="JVZ43" s="45"/>
      <c r="JWA43" s="45"/>
      <c r="JWB43" s="45"/>
      <c r="JWC43" s="45"/>
      <c r="JWD43" s="45"/>
      <c r="JWE43" s="45"/>
      <c r="JWF43" s="45"/>
      <c r="JWG43" s="45"/>
      <c r="JWH43" s="45"/>
      <c r="JWI43" s="45"/>
      <c r="JWJ43" s="45"/>
      <c r="JWK43" s="45"/>
      <c r="JWL43" s="45"/>
      <c r="JWM43" s="45"/>
      <c r="JWN43" s="45"/>
      <c r="JWO43" s="45"/>
      <c r="JWP43" s="45"/>
      <c r="JWQ43" s="45"/>
      <c r="JWR43" s="45"/>
      <c r="JWS43" s="45"/>
      <c r="JWT43" s="45"/>
      <c r="JWU43" s="45"/>
      <c r="JWV43" s="45"/>
      <c r="JWW43" s="45"/>
      <c r="JWX43" s="45"/>
      <c r="JWY43" s="45"/>
      <c r="JWZ43" s="45"/>
      <c r="JXA43" s="45"/>
      <c r="JXB43" s="45"/>
      <c r="JXC43" s="45"/>
      <c r="JXD43" s="45"/>
      <c r="JXE43" s="45"/>
      <c r="JXF43" s="45"/>
      <c r="JXG43" s="45"/>
      <c r="JXH43" s="45"/>
      <c r="JXI43" s="45"/>
      <c r="JXJ43" s="45"/>
      <c r="JXK43" s="45"/>
      <c r="JXL43" s="45"/>
      <c r="JXM43" s="45"/>
      <c r="JXN43" s="45"/>
      <c r="JXO43" s="45"/>
      <c r="JXP43" s="45"/>
      <c r="JXQ43" s="45"/>
      <c r="JXR43" s="45"/>
      <c r="JXS43" s="45"/>
      <c r="JXT43" s="45"/>
      <c r="JXU43" s="45"/>
      <c r="JXV43" s="45"/>
      <c r="JXW43" s="45"/>
      <c r="JXX43" s="45"/>
      <c r="JXY43" s="45"/>
      <c r="JXZ43" s="45"/>
      <c r="JYA43" s="45"/>
      <c r="JYB43" s="45"/>
      <c r="JYC43" s="45"/>
      <c r="JYD43" s="45"/>
      <c r="JYE43" s="45"/>
      <c r="JYF43" s="45"/>
      <c r="JYG43" s="45"/>
      <c r="JYH43" s="45"/>
      <c r="JYI43" s="45"/>
      <c r="JYJ43" s="45"/>
      <c r="JYK43" s="45"/>
      <c r="JYL43" s="45"/>
      <c r="JYM43" s="45"/>
      <c r="JYN43" s="45"/>
      <c r="JYO43" s="45"/>
      <c r="JYP43" s="45"/>
      <c r="JYQ43" s="45"/>
      <c r="JYR43" s="45"/>
      <c r="JYS43" s="45"/>
      <c r="JYT43" s="45"/>
      <c r="JYU43" s="45"/>
      <c r="JYV43" s="45"/>
      <c r="JYW43" s="45"/>
      <c r="JYX43" s="45"/>
      <c r="JYY43" s="45"/>
      <c r="JYZ43" s="45"/>
      <c r="JZA43" s="45"/>
      <c r="JZB43" s="45"/>
      <c r="JZC43" s="45"/>
      <c r="JZD43" s="45"/>
      <c r="JZE43" s="45"/>
      <c r="JZF43" s="45"/>
      <c r="JZG43" s="45"/>
      <c r="JZH43" s="45"/>
      <c r="JZI43" s="45"/>
      <c r="JZJ43" s="45"/>
      <c r="JZK43" s="45"/>
      <c r="JZL43" s="45"/>
      <c r="JZM43" s="45"/>
      <c r="JZN43" s="45"/>
      <c r="JZO43" s="45"/>
      <c r="JZP43" s="45"/>
      <c r="JZQ43" s="45"/>
      <c r="JZR43" s="45"/>
      <c r="JZS43" s="45"/>
      <c r="JZT43" s="45"/>
      <c r="JZU43" s="45"/>
      <c r="JZV43" s="45"/>
      <c r="JZW43" s="45"/>
      <c r="JZX43" s="45"/>
      <c r="JZY43" s="45"/>
      <c r="JZZ43" s="45"/>
      <c r="KAA43" s="45"/>
      <c r="KAB43" s="45"/>
      <c r="KAC43" s="45"/>
      <c r="KAD43" s="45"/>
      <c r="KAE43" s="45"/>
      <c r="KAF43" s="45"/>
      <c r="KAG43" s="45"/>
      <c r="KAH43" s="45"/>
      <c r="KAI43" s="45"/>
      <c r="KAJ43" s="45"/>
      <c r="KAK43" s="45"/>
      <c r="KAL43" s="45"/>
      <c r="KAM43" s="45"/>
      <c r="KAN43" s="45"/>
      <c r="KAO43" s="45"/>
      <c r="KAP43" s="45"/>
      <c r="KAQ43" s="45"/>
      <c r="KAR43" s="45"/>
      <c r="KAS43" s="45"/>
      <c r="KAT43" s="45"/>
      <c r="KAU43" s="45"/>
      <c r="KAV43" s="45"/>
      <c r="KAW43" s="45"/>
      <c r="KAX43" s="45"/>
      <c r="KAY43" s="45"/>
      <c r="KAZ43" s="45"/>
      <c r="KBA43" s="45"/>
      <c r="KBB43" s="45"/>
      <c r="KBC43" s="45"/>
      <c r="KBD43" s="45"/>
      <c r="KBE43" s="45"/>
      <c r="KBF43" s="45"/>
      <c r="KBG43" s="45"/>
      <c r="KBH43" s="45"/>
      <c r="KBI43" s="45"/>
      <c r="KBJ43" s="45"/>
      <c r="KBK43" s="45"/>
      <c r="KBL43" s="45"/>
      <c r="KBM43" s="45"/>
      <c r="KBN43" s="45"/>
      <c r="KBO43" s="45"/>
      <c r="KBP43" s="45"/>
      <c r="KBQ43" s="45"/>
      <c r="KBR43" s="45"/>
      <c r="KBS43" s="45"/>
      <c r="KBT43" s="45"/>
      <c r="KBU43" s="45"/>
      <c r="KBV43" s="45"/>
      <c r="KBW43" s="45"/>
      <c r="KBX43" s="45"/>
      <c r="KBY43" s="45"/>
      <c r="KBZ43" s="45"/>
      <c r="KCA43" s="45"/>
      <c r="KCB43" s="45"/>
      <c r="KCC43" s="45"/>
      <c r="KCD43" s="45"/>
      <c r="KCE43" s="45"/>
      <c r="KCF43" s="45"/>
      <c r="KCG43" s="45"/>
      <c r="KCH43" s="45"/>
      <c r="KCI43" s="45"/>
      <c r="KCJ43" s="45"/>
      <c r="KCK43" s="45"/>
      <c r="KCL43" s="45"/>
      <c r="KCM43" s="45"/>
      <c r="KCN43" s="45"/>
      <c r="KCO43" s="45"/>
      <c r="KCP43" s="45"/>
      <c r="KCQ43" s="45"/>
      <c r="KCR43" s="45"/>
      <c r="KCS43" s="45"/>
      <c r="KCT43" s="45"/>
      <c r="KCU43" s="45"/>
      <c r="KCV43" s="45"/>
      <c r="KCW43" s="45"/>
      <c r="KCX43" s="45"/>
      <c r="KCY43" s="45"/>
      <c r="KCZ43" s="45"/>
      <c r="KDA43" s="45"/>
      <c r="KDB43" s="45"/>
      <c r="KDC43" s="45"/>
      <c r="KDD43" s="45"/>
      <c r="KDE43" s="45"/>
      <c r="KDF43" s="45"/>
      <c r="KDG43" s="45"/>
      <c r="KDH43" s="45"/>
      <c r="KDI43" s="45"/>
      <c r="KDJ43" s="45"/>
      <c r="KDK43" s="45"/>
      <c r="KDL43" s="45"/>
      <c r="KDM43" s="45"/>
      <c r="KDN43" s="45"/>
      <c r="KDO43" s="45"/>
      <c r="KDP43" s="45"/>
      <c r="KDQ43" s="45"/>
      <c r="KDR43" s="45"/>
      <c r="KDS43" s="45"/>
      <c r="KDT43" s="45"/>
      <c r="KDU43" s="45"/>
      <c r="KDV43" s="45"/>
      <c r="KDW43" s="45"/>
      <c r="KDX43" s="45"/>
      <c r="KDY43" s="45"/>
      <c r="KDZ43" s="45"/>
      <c r="KEA43" s="45"/>
      <c r="KEB43" s="45"/>
      <c r="KEC43" s="45"/>
      <c r="KED43" s="45"/>
      <c r="KEE43" s="45"/>
      <c r="KEF43" s="45"/>
      <c r="KEG43" s="45"/>
      <c r="KEH43" s="45"/>
      <c r="KEI43" s="45"/>
      <c r="KEJ43" s="45"/>
      <c r="KEK43" s="45"/>
      <c r="KEL43" s="45"/>
      <c r="KEM43" s="45"/>
      <c r="KEN43" s="45"/>
      <c r="KEO43" s="45"/>
      <c r="KEP43" s="45"/>
      <c r="KEQ43" s="45"/>
      <c r="KER43" s="45"/>
      <c r="KES43" s="45"/>
      <c r="KET43" s="45"/>
      <c r="KEU43" s="45"/>
      <c r="KEV43" s="45"/>
      <c r="KEW43" s="45"/>
      <c r="KEX43" s="45"/>
      <c r="KEY43" s="45"/>
      <c r="KEZ43" s="45"/>
      <c r="KFA43" s="45"/>
      <c r="KFB43" s="45"/>
      <c r="KFC43" s="45"/>
      <c r="KFD43" s="45"/>
      <c r="KFE43" s="45"/>
      <c r="KFF43" s="45"/>
      <c r="KFG43" s="45"/>
      <c r="KFH43" s="45"/>
      <c r="KFI43" s="45"/>
      <c r="KFJ43" s="45"/>
      <c r="KFK43" s="45"/>
      <c r="KFL43" s="45"/>
      <c r="KFM43" s="45"/>
      <c r="KFN43" s="45"/>
      <c r="KFO43" s="45"/>
      <c r="KFP43" s="45"/>
      <c r="KFQ43" s="45"/>
      <c r="KFR43" s="45"/>
      <c r="KFS43" s="45"/>
      <c r="KFT43" s="45"/>
      <c r="KFU43" s="45"/>
      <c r="KFV43" s="45"/>
      <c r="KFW43" s="45"/>
      <c r="KFX43" s="45"/>
      <c r="KFY43" s="45"/>
      <c r="KFZ43" s="45"/>
      <c r="KGA43" s="45"/>
      <c r="KGB43" s="45"/>
      <c r="KGC43" s="45"/>
      <c r="KGD43" s="45"/>
      <c r="KGE43" s="45"/>
      <c r="KGF43" s="45"/>
      <c r="KGG43" s="45"/>
      <c r="KGH43" s="45"/>
      <c r="KGI43" s="45"/>
      <c r="KGJ43" s="45"/>
      <c r="KGK43" s="45"/>
      <c r="KGL43" s="45"/>
      <c r="KGM43" s="45"/>
      <c r="KGN43" s="45"/>
      <c r="KGO43" s="45"/>
      <c r="KGP43" s="45"/>
      <c r="KGQ43" s="45"/>
      <c r="KGR43" s="45"/>
      <c r="KGS43" s="45"/>
      <c r="KGT43" s="45"/>
      <c r="KGU43" s="45"/>
      <c r="KGV43" s="45"/>
      <c r="KGW43" s="45"/>
      <c r="KGX43" s="45"/>
      <c r="KGY43" s="45"/>
      <c r="KGZ43" s="45"/>
      <c r="KHA43" s="45"/>
      <c r="KHB43" s="45"/>
      <c r="KHC43" s="45"/>
      <c r="KHD43" s="45"/>
      <c r="KHE43" s="45"/>
      <c r="KHF43" s="45"/>
      <c r="KHG43" s="45"/>
      <c r="KHH43" s="45"/>
      <c r="KHI43" s="45"/>
      <c r="KHJ43" s="45"/>
      <c r="KHK43" s="45"/>
      <c r="KHL43" s="45"/>
      <c r="KHM43" s="45"/>
      <c r="KHN43" s="45"/>
      <c r="KHO43" s="45"/>
      <c r="KHP43" s="45"/>
      <c r="KHQ43" s="45"/>
      <c r="KHR43" s="45"/>
      <c r="KHS43" s="45"/>
      <c r="KHT43" s="45"/>
      <c r="KHU43" s="45"/>
      <c r="KHV43" s="45"/>
      <c r="KHW43" s="45"/>
      <c r="KHX43" s="45"/>
      <c r="KHY43" s="45"/>
      <c r="KHZ43" s="45"/>
      <c r="KIA43" s="45"/>
      <c r="KIB43" s="45"/>
      <c r="KIC43" s="45"/>
      <c r="KID43" s="45"/>
      <c r="KIE43" s="45"/>
      <c r="KIF43" s="45"/>
      <c r="KIG43" s="45"/>
      <c r="KIH43" s="45"/>
      <c r="KII43" s="45"/>
      <c r="KIJ43" s="45"/>
      <c r="KIK43" s="45"/>
      <c r="KIL43" s="45"/>
      <c r="KIM43" s="45"/>
      <c r="KIN43" s="45"/>
      <c r="KIO43" s="45"/>
      <c r="KIP43" s="45"/>
      <c r="KIQ43" s="45"/>
      <c r="KIR43" s="45"/>
      <c r="KIS43" s="45"/>
      <c r="KIT43" s="45"/>
      <c r="KIU43" s="45"/>
      <c r="KIV43" s="45"/>
      <c r="KIW43" s="45"/>
      <c r="KIX43" s="45"/>
      <c r="KIY43" s="45"/>
      <c r="KIZ43" s="45"/>
      <c r="KJA43" s="45"/>
      <c r="KJB43" s="45"/>
      <c r="KJC43" s="45"/>
      <c r="KJD43" s="45"/>
      <c r="KJE43" s="45"/>
      <c r="KJF43" s="45"/>
      <c r="KJG43" s="45"/>
      <c r="KJH43" s="45"/>
      <c r="KJI43" s="45"/>
      <c r="KJJ43" s="45"/>
      <c r="KJK43" s="45"/>
      <c r="KJL43" s="45"/>
      <c r="KJM43" s="45"/>
      <c r="KJN43" s="45"/>
      <c r="KJO43" s="45"/>
      <c r="KJP43" s="45"/>
      <c r="KJQ43" s="45"/>
      <c r="KJR43" s="45"/>
      <c r="KJS43" s="45"/>
      <c r="KJT43" s="45"/>
      <c r="KJU43" s="45"/>
      <c r="KJV43" s="45"/>
      <c r="KJW43" s="45"/>
      <c r="KJX43" s="45"/>
      <c r="KJY43" s="45"/>
      <c r="KJZ43" s="45"/>
      <c r="KKA43" s="45"/>
      <c r="KKB43" s="45"/>
      <c r="KKC43" s="45"/>
      <c r="KKD43" s="45"/>
      <c r="KKE43" s="45"/>
      <c r="KKF43" s="45"/>
      <c r="KKG43" s="45"/>
      <c r="KKH43" s="45"/>
      <c r="KKI43" s="45"/>
      <c r="KKJ43" s="45"/>
      <c r="KKK43" s="45"/>
      <c r="KKL43" s="45"/>
      <c r="KKM43" s="45"/>
      <c r="KKN43" s="45"/>
      <c r="KKO43" s="45"/>
      <c r="KKP43" s="45"/>
      <c r="KKQ43" s="45"/>
      <c r="KKR43" s="45"/>
      <c r="KKS43" s="45"/>
      <c r="KKT43" s="45"/>
      <c r="KKU43" s="45"/>
      <c r="KKV43" s="45"/>
      <c r="KKW43" s="45"/>
      <c r="KKX43" s="45"/>
      <c r="KKY43" s="45"/>
      <c r="KKZ43" s="45"/>
      <c r="KLA43" s="45"/>
      <c r="KLB43" s="45"/>
      <c r="KLC43" s="45"/>
      <c r="KLD43" s="45"/>
      <c r="KLE43" s="45"/>
      <c r="KLF43" s="45"/>
      <c r="KLG43" s="45"/>
      <c r="KLH43" s="45"/>
      <c r="KLI43" s="45"/>
      <c r="KLJ43" s="45"/>
      <c r="KLK43" s="45"/>
      <c r="KLL43" s="45"/>
      <c r="KLM43" s="45"/>
      <c r="KLN43" s="45"/>
      <c r="KLO43" s="45"/>
      <c r="KLP43" s="45"/>
      <c r="KLQ43" s="45"/>
      <c r="KLR43" s="45"/>
      <c r="KLS43" s="45"/>
      <c r="KLT43" s="45"/>
      <c r="KLU43" s="45"/>
      <c r="KLV43" s="45"/>
      <c r="KLW43" s="45"/>
      <c r="KLX43" s="45"/>
      <c r="KLY43" s="45"/>
      <c r="KLZ43" s="45"/>
      <c r="KMA43" s="45"/>
      <c r="KMB43" s="45"/>
      <c r="KMC43" s="45"/>
      <c r="KMD43" s="45"/>
      <c r="KME43" s="45"/>
      <c r="KMF43" s="45"/>
      <c r="KMG43" s="45"/>
      <c r="KMH43" s="45"/>
      <c r="KMI43" s="45"/>
      <c r="KMJ43" s="45"/>
      <c r="KMK43" s="45"/>
      <c r="KML43" s="45"/>
      <c r="KMM43" s="45"/>
      <c r="KMN43" s="45"/>
      <c r="KMO43" s="45"/>
      <c r="KMP43" s="45"/>
      <c r="KMQ43" s="45"/>
      <c r="KMR43" s="45"/>
      <c r="KMS43" s="45"/>
      <c r="KMT43" s="45"/>
      <c r="KMU43" s="45"/>
      <c r="KMV43" s="45"/>
      <c r="KMW43" s="45"/>
      <c r="KMX43" s="45"/>
      <c r="KMY43" s="45"/>
      <c r="KMZ43" s="45"/>
      <c r="KNA43" s="45"/>
      <c r="KNB43" s="45"/>
      <c r="KNC43" s="45"/>
      <c r="KND43" s="45"/>
      <c r="KNE43" s="45"/>
      <c r="KNF43" s="45"/>
      <c r="KNG43" s="45"/>
      <c r="KNH43" s="45"/>
      <c r="KNI43" s="45"/>
      <c r="KNJ43" s="45"/>
      <c r="KNK43" s="45"/>
      <c r="KNL43" s="45"/>
      <c r="KNM43" s="45"/>
      <c r="KNN43" s="45"/>
      <c r="KNO43" s="45"/>
      <c r="KNP43" s="45"/>
      <c r="KNQ43" s="45"/>
      <c r="KNR43" s="45"/>
      <c r="KNS43" s="45"/>
      <c r="KNT43" s="45"/>
      <c r="KNU43" s="45"/>
      <c r="KNV43" s="45"/>
      <c r="KNW43" s="45"/>
      <c r="KNX43" s="45"/>
      <c r="KNY43" s="45"/>
      <c r="KNZ43" s="45"/>
      <c r="KOA43" s="45"/>
      <c r="KOB43" s="45"/>
      <c r="KOC43" s="45"/>
      <c r="KOD43" s="45"/>
      <c r="KOE43" s="45"/>
      <c r="KOF43" s="45"/>
      <c r="KOG43" s="45"/>
      <c r="KOH43" s="45"/>
      <c r="KOI43" s="45"/>
      <c r="KOJ43" s="45"/>
      <c r="KOK43" s="45"/>
      <c r="KOL43" s="45"/>
      <c r="KOM43" s="45"/>
      <c r="KON43" s="45"/>
      <c r="KOO43" s="45"/>
      <c r="KOP43" s="45"/>
      <c r="KOQ43" s="45"/>
      <c r="KOR43" s="45"/>
      <c r="KOS43" s="45"/>
      <c r="KOT43" s="45"/>
      <c r="KOU43" s="45"/>
      <c r="KOV43" s="45"/>
      <c r="KOW43" s="45"/>
      <c r="KOX43" s="45"/>
      <c r="KOY43" s="45"/>
      <c r="KOZ43" s="45"/>
      <c r="KPA43" s="45"/>
      <c r="KPB43" s="45"/>
      <c r="KPC43" s="45"/>
      <c r="KPD43" s="45"/>
      <c r="KPE43" s="45"/>
      <c r="KPF43" s="45"/>
      <c r="KPG43" s="45"/>
      <c r="KPH43" s="45"/>
      <c r="KPI43" s="45"/>
      <c r="KPJ43" s="45"/>
      <c r="KPK43" s="45"/>
      <c r="KPL43" s="45"/>
      <c r="KPM43" s="45"/>
      <c r="KPN43" s="45"/>
      <c r="KPO43" s="45"/>
      <c r="KPP43" s="45"/>
      <c r="KPQ43" s="45"/>
      <c r="KPR43" s="45"/>
      <c r="KPS43" s="45"/>
      <c r="KPT43" s="45"/>
      <c r="KPU43" s="45"/>
      <c r="KPV43" s="45"/>
      <c r="KPW43" s="45"/>
      <c r="KPX43" s="45"/>
      <c r="KPY43" s="45"/>
      <c r="KPZ43" s="45"/>
      <c r="KQA43" s="45"/>
      <c r="KQB43" s="45"/>
      <c r="KQC43" s="45"/>
      <c r="KQD43" s="45"/>
      <c r="KQE43" s="45"/>
      <c r="KQF43" s="45"/>
      <c r="KQG43" s="45"/>
      <c r="KQH43" s="45"/>
      <c r="KQI43" s="45"/>
      <c r="KQJ43" s="45"/>
      <c r="KQK43" s="45"/>
      <c r="KQL43" s="45"/>
      <c r="KQM43" s="45"/>
      <c r="KQN43" s="45"/>
      <c r="KQO43" s="45"/>
      <c r="KQP43" s="45"/>
      <c r="KQQ43" s="45"/>
      <c r="KQR43" s="45"/>
      <c r="KQS43" s="45"/>
      <c r="KQT43" s="45"/>
      <c r="KQU43" s="45"/>
      <c r="KQV43" s="45"/>
      <c r="KQW43" s="45"/>
      <c r="KQX43" s="45"/>
      <c r="KQY43" s="45"/>
      <c r="KQZ43" s="45"/>
      <c r="KRA43" s="45"/>
      <c r="KRB43" s="45"/>
      <c r="KRC43" s="45"/>
      <c r="KRD43" s="45"/>
      <c r="KRE43" s="45"/>
      <c r="KRF43" s="45"/>
      <c r="KRG43" s="45"/>
      <c r="KRH43" s="45"/>
      <c r="KRI43" s="45"/>
      <c r="KRJ43" s="45"/>
      <c r="KRK43" s="45"/>
      <c r="KRL43" s="45"/>
      <c r="KRM43" s="45"/>
      <c r="KRN43" s="45"/>
      <c r="KRO43" s="45"/>
      <c r="KRP43" s="45"/>
      <c r="KRQ43" s="45"/>
      <c r="KRR43" s="45"/>
      <c r="KRS43" s="45"/>
      <c r="KRT43" s="45"/>
      <c r="KRU43" s="45"/>
      <c r="KRV43" s="45"/>
      <c r="KRW43" s="45"/>
      <c r="KRX43" s="45"/>
      <c r="KRY43" s="45"/>
      <c r="KRZ43" s="45"/>
      <c r="KSA43" s="45"/>
      <c r="KSB43" s="45"/>
      <c r="KSC43" s="45"/>
      <c r="KSD43" s="45"/>
      <c r="KSE43" s="45"/>
      <c r="KSF43" s="45"/>
      <c r="KSG43" s="45"/>
      <c r="KSH43" s="45"/>
      <c r="KSI43" s="45"/>
      <c r="KSJ43" s="45"/>
      <c r="KSK43" s="45"/>
      <c r="KSL43" s="45"/>
      <c r="KSM43" s="45"/>
      <c r="KSN43" s="45"/>
      <c r="KSO43" s="45"/>
      <c r="KSP43" s="45"/>
      <c r="KSQ43" s="45"/>
      <c r="KSR43" s="45"/>
      <c r="KSS43" s="45"/>
      <c r="KST43" s="45"/>
      <c r="KSU43" s="45"/>
      <c r="KSV43" s="45"/>
      <c r="KSW43" s="45"/>
      <c r="KSX43" s="45"/>
      <c r="KSY43" s="45"/>
      <c r="KSZ43" s="45"/>
      <c r="KTA43" s="45"/>
      <c r="KTB43" s="45"/>
      <c r="KTC43" s="45"/>
      <c r="KTD43" s="45"/>
      <c r="KTE43" s="45"/>
      <c r="KTF43" s="45"/>
      <c r="KTG43" s="45"/>
      <c r="KTH43" s="45"/>
      <c r="KTI43" s="45"/>
      <c r="KTJ43" s="45"/>
      <c r="KTK43" s="45"/>
      <c r="KTL43" s="45"/>
      <c r="KTM43" s="45"/>
      <c r="KTN43" s="45"/>
      <c r="KTO43" s="45"/>
      <c r="KTP43" s="45"/>
      <c r="KTQ43" s="45"/>
      <c r="KTR43" s="45"/>
      <c r="KTS43" s="45"/>
      <c r="KTT43" s="45"/>
      <c r="KTU43" s="45"/>
      <c r="KTV43" s="45"/>
      <c r="KTW43" s="45"/>
      <c r="KTX43" s="45"/>
      <c r="KTY43" s="45"/>
      <c r="KTZ43" s="45"/>
      <c r="KUA43" s="45"/>
      <c r="KUB43" s="45"/>
      <c r="KUC43" s="45"/>
      <c r="KUD43" s="45"/>
      <c r="KUE43" s="45"/>
      <c r="KUF43" s="45"/>
      <c r="KUG43" s="45"/>
      <c r="KUH43" s="45"/>
      <c r="KUI43" s="45"/>
      <c r="KUJ43" s="45"/>
      <c r="KUK43" s="45"/>
      <c r="KUL43" s="45"/>
      <c r="KUM43" s="45"/>
      <c r="KUN43" s="45"/>
      <c r="KUO43" s="45"/>
      <c r="KUP43" s="45"/>
      <c r="KUQ43" s="45"/>
      <c r="KUR43" s="45"/>
      <c r="KUS43" s="45"/>
      <c r="KUT43" s="45"/>
      <c r="KUU43" s="45"/>
      <c r="KUV43" s="45"/>
      <c r="KUW43" s="45"/>
      <c r="KUX43" s="45"/>
      <c r="KUY43" s="45"/>
      <c r="KUZ43" s="45"/>
      <c r="KVA43" s="45"/>
      <c r="KVB43" s="45"/>
      <c r="KVC43" s="45"/>
      <c r="KVD43" s="45"/>
      <c r="KVE43" s="45"/>
      <c r="KVF43" s="45"/>
      <c r="KVG43" s="45"/>
      <c r="KVH43" s="45"/>
      <c r="KVI43" s="45"/>
      <c r="KVJ43" s="45"/>
      <c r="KVK43" s="45"/>
      <c r="KVL43" s="45"/>
      <c r="KVM43" s="45"/>
      <c r="KVN43" s="45"/>
      <c r="KVO43" s="45"/>
      <c r="KVP43" s="45"/>
      <c r="KVQ43" s="45"/>
      <c r="KVR43" s="45"/>
      <c r="KVS43" s="45"/>
      <c r="KVT43" s="45"/>
      <c r="KVU43" s="45"/>
      <c r="KVV43" s="45"/>
      <c r="KVW43" s="45"/>
      <c r="KVX43" s="45"/>
      <c r="KVY43" s="45"/>
      <c r="KVZ43" s="45"/>
      <c r="KWA43" s="45"/>
      <c r="KWB43" s="45"/>
      <c r="KWC43" s="45"/>
      <c r="KWD43" s="45"/>
      <c r="KWE43" s="45"/>
      <c r="KWF43" s="45"/>
      <c r="KWG43" s="45"/>
      <c r="KWH43" s="45"/>
      <c r="KWI43" s="45"/>
      <c r="KWJ43" s="45"/>
      <c r="KWK43" s="45"/>
      <c r="KWL43" s="45"/>
      <c r="KWM43" s="45"/>
      <c r="KWN43" s="45"/>
      <c r="KWO43" s="45"/>
      <c r="KWP43" s="45"/>
      <c r="KWQ43" s="45"/>
      <c r="KWR43" s="45"/>
      <c r="KWS43" s="45"/>
      <c r="KWT43" s="45"/>
      <c r="KWU43" s="45"/>
      <c r="KWV43" s="45"/>
      <c r="KWW43" s="45"/>
      <c r="KWX43" s="45"/>
      <c r="KWY43" s="45"/>
      <c r="KWZ43" s="45"/>
      <c r="KXA43" s="45"/>
      <c r="KXB43" s="45"/>
      <c r="KXC43" s="45"/>
      <c r="KXD43" s="45"/>
      <c r="KXE43" s="45"/>
      <c r="KXF43" s="45"/>
      <c r="KXG43" s="45"/>
      <c r="KXH43" s="45"/>
      <c r="KXI43" s="45"/>
      <c r="KXJ43" s="45"/>
      <c r="KXK43" s="45"/>
      <c r="KXL43" s="45"/>
      <c r="KXM43" s="45"/>
      <c r="KXN43" s="45"/>
      <c r="KXO43" s="45"/>
      <c r="KXP43" s="45"/>
      <c r="KXQ43" s="45"/>
      <c r="KXR43" s="45"/>
      <c r="KXS43" s="45"/>
      <c r="KXT43" s="45"/>
      <c r="KXU43" s="45"/>
      <c r="KXV43" s="45"/>
      <c r="KXW43" s="45"/>
      <c r="KXX43" s="45"/>
      <c r="KXY43" s="45"/>
      <c r="KXZ43" s="45"/>
      <c r="KYA43" s="45"/>
      <c r="KYB43" s="45"/>
      <c r="KYC43" s="45"/>
      <c r="KYD43" s="45"/>
      <c r="KYE43" s="45"/>
      <c r="KYF43" s="45"/>
      <c r="KYG43" s="45"/>
      <c r="KYH43" s="45"/>
      <c r="KYI43" s="45"/>
      <c r="KYJ43" s="45"/>
      <c r="KYK43" s="45"/>
      <c r="KYL43" s="45"/>
      <c r="KYM43" s="45"/>
      <c r="KYN43" s="45"/>
      <c r="KYO43" s="45"/>
      <c r="KYP43" s="45"/>
      <c r="KYQ43" s="45"/>
      <c r="KYR43" s="45"/>
      <c r="KYS43" s="45"/>
      <c r="KYT43" s="45"/>
      <c r="KYU43" s="45"/>
      <c r="KYV43" s="45"/>
      <c r="KYW43" s="45"/>
      <c r="KYX43" s="45"/>
      <c r="KYY43" s="45"/>
      <c r="KYZ43" s="45"/>
      <c r="KZA43" s="45"/>
      <c r="KZB43" s="45"/>
      <c r="KZC43" s="45"/>
      <c r="KZD43" s="45"/>
      <c r="KZE43" s="45"/>
      <c r="KZF43" s="45"/>
      <c r="KZG43" s="45"/>
      <c r="KZH43" s="45"/>
      <c r="KZI43" s="45"/>
      <c r="KZJ43" s="45"/>
      <c r="KZK43" s="45"/>
      <c r="KZL43" s="45"/>
      <c r="KZM43" s="45"/>
      <c r="KZN43" s="45"/>
      <c r="KZO43" s="45"/>
      <c r="KZP43" s="45"/>
      <c r="KZQ43" s="45"/>
      <c r="KZR43" s="45"/>
      <c r="KZS43" s="45"/>
      <c r="KZT43" s="45"/>
      <c r="KZU43" s="45"/>
      <c r="KZV43" s="45"/>
      <c r="KZW43" s="45"/>
      <c r="KZX43" s="45"/>
      <c r="KZY43" s="45"/>
      <c r="KZZ43" s="45"/>
      <c r="LAA43" s="45"/>
      <c r="LAB43" s="45"/>
      <c r="LAC43" s="45"/>
      <c r="LAD43" s="45"/>
      <c r="LAE43" s="45"/>
      <c r="LAF43" s="45"/>
      <c r="LAG43" s="45"/>
      <c r="LAH43" s="45"/>
      <c r="LAI43" s="45"/>
      <c r="LAJ43" s="45"/>
      <c r="LAK43" s="45"/>
      <c r="LAL43" s="45"/>
      <c r="LAM43" s="45"/>
      <c r="LAN43" s="45"/>
      <c r="LAO43" s="45"/>
      <c r="LAP43" s="45"/>
      <c r="LAQ43" s="45"/>
      <c r="LAR43" s="45"/>
      <c r="LAS43" s="45"/>
      <c r="LAT43" s="45"/>
      <c r="LAU43" s="45"/>
      <c r="LAV43" s="45"/>
      <c r="LAW43" s="45"/>
      <c r="LAX43" s="45"/>
      <c r="LAY43" s="45"/>
      <c r="LAZ43" s="45"/>
      <c r="LBA43" s="45"/>
      <c r="LBB43" s="45"/>
      <c r="LBC43" s="45"/>
      <c r="LBD43" s="45"/>
      <c r="LBE43" s="45"/>
      <c r="LBF43" s="45"/>
      <c r="LBG43" s="45"/>
      <c r="LBH43" s="45"/>
      <c r="LBI43" s="45"/>
      <c r="LBJ43" s="45"/>
      <c r="LBK43" s="45"/>
      <c r="LBL43" s="45"/>
      <c r="LBM43" s="45"/>
      <c r="LBN43" s="45"/>
      <c r="LBO43" s="45"/>
      <c r="LBP43" s="45"/>
      <c r="LBQ43" s="45"/>
      <c r="LBR43" s="45"/>
      <c r="LBS43" s="45"/>
      <c r="LBT43" s="45"/>
      <c r="LBU43" s="45"/>
      <c r="LBV43" s="45"/>
      <c r="LBW43" s="45"/>
      <c r="LBX43" s="45"/>
      <c r="LBY43" s="45"/>
      <c r="LBZ43" s="45"/>
      <c r="LCA43" s="45"/>
      <c r="LCB43" s="45"/>
      <c r="LCC43" s="45"/>
      <c r="LCD43" s="45"/>
      <c r="LCE43" s="45"/>
      <c r="LCF43" s="45"/>
      <c r="LCG43" s="45"/>
      <c r="LCH43" s="45"/>
      <c r="LCI43" s="45"/>
      <c r="LCJ43" s="45"/>
      <c r="LCK43" s="45"/>
      <c r="LCL43" s="45"/>
      <c r="LCM43" s="45"/>
      <c r="LCN43" s="45"/>
      <c r="LCO43" s="45"/>
      <c r="LCP43" s="45"/>
      <c r="LCQ43" s="45"/>
      <c r="LCR43" s="45"/>
      <c r="LCS43" s="45"/>
      <c r="LCT43" s="45"/>
      <c r="LCU43" s="45"/>
      <c r="LCV43" s="45"/>
      <c r="LCW43" s="45"/>
      <c r="LCX43" s="45"/>
      <c r="LCY43" s="45"/>
      <c r="LCZ43" s="45"/>
      <c r="LDA43" s="45"/>
      <c r="LDB43" s="45"/>
      <c r="LDC43" s="45"/>
      <c r="LDD43" s="45"/>
      <c r="LDE43" s="45"/>
      <c r="LDF43" s="45"/>
      <c r="LDG43" s="45"/>
      <c r="LDH43" s="45"/>
      <c r="LDI43" s="45"/>
      <c r="LDJ43" s="45"/>
      <c r="LDK43" s="45"/>
      <c r="LDL43" s="45"/>
      <c r="LDM43" s="45"/>
      <c r="LDN43" s="45"/>
      <c r="LDO43" s="45"/>
      <c r="LDP43" s="45"/>
      <c r="LDQ43" s="45"/>
      <c r="LDR43" s="45"/>
      <c r="LDS43" s="45"/>
      <c r="LDT43" s="45"/>
      <c r="LDU43" s="45"/>
      <c r="LDV43" s="45"/>
      <c r="LDW43" s="45"/>
      <c r="LDX43" s="45"/>
      <c r="LDY43" s="45"/>
      <c r="LDZ43" s="45"/>
      <c r="LEA43" s="45"/>
      <c r="LEB43" s="45"/>
      <c r="LEC43" s="45"/>
      <c r="LED43" s="45"/>
      <c r="LEE43" s="45"/>
      <c r="LEF43" s="45"/>
      <c r="LEG43" s="45"/>
      <c r="LEH43" s="45"/>
      <c r="LEI43" s="45"/>
      <c r="LEJ43" s="45"/>
      <c r="LEK43" s="45"/>
      <c r="LEL43" s="45"/>
      <c r="LEM43" s="45"/>
      <c r="LEN43" s="45"/>
      <c r="LEO43" s="45"/>
      <c r="LEP43" s="45"/>
      <c r="LEQ43" s="45"/>
      <c r="LER43" s="45"/>
      <c r="LES43" s="45"/>
      <c r="LET43" s="45"/>
      <c r="LEU43" s="45"/>
      <c r="LEV43" s="45"/>
      <c r="LEW43" s="45"/>
      <c r="LEX43" s="45"/>
      <c r="LEY43" s="45"/>
      <c r="LEZ43" s="45"/>
      <c r="LFA43" s="45"/>
      <c r="LFB43" s="45"/>
      <c r="LFC43" s="45"/>
      <c r="LFD43" s="45"/>
      <c r="LFE43" s="45"/>
      <c r="LFF43" s="45"/>
      <c r="LFG43" s="45"/>
      <c r="LFH43" s="45"/>
      <c r="LFI43" s="45"/>
      <c r="LFJ43" s="45"/>
      <c r="LFK43" s="45"/>
      <c r="LFL43" s="45"/>
      <c r="LFM43" s="45"/>
      <c r="LFN43" s="45"/>
      <c r="LFO43" s="45"/>
      <c r="LFP43" s="45"/>
      <c r="LFQ43" s="45"/>
      <c r="LFR43" s="45"/>
      <c r="LFS43" s="45"/>
      <c r="LFT43" s="45"/>
      <c r="LFU43" s="45"/>
      <c r="LFV43" s="45"/>
      <c r="LFW43" s="45"/>
      <c r="LFX43" s="45"/>
      <c r="LFY43" s="45"/>
      <c r="LFZ43" s="45"/>
      <c r="LGA43" s="45"/>
      <c r="LGB43" s="45"/>
      <c r="LGC43" s="45"/>
      <c r="LGD43" s="45"/>
      <c r="LGE43" s="45"/>
      <c r="LGF43" s="45"/>
      <c r="LGG43" s="45"/>
      <c r="LGH43" s="45"/>
      <c r="LGI43" s="45"/>
      <c r="LGJ43" s="45"/>
      <c r="LGK43" s="45"/>
      <c r="LGL43" s="45"/>
      <c r="LGM43" s="45"/>
      <c r="LGN43" s="45"/>
      <c r="LGO43" s="45"/>
      <c r="LGP43" s="45"/>
      <c r="LGQ43" s="45"/>
      <c r="LGR43" s="45"/>
      <c r="LGS43" s="45"/>
      <c r="LGT43" s="45"/>
      <c r="LGU43" s="45"/>
      <c r="LGV43" s="45"/>
      <c r="LGW43" s="45"/>
      <c r="LGX43" s="45"/>
      <c r="LGY43" s="45"/>
      <c r="LGZ43" s="45"/>
      <c r="LHA43" s="45"/>
      <c r="LHB43" s="45"/>
      <c r="LHC43" s="45"/>
      <c r="LHD43" s="45"/>
      <c r="LHE43" s="45"/>
      <c r="LHF43" s="45"/>
      <c r="LHG43" s="45"/>
      <c r="LHH43" s="45"/>
      <c r="LHI43" s="45"/>
      <c r="LHJ43" s="45"/>
      <c r="LHK43" s="45"/>
      <c r="LHL43" s="45"/>
      <c r="LHM43" s="45"/>
      <c r="LHN43" s="45"/>
      <c r="LHO43" s="45"/>
      <c r="LHP43" s="45"/>
      <c r="LHQ43" s="45"/>
      <c r="LHR43" s="45"/>
      <c r="LHS43" s="45"/>
      <c r="LHT43" s="45"/>
      <c r="LHU43" s="45"/>
      <c r="LHV43" s="45"/>
      <c r="LHW43" s="45"/>
      <c r="LHX43" s="45"/>
      <c r="LHY43" s="45"/>
      <c r="LHZ43" s="45"/>
      <c r="LIA43" s="45"/>
      <c r="LIB43" s="45"/>
      <c r="LIC43" s="45"/>
      <c r="LID43" s="45"/>
      <c r="LIE43" s="45"/>
      <c r="LIF43" s="45"/>
      <c r="LIG43" s="45"/>
      <c r="LIH43" s="45"/>
      <c r="LII43" s="45"/>
      <c r="LIJ43" s="45"/>
      <c r="LIK43" s="45"/>
      <c r="LIL43" s="45"/>
      <c r="LIM43" s="45"/>
      <c r="LIN43" s="45"/>
      <c r="LIO43" s="45"/>
      <c r="LIP43" s="45"/>
      <c r="LIQ43" s="45"/>
      <c r="LIR43" s="45"/>
      <c r="LIS43" s="45"/>
      <c r="LIT43" s="45"/>
      <c r="LIU43" s="45"/>
      <c r="LIV43" s="45"/>
      <c r="LIW43" s="45"/>
      <c r="LIX43" s="45"/>
      <c r="LIY43" s="45"/>
      <c r="LIZ43" s="45"/>
      <c r="LJA43" s="45"/>
      <c r="LJB43" s="45"/>
      <c r="LJC43" s="45"/>
      <c r="LJD43" s="45"/>
      <c r="LJE43" s="45"/>
      <c r="LJF43" s="45"/>
      <c r="LJG43" s="45"/>
      <c r="LJH43" s="45"/>
      <c r="LJI43" s="45"/>
      <c r="LJJ43" s="45"/>
      <c r="LJK43" s="45"/>
      <c r="LJL43" s="45"/>
      <c r="LJM43" s="45"/>
      <c r="LJN43" s="45"/>
      <c r="LJO43" s="45"/>
      <c r="LJP43" s="45"/>
      <c r="LJQ43" s="45"/>
      <c r="LJR43" s="45"/>
      <c r="LJS43" s="45"/>
      <c r="LJT43" s="45"/>
      <c r="LJU43" s="45"/>
      <c r="LJV43" s="45"/>
      <c r="LJW43" s="45"/>
      <c r="LJX43" s="45"/>
      <c r="LJY43" s="45"/>
      <c r="LJZ43" s="45"/>
      <c r="LKA43" s="45"/>
      <c r="LKB43" s="45"/>
      <c r="LKC43" s="45"/>
      <c r="LKD43" s="45"/>
      <c r="LKE43" s="45"/>
      <c r="LKF43" s="45"/>
      <c r="LKG43" s="45"/>
      <c r="LKH43" s="45"/>
      <c r="LKI43" s="45"/>
      <c r="LKJ43" s="45"/>
      <c r="LKK43" s="45"/>
      <c r="LKL43" s="45"/>
      <c r="LKM43" s="45"/>
      <c r="LKN43" s="45"/>
      <c r="LKO43" s="45"/>
      <c r="LKP43" s="45"/>
      <c r="LKQ43" s="45"/>
      <c r="LKR43" s="45"/>
      <c r="LKS43" s="45"/>
      <c r="LKT43" s="45"/>
      <c r="LKU43" s="45"/>
      <c r="LKV43" s="45"/>
      <c r="LKW43" s="45"/>
      <c r="LKX43" s="45"/>
      <c r="LKY43" s="45"/>
      <c r="LKZ43" s="45"/>
      <c r="LLA43" s="45"/>
      <c r="LLB43" s="45"/>
      <c r="LLC43" s="45"/>
      <c r="LLD43" s="45"/>
      <c r="LLE43" s="45"/>
      <c r="LLF43" s="45"/>
      <c r="LLG43" s="45"/>
      <c r="LLH43" s="45"/>
      <c r="LLI43" s="45"/>
      <c r="LLJ43" s="45"/>
      <c r="LLK43" s="45"/>
      <c r="LLL43" s="45"/>
      <c r="LLM43" s="45"/>
      <c r="LLN43" s="45"/>
      <c r="LLO43" s="45"/>
      <c r="LLP43" s="45"/>
      <c r="LLQ43" s="45"/>
      <c r="LLR43" s="45"/>
      <c r="LLS43" s="45"/>
      <c r="LLT43" s="45"/>
      <c r="LLU43" s="45"/>
      <c r="LLV43" s="45"/>
      <c r="LLW43" s="45"/>
      <c r="LLX43" s="45"/>
      <c r="LLY43" s="45"/>
      <c r="LLZ43" s="45"/>
      <c r="LMA43" s="45"/>
      <c r="LMB43" s="45"/>
      <c r="LMC43" s="45"/>
      <c r="LMD43" s="45"/>
      <c r="LME43" s="45"/>
      <c r="LMF43" s="45"/>
      <c r="LMG43" s="45"/>
      <c r="LMH43" s="45"/>
      <c r="LMI43" s="45"/>
      <c r="LMJ43" s="45"/>
      <c r="LMK43" s="45"/>
      <c r="LML43" s="45"/>
      <c r="LMM43" s="45"/>
      <c r="LMN43" s="45"/>
      <c r="LMO43" s="45"/>
      <c r="LMP43" s="45"/>
      <c r="LMQ43" s="45"/>
      <c r="LMR43" s="45"/>
      <c r="LMS43" s="45"/>
      <c r="LMT43" s="45"/>
      <c r="LMU43" s="45"/>
      <c r="LMV43" s="45"/>
      <c r="LMW43" s="45"/>
      <c r="LMX43" s="45"/>
      <c r="LMY43" s="45"/>
      <c r="LMZ43" s="45"/>
      <c r="LNA43" s="45"/>
      <c r="LNB43" s="45"/>
      <c r="LNC43" s="45"/>
      <c r="LND43" s="45"/>
      <c r="LNE43" s="45"/>
      <c r="LNF43" s="45"/>
      <c r="LNG43" s="45"/>
      <c r="LNH43" s="45"/>
      <c r="LNI43" s="45"/>
      <c r="LNJ43" s="45"/>
      <c r="LNK43" s="45"/>
      <c r="LNL43" s="45"/>
      <c r="LNM43" s="45"/>
      <c r="LNN43" s="45"/>
      <c r="LNO43" s="45"/>
      <c r="LNP43" s="45"/>
      <c r="LNQ43" s="45"/>
      <c r="LNR43" s="45"/>
      <c r="LNS43" s="45"/>
      <c r="LNT43" s="45"/>
      <c r="LNU43" s="45"/>
      <c r="LNV43" s="45"/>
      <c r="LNW43" s="45"/>
      <c r="LNX43" s="45"/>
      <c r="LNY43" s="45"/>
      <c r="LNZ43" s="45"/>
      <c r="LOA43" s="45"/>
      <c r="LOB43" s="45"/>
      <c r="LOC43" s="45"/>
      <c r="LOD43" s="45"/>
      <c r="LOE43" s="45"/>
      <c r="LOF43" s="45"/>
      <c r="LOG43" s="45"/>
      <c r="LOH43" s="45"/>
      <c r="LOI43" s="45"/>
      <c r="LOJ43" s="45"/>
      <c r="LOK43" s="45"/>
      <c r="LOL43" s="45"/>
      <c r="LOM43" s="45"/>
      <c r="LON43" s="45"/>
      <c r="LOO43" s="45"/>
      <c r="LOP43" s="45"/>
      <c r="LOQ43" s="45"/>
      <c r="LOR43" s="45"/>
      <c r="LOS43" s="45"/>
      <c r="LOT43" s="45"/>
      <c r="LOU43" s="45"/>
      <c r="LOV43" s="45"/>
      <c r="LOW43" s="45"/>
      <c r="LOX43" s="45"/>
      <c r="LOY43" s="45"/>
      <c r="LOZ43" s="45"/>
      <c r="LPA43" s="45"/>
      <c r="LPB43" s="45"/>
      <c r="LPC43" s="45"/>
      <c r="LPD43" s="45"/>
      <c r="LPE43" s="45"/>
      <c r="LPF43" s="45"/>
      <c r="LPG43" s="45"/>
      <c r="LPH43" s="45"/>
      <c r="LPI43" s="45"/>
      <c r="LPJ43" s="45"/>
      <c r="LPK43" s="45"/>
      <c r="LPL43" s="45"/>
      <c r="LPM43" s="45"/>
      <c r="LPN43" s="45"/>
      <c r="LPO43" s="45"/>
      <c r="LPP43" s="45"/>
      <c r="LPQ43" s="45"/>
      <c r="LPR43" s="45"/>
      <c r="LPS43" s="45"/>
      <c r="LPT43" s="45"/>
      <c r="LPU43" s="45"/>
      <c r="LPV43" s="45"/>
      <c r="LPW43" s="45"/>
      <c r="LPX43" s="45"/>
      <c r="LPY43" s="45"/>
      <c r="LPZ43" s="45"/>
      <c r="LQA43" s="45"/>
      <c r="LQB43" s="45"/>
      <c r="LQC43" s="45"/>
      <c r="LQD43" s="45"/>
      <c r="LQE43" s="45"/>
      <c r="LQF43" s="45"/>
      <c r="LQG43" s="45"/>
      <c r="LQH43" s="45"/>
      <c r="LQI43" s="45"/>
      <c r="LQJ43" s="45"/>
      <c r="LQK43" s="45"/>
      <c r="LQL43" s="45"/>
      <c r="LQM43" s="45"/>
      <c r="LQN43" s="45"/>
      <c r="LQO43" s="45"/>
      <c r="LQP43" s="45"/>
      <c r="LQQ43" s="45"/>
      <c r="LQR43" s="45"/>
      <c r="LQS43" s="45"/>
      <c r="LQT43" s="45"/>
      <c r="LQU43" s="45"/>
      <c r="LQV43" s="45"/>
      <c r="LQW43" s="45"/>
      <c r="LQX43" s="45"/>
      <c r="LQY43" s="45"/>
      <c r="LQZ43" s="45"/>
      <c r="LRA43" s="45"/>
      <c r="LRB43" s="45"/>
      <c r="LRC43" s="45"/>
      <c r="LRD43" s="45"/>
      <c r="LRE43" s="45"/>
      <c r="LRF43" s="45"/>
      <c r="LRG43" s="45"/>
      <c r="LRH43" s="45"/>
      <c r="LRI43" s="45"/>
      <c r="LRJ43" s="45"/>
      <c r="LRK43" s="45"/>
      <c r="LRL43" s="45"/>
      <c r="LRM43" s="45"/>
      <c r="LRN43" s="45"/>
      <c r="LRO43" s="45"/>
      <c r="LRP43" s="45"/>
      <c r="LRQ43" s="45"/>
      <c r="LRR43" s="45"/>
      <c r="LRS43" s="45"/>
      <c r="LRT43" s="45"/>
      <c r="LRU43" s="45"/>
      <c r="LRV43" s="45"/>
      <c r="LRW43" s="45"/>
      <c r="LRX43" s="45"/>
      <c r="LRY43" s="45"/>
      <c r="LRZ43" s="45"/>
      <c r="LSA43" s="45"/>
      <c r="LSB43" s="45"/>
      <c r="LSC43" s="45"/>
      <c r="LSD43" s="45"/>
      <c r="LSE43" s="45"/>
      <c r="LSF43" s="45"/>
      <c r="LSG43" s="45"/>
      <c r="LSH43" s="45"/>
      <c r="LSI43" s="45"/>
      <c r="LSJ43" s="45"/>
      <c r="LSK43" s="45"/>
      <c r="LSL43" s="45"/>
      <c r="LSM43" s="45"/>
      <c r="LSN43" s="45"/>
      <c r="LSO43" s="45"/>
      <c r="LSP43" s="45"/>
      <c r="LSQ43" s="45"/>
      <c r="LSR43" s="45"/>
      <c r="LSS43" s="45"/>
      <c r="LST43" s="45"/>
      <c r="LSU43" s="45"/>
      <c r="LSV43" s="45"/>
      <c r="LSW43" s="45"/>
      <c r="LSX43" s="45"/>
      <c r="LSY43" s="45"/>
      <c r="LSZ43" s="45"/>
      <c r="LTA43" s="45"/>
      <c r="LTB43" s="45"/>
      <c r="LTC43" s="45"/>
      <c r="LTD43" s="45"/>
      <c r="LTE43" s="45"/>
      <c r="LTF43" s="45"/>
      <c r="LTG43" s="45"/>
      <c r="LTH43" s="45"/>
      <c r="LTI43" s="45"/>
      <c r="LTJ43" s="45"/>
      <c r="LTK43" s="45"/>
      <c r="LTL43" s="45"/>
      <c r="LTM43" s="45"/>
      <c r="LTN43" s="45"/>
      <c r="LTO43" s="45"/>
      <c r="LTP43" s="45"/>
      <c r="LTQ43" s="45"/>
      <c r="LTR43" s="45"/>
      <c r="LTS43" s="45"/>
      <c r="LTT43" s="45"/>
      <c r="LTU43" s="45"/>
      <c r="LTV43" s="45"/>
      <c r="LTW43" s="45"/>
      <c r="LTX43" s="45"/>
      <c r="LTY43" s="45"/>
      <c r="LTZ43" s="45"/>
      <c r="LUA43" s="45"/>
      <c r="LUB43" s="45"/>
      <c r="LUC43" s="45"/>
      <c r="LUD43" s="45"/>
      <c r="LUE43" s="45"/>
      <c r="LUF43" s="45"/>
      <c r="LUG43" s="45"/>
      <c r="LUH43" s="45"/>
      <c r="LUI43" s="45"/>
      <c r="LUJ43" s="45"/>
      <c r="LUK43" s="45"/>
      <c r="LUL43" s="45"/>
      <c r="LUM43" s="45"/>
      <c r="LUN43" s="45"/>
      <c r="LUO43" s="45"/>
      <c r="LUP43" s="45"/>
      <c r="LUQ43" s="45"/>
      <c r="LUR43" s="45"/>
      <c r="LUS43" s="45"/>
      <c r="LUT43" s="45"/>
      <c r="LUU43" s="45"/>
      <c r="LUV43" s="45"/>
      <c r="LUW43" s="45"/>
      <c r="LUX43" s="45"/>
      <c r="LUY43" s="45"/>
      <c r="LUZ43" s="45"/>
      <c r="LVA43" s="45"/>
      <c r="LVB43" s="45"/>
      <c r="LVC43" s="45"/>
      <c r="LVD43" s="45"/>
      <c r="LVE43" s="45"/>
      <c r="LVF43" s="45"/>
      <c r="LVG43" s="45"/>
      <c r="LVH43" s="45"/>
      <c r="LVI43" s="45"/>
      <c r="LVJ43" s="45"/>
      <c r="LVK43" s="45"/>
      <c r="LVL43" s="45"/>
      <c r="LVM43" s="45"/>
      <c r="LVN43" s="45"/>
      <c r="LVO43" s="45"/>
      <c r="LVP43" s="45"/>
      <c r="LVQ43" s="45"/>
      <c r="LVR43" s="45"/>
      <c r="LVS43" s="45"/>
      <c r="LVT43" s="45"/>
      <c r="LVU43" s="45"/>
      <c r="LVV43" s="45"/>
      <c r="LVW43" s="45"/>
      <c r="LVX43" s="45"/>
      <c r="LVY43" s="45"/>
      <c r="LVZ43" s="45"/>
      <c r="LWA43" s="45"/>
      <c r="LWB43" s="45"/>
      <c r="LWC43" s="45"/>
      <c r="LWD43" s="45"/>
      <c r="LWE43" s="45"/>
      <c r="LWF43" s="45"/>
      <c r="LWG43" s="45"/>
      <c r="LWH43" s="45"/>
      <c r="LWI43" s="45"/>
      <c r="LWJ43" s="45"/>
      <c r="LWK43" s="45"/>
      <c r="LWL43" s="45"/>
      <c r="LWM43" s="45"/>
      <c r="LWN43" s="45"/>
      <c r="LWO43" s="45"/>
      <c r="LWP43" s="45"/>
      <c r="LWQ43" s="45"/>
      <c r="LWR43" s="45"/>
      <c r="LWS43" s="45"/>
      <c r="LWT43" s="45"/>
      <c r="LWU43" s="45"/>
      <c r="LWV43" s="45"/>
      <c r="LWW43" s="45"/>
      <c r="LWX43" s="45"/>
      <c r="LWY43" s="45"/>
      <c r="LWZ43" s="45"/>
      <c r="LXA43" s="45"/>
      <c r="LXB43" s="45"/>
      <c r="LXC43" s="45"/>
      <c r="LXD43" s="45"/>
      <c r="LXE43" s="45"/>
      <c r="LXF43" s="45"/>
      <c r="LXG43" s="45"/>
      <c r="LXH43" s="45"/>
      <c r="LXI43" s="45"/>
      <c r="LXJ43" s="45"/>
      <c r="LXK43" s="45"/>
      <c r="LXL43" s="45"/>
      <c r="LXM43" s="45"/>
      <c r="LXN43" s="45"/>
      <c r="LXO43" s="45"/>
      <c r="LXP43" s="45"/>
      <c r="LXQ43" s="45"/>
      <c r="LXR43" s="45"/>
      <c r="LXS43" s="45"/>
      <c r="LXT43" s="45"/>
      <c r="LXU43" s="45"/>
      <c r="LXV43" s="45"/>
      <c r="LXW43" s="45"/>
      <c r="LXX43" s="45"/>
      <c r="LXY43" s="45"/>
      <c r="LXZ43" s="45"/>
      <c r="LYA43" s="45"/>
      <c r="LYB43" s="45"/>
      <c r="LYC43" s="45"/>
      <c r="LYD43" s="45"/>
      <c r="LYE43" s="45"/>
      <c r="LYF43" s="45"/>
      <c r="LYG43" s="45"/>
      <c r="LYH43" s="45"/>
      <c r="LYI43" s="45"/>
      <c r="LYJ43" s="45"/>
      <c r="LYK43" s="45"/>
      <c r="LYL43" s="45"/>
      <c r="LYM43" s="45"/>
      <c r="LYN43" s="45"/>
      <c r="LYO43" s="45"/>
      <c r="LYP43" s="45"/>
      <c r="LYQ43" s="45"/>
      <c r="LYR43" s="45"/>
      <c r="LYS43" s="45"/>
      <c r="LYT43" s="45"/>
      <c r="LYU43" s="45"/>
      <c r="LYV43" s="45"/>
      <c r="LYW43" s="45"/>
      <c r="LYX43" s="45"/>
      <c r="LYY43" s="45"/>
      <c r="LYZ43" s="45"/>
      <c r="LZA43" s="45"/>
      <c r="LZB43" s="45"/>
      <c r="LZC43" s="45"/>
      <c r="LZD43" s="45"/>
      <c r="LZE43" s="45"/>
      <c r="LZF43" s="45"/>
      <c r="LZG43" s="45"/>
      <c r="LZH43" s="45"/>
      <c r="LZI43" s="45"/>
      <c r="LZJ43" s="45"/>
      <c r="LZK43" s="45"/>
      <c r="LZL43" s="45"/>
      <c r="LZM43" s="45"/>
      <c r="LZN43" s="45"/>
      <c r="LZO43" s="45"/>
      <c r="LZP43" s="45"/>
      <c r="LZQ43" s="45"/>
      <c r="LZR43" s="45"/>
      <c r="LZS43" s="45"/>
      <c r="LZT43" s="45"/>
      <c r="LZU43" s="45"/>
      <c r="LZV43" s="45"/>
      <c r="LZW43" s="45"/>
      <c r="LZX43" s="45"/>
      <c r="LZY43" s="45"/>
      <c r="LZZ43" s="45"/>
      <c r="MAA43" s="45"/>
      <c r="MAB43" s="45"/>
      <c r="MAC43" s="45"/>
      <c r="MAD43" s="45"/>
      <c r="MAE43" s="45"/>
      <c r="MAF43" s="45"/>
      <c r="MAG43" s="45"/>
      <c r="MAH43" s="45"/>
      <c r="MAI43" s="45"/>
      <c r="MAJ43" s="45"/>
      <c r="MAK43" s="45"/>
      <c r="MAL43" s="45"/>
      <c r="MAM43" s="45"/>
      <c r="MAN43" s="45"/>
      <c r="MAO43" s="45"/>
      <c r="MAP43" s="45"/>
      <c r="MAQ43" s="45"/>
      <c r="MAR43" s="45"/>
      <c r="MAS43" s="45"/>
      <c r="MAT43" s="45"/>
      <c r="MAU43" s="45"/>
      <c r="MAV43" s="45"/>
      <c r="MAW43" s="45"/>
      <c r="MAX43" s="45"/>
      <c r="MAY43" s="45"/>
      <c r="MAZ43" s="45"/>
      <c r="MBA43" s="45"/>
      <c r="MBB43" s="45"/>
      <c r="MBC43" s="45"/>
      <c r="MBD43" s="45"/>
      <c r="MBE43" s="45"/>
      <c r="MBF43" s="45"/>
      <c r="MBG43" s="45"/>
      <c r="MBH43" s="45"/>
      <c r="MBI43" s="45"/>
      <c r="MBJ43" s="45"/>
      <c r="MBK43" s="45"/>
      <c r="MBL43" s="45"/>
      <c r="MBM43" s="45"/>
      <c r="MBN43" s="45"/>
      <c r="MBO43" s="45"/>
      <c r="MBP43" s="45"/>
      <c r="MBQ43" s="45"/>
      <c r="MBR43" s="45"/>
      <c r="MBS43" s="45"/>
      <c r="MBT43" s="45"/>
      <c r="MBU43" s="45"/>
      <c r="MBV43" s="45"/>
      <c r="MBW43" s="45"/>
      <c r="MBX43" s="45"/>
      <c r="MBY43" s="45"/>
      <c r="MBZ43" s="45"/>
      <c r="MCA43" s="45"/>
      <c r="MCB43" s="45"/>
      <c r="MCC43" s="45"/>
      <c r="MCD43" s="45"/>
      <c r="MCE43" s="45"/>
      <c r="MCF43" s="45"/>
      <c r="MCG43" s="45"/>
      <c r="MCH43" s="45"/>
      <c r="MCI43" s="45"/>
      <c r="MCJ43" s="45"/>
      <c r="MCK43" s="45"/>
      <c r="MCL43" s="45"/>
      <c r="MCM43" s="45"/>
      <c r="MCN43" s="45"/>
      <c r="MCO43" s="45"/>
      <c r="MCP43" s="45"/>
      <c r="MCQ43" s="45"/>
      <c r="MCR43" s="45"/>
      <c r="MCS43" s="45"/>
      <c r="MCT43" s="45"/>
      <c r="MCU43" s="45"/>
      <c r="MCV43" s="45"/>
      <c r="MCW43" s="45"/>
      <c r="MCX43" s="45"/>
      <c r="MCY43" s="45"/>
      <c r="MCZ43" s="45"/>
      <c r="MDA43" s="45"/>
      <c r="MDB43" s="45"/>
      <c r="MDC43" s="45"/>
      <c r="MDD43" s="45"/>
      <c r="MDE43" s="45"/>
      <c r="MDF43" s="45"/>
      <c r="MDG43" s="45"/>
      <c r="MDH43" s="45"/>
      <c r="MDI43" s="45"/>
      <c r="MDJ43" s="45"/>
      <c r="MDK43" s="45"/>
      <c r="MDL43" s="45"/>
      <c r="MDM43" s="45"/>
      <c r="MDN43" s="45"/>
      <c r="MDO43" s="45"/>
      <c r="MDP43" s="45"/>
      <c r="MDQ43" s="45"/>
      <c r="MDR43" s="45"/>
      <c r="MDS43" s="45"/>
      <c r="MDT43" s="45"/>
      <c r="MDU43" s="45"/>
      <c r="MDV43" s="45"/>
      <c r="MDW43" s="45"/>
      <c r="MDX43" s="45"/>
      <c r="MDY43" s="45"/>
      <c r="MDZ43" s="45"/>
      <c r="MEA43" s="45"/>
      <c r="MEB43" s="45"/>
      <c r="MEC43" s="45"/>
      <c r="MED43" s="45"/>
      <c r="MEE43" s="45"/>
      <c r="MEF43" s="45"/>
      <c r="MEG43" s="45"/>
      <c r="MEH43" s="45"/>
      <c r="MEI43" s="45"/>
      <c r="MEJ43" s="45"/>
      <c r="MEK43" s="45"/>
      <c r="MEL43" s="45"/>
      <c r="MEM43" s="45"/>
      <c r="MEN43" s="45"/>
      <c r="MEO43" s="45"/>
      <c r="MEP43" s="45"/>
      <c r="MEQ43" s="45"/>
      <c r="MER43" s="45"/>
      <c r="MES43" s="45"/>
      <c r="MET43" s="45"/>
      <c r="MEU43" s="45"/>
      <c r="MEV43" s="45"/>
      <c r="MEW43" s="45"/>
      <c r="MEX43" s="45"/>
      <c r="MEY43" s="45"/>
      <c r="MEZ43" s="45"/>
      <c r="MFA43" s="45"/>
      <c r="MFB43" s="45"/>
      <c r="MFC43" s="45"/>
      <c r="MFD43" s="45"/>
      <c r="MFE43" s="45"/>
      <c r="MFF43" s="45"/>
      <c r="MFG43" s="45"/>
      <c r="MFH43" s="45"/>
      <c r="MFI43" s="45"/>
      <c r="MFJ43" s="45"/>
      <c r="MFK43" s="45"/>
      <c r="MFL43" s="45"/>
      <c r="MFM43" s="45"/>
      <c r="MFN43" s="45"/>
      <c r="MFO43" s="45"/>
      <c r="MFP43" s="45"/>
      <c r="MFQ43" s="45"/>
      <c r="MFR43" s="45"/>
      <c r="MFS43" s="45"/>
      <c r="MFT43" s="45"/>
      <c r="MFU43" s="45"/>
      <c r="MFV43" s="45"/>
      <c r="MFW43" s="45"/>
      <c r="MFX43" s="45"/>
      <c r="MFY43" s="45"/>
      <c r="MFZ43" s="45"/>
      <c r="MGA43" s="45"/>
      <c r="MGB43" s="45"/>
      <c r="MGC43" s="45"/>
      <c r="MGD43" s="45"/>
      <c r="MGE43" s="45"/>
      <c r="MGF43" s="45"/>
      <c r="MGG43" s="45"/>
      <c r="MGH43" s="45"/>
      <c r="MGI43" s="45"/>
      <c r="MGJ43" s="45"/>
      <c r="MGK43" s="45"/>
      <c r="MGL43" s="45"/>
      <c r="MGM43" s="45"/>
      <c r="MGN43" s="45"/>
      <c r="MGO43" s="45"/>
      <c r="MGP43" s="45"/>
      <c r="MGQ43" s="45"/>
      <c r="MGR43" s="45"/>
      <c r="MGS43" s="45"/>
      <c r="MGT43" s="45"/>
      <c r="MGU43" s="45"/>
      <c r="MGV43" s="45"/>
      <c r="MGW43" s="45"/>
      <c r="MGX43" s="45"/>
      <c r="MGY43" s="45"/>
      <c r="MGZ43" s="45"/>
      <c r="MHA43" s="45"/>
      <c r="MHB43" s="45"/>
      <c r="MHC43" s="45"/>
      <c r="MHD43" s="45"/>
      <c r="MHE43" s="45"/>
      <c r="MHF43" s="45"/>
      <c r="MHG43" s="45"/>
      <c r="MHH43" s="45"/>
      <c r="MHI43" s="45"/>
      <c r="MHJ43" s="45"/>
      <c r="MHK43" s="45"/>
      <c r="MHL43" s="45"/>
      <c r="MHM43" s="45"/>
      <c r="MHN43" s="45"/>
      <c r="MHO43" s="45"/>
      <c r="MHP43" s="45"/>
      <c r="MHQ43" s="45"/>
      <c r="MHR43" s="45"/>
      <c r="MHS43" s="45"/>
      <c r="MHT43" s="45"/>
      <c r="MHU43" s="45"/>
      <c r="MHV43" s="45"/>
      <c r="MHW43" s="45"/>
      <c r="MHX43" s="45"/>
      <c r="MHY43" s="45"/>
      <c r="MHZ43" s="45"/>
      <c r="MIA43" s="45"/>
      <c r="MIB43" s="45"/>
      <c r="MIC43" s="45"/>
      <c r="MID43" s="45"/>
      <c r="MIE43" s="45"/>
      <c r="MIF43" s="45"/>
      <c r="MIG43" s="45"/>
      <c r="MIH43" s="45"/>
      <c r="MII43" s="45"/>
      <c r="MIJ43" s="45"/>
      <c r="MIK43" s="45"/>
      <c r="MIL43" s="45"/>
      <c r="MIM43" s="45"/>
      <c r="MIN43" s="45"/>
      <c r="MIO43" s="45"/>
      <c r="MIP43" s="45"/>
      <c r="MIQ43" s="45"/>
      <c r="MIR43" s="45"/>
      <c r="MIS43" s="45"/>
      <c r="MIT43" s="45"/>
      <c r="MIU43" s="45"/>
      <c r="MIV43" s="45"/>
      <c r="MIW43" s="45"/>
      <c r="MIX43" s="45"/>
      <c r="MIY43" s="45"/>
      <c r="MIZ43" s="45"/>
      <c r="MJA43" s="45"/>
      <c r="MJB43" s="45"/>
      <c r="MJC43" s="45"/>
      <c r="MJD43" s="45"/>
      <c r="MJE43" s="45"/>
      <c r="MJF43" s="45"/>
      <c r="MJG43" s="45"/>
      <c r="MJH43" s="45"/>
      <c r="MJI43" s="45"/>
      <c r="MJJ43" s="45"/>
      <c r="MJK43" s="45"/>
      <c r="MJL43" s="45"/>
      <c r="MJM43" s="45"/>
      <c r="MJN43" s="45"/>
      <c r="MJO43" s="45"/>
      <c r="MJP43" s="45"/>
      <c r="MJQ43" s="45"/>
      <c r="MJR43" s="45"/>
      <c r="MJS43" s="45"/>
      <c r="MJT43" s="45"/>
      <c r="MJU43" s="45"/>
      <c r="MJV43" s="45"/>
      <c r="MJW43" s="45"/>
      <c r="MJX43" s="45"/>
      <c r="MJY43" s="45"/>
      <c r="MJZ43" s="45"/>
      <c r="MKA43" s="45"/>
      <c r="MKB43" s="45"/>
      <c r="MKC43" s="45"/>
      <c r="MKD43" s="45"/>
      <c r="MKE43" s="45"/>
      <c r="MKF43" s="45"/>
      <c r="MKG43" s="45"/>
      <c r="MKH43" s="45"/>
      <c r="MKI43" s="45"/>
      <c r="MKJ43" s="45"/>
      <c r="MKK43" s="45"/>
      <c r="MKL43" s="45"/>
      <c r="MKM43" s="45"/>
      <c r="MKN43" s="45"/>
      <c r="MKO43" s="45"/>
      <c r="MKP43" s="45"/>
      <c r="MKQ43" s="45"/>
      <c r="MKR43" s="45"/>
      <c r="MKS43" s="45"/>
      <c r="MKT43" s="45"/>
      <c r="MKU43" s="45"/>
      <c r="MKV43" s="45"/>
      <c r="MKW43" s="45"/>
      <c r="MKX43" s="45"/>
      <c r="MKY43" s="45"/>
      <c r="MKZ43" s="45"/>
      <c r="MLA43" s="45"/>
      <c r="MLB43" s="45"/>
      <c r="MLC43" s="45"/>
      <c r="MLD43" s="45"/>
      <c r="MLE43" s="45"/>
      <c r="MLF43" s="45"/>
      <c r="MLG43" s="45"/>
      <c r="MLH43" s="45"/>
      <c r="MLI43" s="45"/>
      <c r="MLJ43" s="45"/>
      <c r="MLK43" s="45"/>
      <c r="MLL43" s="45"/>
      <c r="MLM43" s="45"/>
      <c r="MLN43" s="45"/>
      <c r="MLO43" s="45"/>
      <c r="MLP43" s="45"/>
      <c r="MLQ43" s="45"/>
      <c r="MLR43" s="45"/>
      <c r="MLS43" s="45"/>
      <c r="MLT43" s="45"/>
      <c r="MLU43" s="45"/>
      <c r="MLV43" s="45"/>
      <c r="MLW43" s="45"/>
      <c r="MLX43" s="45"/>
      <c r="MLY43" s="45"/>
      <c r="MLZ43" s="45"/>
      <c r="MMA43" s="45"/>
      <c r="MMB43" s="45"/>
      <c r="MMC43" s="45"/>
      <c r="MMD43" s="45"/>
      <c r="MME43" s="45"/>
      <c r="MMF43" s="45"/>
      <c r="MMG43" s="45"/>
      <c r="MMH43" s="45"/>
      <c r="MMI43" s="45"/>
      <c r="MMJ43" s="45"/>
      <c r="MMK43" s="45"/>
      <c r="MML43" s="45"/>
      <c r="MMM43" s="45"/>
      <c r="MMN43" s="45"/>
      <c r="MMO43" s="45"/>
      <c r="MMP43" s="45"/>
      <c r="MMQ43" s="45"/>
      <c r="MMR43" s="45"/>
      <c r="MMS43" s="45"/>
      <c r="MMT43" s="45"/>
      <c r="MMU43" s="45"/>
      <c r="MMV43" s="45"/>
      <c r="MMW43" s="45"/>
      <c r="MMX43" s="45"/>
      <c r="MMY43" s="45"/>
      <c r="MMZ43" s="45"/>
      <c r="MNA43" s="45"/>
      <c r="MNB43" s="45"/>
      <c r="MNC43" s="45"/>
      <c r="MND43" s="45"/>
      <c r="MNE43" s="45"/>
      <c r="MNF43" s="45"/>
      <c r="MNG43" s="45"/>
      <c r="MNH43" s="45"/>
      <c r="MNI43" s="45"/>
      <c r="MNJ43" s="45"/>
      <c r="MNK43" s="45"/>
      <c r="MNL43" s="45"/>
      <c r="MNM43" s="45"/>
      <c r="MNN43" s="45"/>
      <c r="MNO43" s="45"/>
      <c r="MNP43" s="45"/>
      <c r="MNQ43" s="45"/>
      <c r="MNR43" s="45"/>
      <c r="MNS43" s="45"/>
      <c r="MNT43" s="45"/>
      <c r="MNU43" s="45"/>
      <c r="MNV43" s="45"/>
      <c r="MNW43" s="45"/>
      <c r="MNX43" s="45"/>
      <c r="MNY43" s="45"/>
      <c r="MNZ43" s="45"/>
      <c r="MOA43" s="45"/>
      <c r="MOB43" s="45"/>
      <c r="MOC43" s="45"/>
      <c r="MOD43" s="45"/>
      <c r="MOE43" s="45"/>
      <c r="MOF43" s="45"/>
      <c r="MOG43" s="45"/>
      <c r="MOH43" s="45"/>
      <c r="MOI43" s="45"/>
      <c r="MOJ43" s="45"/>
      <c r="MOK43" s="45"/>
      <c r="MOL43" s="45"/>
      <c r="MOM43" s="45"/>
      <c r="MON43" s="45"/>
      <c r="MOO43" s="45"/>
      <c r="MOP43" s="45"/>
      <c r="MOQ43" s="45"/>
      <c r="MOR43" s="45"/>
      <c r="MOS43" s="45"/>
      <c r="MOT43" s="45"/>
      <c r="MOU43" s="45"/>
      <c r="MOV43" s="45"/>
      <c r="MOW43" s="45"/>
      <c r="MOX43" s="45"/>
      <c r="MOY43" s="45"/>
      <c r="MOZ43" s="45"/>
      <c r="MPA43" s="45"/>
      <c r="MPB43" s="45"/>
      <c r="MPC43" s="45"/>
      <c r="MPD43" s="45"/>
      <c r="MPE43" s="45"/>
      <c r="MPF43" s="45"/>
      <c r="MPG43" s="45"/>
      <c r="MPH43" s="45"/>
      <c r="MPI43" s="45"/>
      <c r="MPJ43" s="45"/>
      <c r="MPK43" s="45"/>
      <c r="MPL43" s="45"/>
      <c r="MPM43" s="45"/>
      <c r="MPN43" s="45"/>
      <c r="MPO43" s="45"/>
      <c r="MPP43" s="45"/>
      <c r="MPQ43" s="45"/>
      <c r="MPR43" s="45"/>
      <c r="MPS43" s="45"/>
      <c r="MPT43" s="45"/>
      <c r="MPU43" s="45"/>
      <c r="MPV43" s="45"/>
      <c r="MPW43" s="45"/>
      <c r="MPX43" s="45"/>
      <c r="MPY43" s="45"/>
      <c r="MPZ43" s="45"/>
      <c r="MQA43" s="45"/>
      <c r="MQB43" s="45"/>
      <c r="MQC43" s="45"/>
      <c r="MQD43" s="45"/>
      <c r="MQE43" s="45"/>
      <c r="MQF43" s="45"/>
      <c r="MQG43" s="45"/>
      <c r="MQH43" s="45"/>
      <c r="MQI43" s="45"/>
      <c r="MQJ43" s="45"/>
      <c r="MQK43" s="45"/>
      <c r="MQL43" s="45"/>
      <c r="MQM43" s="45"/>
      <c r="MQN43" s="45"/>
      <c r="MQO43" s="45"/>
      <c r="MQP43" s="45"/>
      <c r="MQQ43" s="45"/>
      <c r="MQR43" s="45"/>
      <c r="MQS43" s="45"/>
      <c r="MQT43" s="45"/>
      <c r="MQU43" s="45"/>
      <c r="MQV43" s="45"/>
      <c r="MQW43" s="45"/>
      <c r="MQX43" s="45"/>
      <c r="MQY43" s="45"/>
      <c r="MQZ43" s="45"/>
      <c r="MRA43" s="45"/>
      <c r="MRB43" s="45"/>
      <c r="MRC43" s="45"/>
      <c r="MRD43" s="45"/>
      <c r="MRE43" s="45"/>
      <c r="MRF43" s="45"/>
      <c r="MRG43" s="45"/>
      <c r="MRH43" s="45"/>
      <c r="MRI43" s="45"/>
      <c r="MRJ43" s="45"/>
      <c r="MRK43" s="45"/>
      <c r="MRL43" s="45"/>
      <c r="MRM43" s="45"/>
      <c r="MRN43" s="45"/>
      <c r="MRO43" s="45"/>
      <c r="MRP43" s="45"/>
      <c r="MRQ43" s="45"/>
      <c r="MRR43" s="45"/>
      <c r="MRS43" s="45"/>
      <c r="MRT43" s="45"/>
      <c r="MRU43" s="45"/>
      <c r="MRV43" s="45"/>
      <c r="MRW43" s="45"/>
      <c r="MRX43" s="45"/>
      <c r="MRY43" s="45"/>
      <c r="MRZ43" s="45"/>
      <c r="MSA43" s="45"/>
      <c r="MSB43" s="45"/>
      <c r="MSC43" s="45"/>
      <c r="MSD43" s="45"/>
      <c r="MSE43" s="45"/>
      <c r="MSF43" s="45"/>
      <c r="MSG43" s="45"/>
      <c r="MSH43" s="45"/>
      <c r="MSI43" s="45"/>
      <c r="MSJ43" s="45"/>
      <c r="MSK43" s="45"/>
      <c r="MSL43" s="45"/>
      <c r="MSM43" s="45"/>
      <c r="MSN43" s="45"/>
      <c r="MSO43" s="45"/>
      <c r="MSP43" s="45"/>
      <c r="MSQ43" s="45"/>
      <c r="MSR43" s="45"/>
      <c r="MSS43" s="45"/>
      <c r="MST43" s="45"/>
      <c r="MSU43" s="45"/>
      <c r="MSV43" s="45"/>
      <c r="MSW43" s="45"/>
      <c r="MSX43" s="45"/>
      <c r="MSY43" s="45"/>
      <c r="MSZ43" s="45"/>
      <c r="MTA43" s="45"/>
      <c r="MTB43" s="45"/>
      <c r="MTC43" s="45"/>
      <c r="MTD43" s="45"/>
      <c r="MTE43" s="45"/>
      <c r="MTF43" s="45"/>
      <c r="MTG43" s="45"/>
      <c r="MTH43" s="45"/>
      <c r="MTI43" s="45"/>
      <c r="MTJ43" s="45"/>
      <c r="MTK43" s="45"/>
      <c r="MTL43" s="45"/>
      <c r="MTM43" s="45"/>
      <c r="MTN43" s="45"/>
      <c r="MTO43" s="45"/>
      <c r="MTP43" s="45"/>
      <c r="MTQ43" s="45"/>
      <c r="MTR43" s="45"/>
      <c r="MTS43" s="45"/>
      <c r="MTT43" s="45"/>
      <c r="MTU43" s="45"/>
      <c r="MTV43" s="45"/>
      <c r="MTW43" s="45"/>
      <c r="MTX43" s="45"/>
      <c r="MTY43" s="45"/>
      <c r="MTZ43" s="45"/>
      <c r="MUA43" s="45"/>
      <c r="MUB43" s="45"/>
      <c r="MUC43" s="45"/>
      <c r="MUD43" s="45"/>
      <c r="MUE43" s="45"/>
      <c r="MUF43" s="45"/>
      <c r="MUG43" s="45"/>
      <c r="MUH43" s="45"/>
      <c r="MUI43" s="45"/>
      <c r="MUJ43" s="45"/>
      <c r="MUK43" s="45"/>
      <c r="MUL43" s="45"/>
      <c r="MUM43" s="45"/>
      <c r="MUN43" s="45"/>
      <c r="MUO43" s="45"/>
      <c r="MUP43" s="45"/>
      <c r="MUQ43" s="45"/>
      <c r="MUR43" s="45"/>
      <c r="MUS43" s="45"/>
      <c r="MUT43" s="45"/>
      <c r="MUU43" s="45"/>
      <c r="MUV43" s="45"/>
      <c r="MUW43" s="45"/>
      <c r="MUX43" s="45"/>
      <c r="MUY43" s="45"/>
      <c r="MUZ43" s="45"/>
      <c r="MVA43" s="45"/>
      <c r="MVB43" s="45"/>
      <c r="MVC43" s="45"/>
      <c r="MVD43" s="45"/>
      <c r="MVE43" s="45"/>
      <c r="MVF43" s="45"/>
      <c r="MVG43" s="45"/>
      <c r="MVH43" s="45"/>
      <c r="MVI43" s="45"/>
      <c r="MVJ43" s="45"/>
      <c r="MVK43" s="45"/>
      <c r="MVL43" s="45"/>
      <c r="MVM43" s="45"/>
      <c r="MVN43" s="45"/>
      <c r="MVO43" s="45"/>
      <c r="MVP43" s="45"/>
      <c r="MVQ43" s="45"/>
      <c r="MVR43" s="45"/>
      <c r="MVS43" s="45"/>
      <c r="MVT43" s="45"/>
      <c r="MVU43" s="45"/>
      <c r="MVV43" s="45"/>
      <c r="MVW43" s="45"/>
      <c r="MVX43" s="45"/>
      <c r="MVY43" s="45"/>
      <c r="MVZ43" s="45"/>
      <c r="MWA43" s="45"/>
      <c r="MWB43" s="45"/>
      <c r="MWC43" s="45"/>
      <c r="MWD43" s="45"/>
      <c r="MWE43" s="45"/>
      <c r="MWF43" s="45"/>
      <c r="MWG43" s="45"/>
      <c r="MWH43" s="45"/>
      <c r="MWI43" s="45"/>
      <c r="MWJ43" s="45"/>
      <c r="MWK43" s="45"/>
      <c r="MWL43" s="45"/>
      <c r="MWM43" s="45"/>
      <c r="MWN43" s="45"/>
      <c r="MWO43" s="45"/>
      <c r="MWP43" s="45"/>
      <c r="MWQ43" s="45"/>
      <c r="MWR43" s="45"/>
      <c r="MWS43" s="45"/>
      <c r="MWT43" s="45"/>
      <c r="MWU43" s="45"/>
      <c r="MWV43" s="45"/>
      <c r="MWW43" s="45"/>
      <c r="MWX43" s="45"/>
      <c r="MWY43" s="45"/>
      <c r="MWZ43" s="45"/>
      <c r="MXA43" s="45"/>
      <c r="MXB43" s="45"/>
      <c r="MXC43" s="45"/>
      <c r="MXD43" s="45"/>
      <c r="MXE43" s="45"/>
      <c r="MXF43" s="45"/>
      <c r="MXG43" s="45"/>
      <c r="MXH43" s="45"/>
      <c r="MXI43" s="45"/>
      <c r="MXJ43" s="45"/>
      <c r="MXK43" s="45"/>
      <c r="MXL43" s="45"/>
      <c r="MXM43" s="45"/>
      <c r="MXN43" s="45"/>
      <c r="MXO43" s="45"/>
      <c r="MXP43" s="45"/>
      <c r="MXQ43" s="45"/>
      <c r="MXR43" s="45"/>
      <c r="MXS43" s="45"/>
      <c r="MXT43" s="45"/>
      <c r="MXU43" s="45"/>
      <c r="MXV43" s="45"/>
      <c r="MXW43" s="45"/>
      <c r="MXX43" s="45"/>
      <c r="MXY43" s="45"/>
      <c r="MXZ43" s="45"/>
      <c r="MYA43" s="45"/>
      <c r="MYB43" s="45"/>
      <c r="MYC43" s="45"/>
      <c r="MYD43" s="45"/>
      <c r="MYE43" s="45"/>
      <c r="MYF43" s="45"/>
      <c r="MYG43" s="45"/>
      <c r="MYH43" s="45"/>
      <c r="MYI43" s="45"/>
      <c r="MYJ43" s="45"/>
      <c r="MYK43" s="45"/>
      <c r="MYL43" s="45"/>
      <c r="MYM43" s="45"/>
      <c r="MYN43" s="45"/>
      <c r="MYO43" s="45"/>
      <c r="MYP43" s="45"/>
      <c r="MYQ43" s="45"/>
      <c r="MYR43" s="45"/>
      <c r="MYS43" s="45"/>
      <c r="MYT43" s="45"/>
      <c r="MYU43" s="45"/>
      <c r="MYV43" s="45"/>
      <c r="MYW43" s="45"/>
      <c r="MYX43" s="45"/>
      <c r="MYY43" s="45"/>
      <c r="MYZ43" s="45"/>
      <c r="MZA43" s="45"/>
      <c r="MZB43" s="45"/>
      <c r="MZC43" s="45"/>
      <c r="MZD43" s="45"/>
      <c r="MZE43" s="45"/>
      <c r="MZF43" s="45"/>
      <c r="MZG43" s="45"/>
      <c r="MZH43" s="45"/>
      <c r="MZI43" s="45"/>
      <c r="MZJ43" s="45"/>
      <c r="MZK43" s="45"/>
      <c r="MZL43" s="45"/>
      <c r="MZM43" s="45"/>
      <c r="MZN43" s="45"/>
      <c r="MZO43" s="45"/>
      <c r="MZP43" s="45"/>
      <c r="MZQ43" s="45"/>
      <c r="MZR43" s="45"/>
      <c r="MZS43" s="45"/>
      <c r="MZT43" s="45"/>
      <c r="MZU43" s="45"/>
      <c r="MZV43" s="45"/>
      <c r="MZW43" s="45"/>
      <c r="MZX43" s="45"/>
      <c r="MZY43" s="45"/>
      <c r="MZZ43" s="45"/>
      <c r="NAA43" s="45"/>
      <c r="NAB43" s="45"/>
      <c r="NAC43" s="45"/>
      <c r="NAD43" s="45"/>
      <c r="NAE43" s="45"/>
      <c r="NAF43" s="45"/>
      <c r="NAG43" s="45"/>
      <c r="NAH43" s="45"/>
      <c r="NAI43" s="45"/>
      <c r="NAJ43" s="45"/>
      <c r="NAK43" s="45"/>
      <c r="NAL43" s="45"/>
      <c r="NAM43" s="45"/>
      <c r="NAN43" s="45"/>
      <c r="NAO43" s="45"/>
      <c r="NAP43" s="45"/>
      <c r="NAQ43" s="45"/>
      <c r="NAR43" s="45"/>
      <c r="NAS43" s="45"/>
      <c r="NAT43" s="45"/>
      <c r="NAU43" s="45"/>
      <c r="NAV43" s="45"/>
      <c r="NAW43" s="45"/>
      <c r="NAX43" s="45"/>
      <c r="NAY43" s="45"/>
      <c r="NAZ43" s="45"/>
      <c r="NBA43" s="45"/>
      <c r="NBB43" s="45"/>
      <c r="NBC43" s="45"/>
      <c r="NBD43" s="45"/>
      <c r="NBE43" s="45"/>
      <c r="NBF43" s="45"/>
      <c r="NBG43" s="45"/>
      <c r="NBH43" s="45"/>
      <c r="NBI43" s="45"/>
      <c r="NBJ43" s="45"/>
      <c r="NBK43" s="45"/>
      <c r="NBL43" s="45"/>
      <c r="NBM43" s="45"/>
      <c r="NBN43" s="45"/>
      <c r="NBO43" s="45"/>
      <c r="NBP43" s="45"/>
      <c r="NBQ43" s="45"/>
      <c r="NBR43" s="45"/>
      <c r="NBS43" s="45"/>
      <c r="NBT43" s="45"/>
      <c r="NBU43" s="45"/>
      <c r="NBV43" s="45"/>
      <c r="NBW43" s="45"/>
      <c r="NBX43" s="45"/>
      <c r="NBY43" s="45"/>
      <c r="NBZ43" s="45"/>
      <c r="NCA43" s="45"/>
      <c r="NCB43" s="45"/>
      <c r="NCC43" s="45"/>
      <c r="NCD43" s="45"/>
      <c r="NCE43" s="45"/>
      <c r="NCF43" s="45"/>
      <c r="NCG43" s="45"/>
      <c r="NCH43" s="45"/>
      <c r="NCI43" s="45"/>
      <c r="NCJ43" s="45"/>
      <c r="NCK43" s="45"/>
      <c r="NCL43" s="45"/>
      <c r="NCM43" s="45"/>
      <c r="NCN43" s="45"/>
      <c r="NCO43" s="45"/>
      <c r="NCP43" s="45"/>
      <c r="NCQ43" s="45"/>
      <c r="NCR43" s="45"/>
      <c r="NCS43" s="45"/>
      <c r="NCT43" s="45"/>
      <c r="NCU43" s="45"/>
      <c r="NCV43" s="45"/>
      <c r="NCW43" s="45"/>
      <c r="NCX43" s="45"/>
      <c r="NCY43" s="45"/>
      <c r="NCZ43" s="45"/>
      <c r="NDA43" s="45"/>
      <c r="NDB43" s="45"/>
      <c r="NDC43" s="45"/>
      <c r="NDD43" s="45"/>
      <c r="NDE43" s="45"/>
      <c r="NDF43" s="45"/>
      <c r="NDG43" s="45"/>
      <c r="NDH43" s="45"/>
      <c r="NDI43" s="45"/>
      <c r="NDJ43" s="45"/>
      <c r="NDK43" s="45"/>
      <c r="NDL43" s="45"/>
      <c r="NDM43" s="45"/>
      <c r="NDN43" s="45"/>
      <c r="NDO43" s="45"/>
      <c r="NDP43" s="45"/>
      <c r="NDQ43" s="45"/>
      <c r="NDR43" s="45"/>
      <c r="NDS43" s="45"/>
      <c r="NDT43" s="45"/>
      <c r="NDU43" s="45"/>
      <c r="NDV43" s="45"/>
      <c r="NDW43" s="45"/>
      <c r="NDX43" s="45"/>
      <c r="NDY43" s="45"/>
      <c r="NDZ43" s="45"/>
      <c r="NEA43" s="45"/>
      <c r="NEB43" s="45"/>
      <c r="NEC43" s="45"/>
      <c r="NED43" s="45"/>
      <c r="NEE43" s="45"/>
      <c r="NEF43" s="45"/>
      <c r="NEG43" s="45"/>
      <c r="NEH43" s="45"/>
      <c r="NEI43" s="45"/>
      <c r="NEJ43" s="45"/>
      <c r="NEK43" s="45"/>
      <c r="NEL43" s="45"/>
      <c r="NEM43" s="45"/>
      <c r="NEN43" s="45"/>
      <c r="NEO43" s="45"/>
      <c r="NEP43" s="45"/>
      <c r="NEQ43" s="45"/>
      <c r="NER43" s="45"/>
      <c r="NES43" s="45"/>
      <c r="NET43" s="45"/>
      <c r="NEU43" s="45"/>
      <c r="NEV43" s="45"/>
      <c r="NEW43" s="45"/>
      <c r="NEX43" s="45"/>
      <c r="NEY43" s="45"/>
      <c r="NEZ43" s="45"/>
      <c r="NFA43" s="45"/>
      <c r="NFB43" s="45"/>
      <c r="NFC43" s="45"/>
      <c r="NFD43" s="45"/>
      <c r="NFE43" s="45"/>
      <c r="NFF43" s="45"/>
      <c r="NFG43" s="45"/>
      <c r="NFH43" s="45"/>
      <c r="NFI43" s="45"/>
      <c r="NFJ43" s="45"/>
      <c r="NFK43" s="45"/>
      <c r="NFL43" s="45"/>
      <c r="NFM43" s="45"/>
      <c r="NFN43" s="45"/>
      <c r="NFO43" s="45"/>
      <c r="NFP43" s="45"/>
      <c r="NFQ43" s="45"/>
      <c r="NFR43" s="45"/>
      <c r="NFS43" s="45"/>
      <c r="NFT43" s="45"/>
      <c r="NFU43" s="45"/>
      <c r="NFV43" s="45"/>
      <c r="NFW43" s="45"/>
      <c r="NFX43" s="45"/>
      <c r="NFY43" s="45"/>
      <c r="NFZ43" s="45"/>
      <c r="NGA43" s="45"/>
      <c r="NGB43" s="45"/>
      <c r="NGC43" s="45"/>
      <c r="NGD43" s="45"/>
      <c r="NGE43" s="45"/>
      <c r="NGF43" s="45"/>
      <c r="NGG43" s="45"/>
      <c r="NGH43" s="45"/>
      <c r="NGI43" s="45"/>
      <c r="NGJ43" s="45"/>
      <c r="NGK43" s="45"/>
      <c r="NGL43" s="45"/>
      <c r="NGM43" s="45"/>
      <c r="NGN43" s="45"/>
      <c r="NGO43" s="45"/>
      <c r="NGP43" s="45"/>
      <c r="NGQ43" s="45"/>
      <c r="NGR43" s="45"/>
      <c r="NGS43" s="45"/>
      <c r="NGT43" s="45"/>
      <c r="NGU43" s="45"/>
      <c r="NGV43" s="45"/>
      <c r="NGW43" s="45"/>
      <c r="NGX43" s="45"/>
      <c r="NGY43" s="45"/>
      <c r="NGZ43" s="45"/>
      <c r="NHA43" s="45"/>
      <c r="NHB43" s="45"/>
      <c r="NHC43" s="45"/>
      <c r="NHD43" s="45"/>
      <c r="NHE43" s="45"/>
      <c r="NHF43" s="45"/>
      <c r="NHG43" s="45"/>
      <c r="NHH43" s="45"/>
      <c r="NHI43" s="45"/>
      <c r="NHJ43" s="45"/>
      <c r="NHK43" s="45"/>
      <c r="NHL43" s="45"/>
      <c r="NHM43" s="45"/>
      <c r="NHN43" s="45"/>
      <c r="NHO43" s="45"/>
      <c r="NHP43" s="45"/>
      <c r="NHQ43" s="45"/>
      <c r="NHR43" s="45"/>
      <c r="NHS43" s="45"/>
      <c r="NHT43" s="45"/>
      <c r="NHU43" s="45"/>
      <c r="NHV43" s="45"/>
      <c r="NHW43" s="45"/>
      <c r="NHX43" s="45"/>
      <c r="NHY43" s="45"/>
      <c r="NHZ43" s="45"/>
      <c r="NIA43" s="45"/>
      <c r="NIB43" s="45"/>
      <c r="NIC43" s="45"/>
      <c r="NID43" s="45"/>
      <c r="NIE43" s="45"/>
      <c r="NIF43" s="45"/>
      <c r="NIG43" s="45"/>
      <c r="NIH43" s="45"/>
      <c r="NII43" s="45"/>
      <c r="NIJ43" s="45"/>
      <c r="NIK43" s="45"/>
      <c r="NIL43" s="45"/>
      <c r="NIM43" s="45"/>
      <c r="NIN43" s="45"/>
      <c r="NIO43" s="45"/>
      <c r="NIP43" s="45"/>
      <c r="NIQ43" s="45"/>
      <c r="NIR43" s="45"/>
      <c r="NIS43" s="45"/>
      <c r="NIT43" s="45"/>
      <c r="NIU43" s="45"/>
      <c r="NIV43" s="45"/>
      <c r="NIW43" s="45"/>
      <c r="NIX43" s="45"/>
      <c r="NIY43" s="45"/>
      <c r="NIZ43" s="45"/>
      <c r="NJA43" s="45"/>
      <c r="NJB43" s="45"/>
      <c r="NJC43" s="45"/>
      <c r="NJD43" s="45"/>
      <c r="NJE43" s="45"/>
      <c r="NJF43" s="45"/>
      <c r="NJG43" s="45"/>
      <c r="NJH43" s="45"/>
      <c r="NJI43" s="45"/>
      <c r="NJJ43" s="45"/>
      <c r="NJK43" s="45"/>
      <c r="NJL43" s="45"/>
      <c r="NJM43" s="45"/>
      <c r="NJN43" s="45"/>
      <c r="NJO43" s="45"/>
      <c r="NJP43" s="45"/>
      <c r="NJQ43" s="45"/>
      <c r="NJR43" s="45"/>
      <c r="NJS43" s="45"/>
      <c r="NJT43" s="45"/>
      <c r="NJU43" s="45"/>
      <c r="NJV43" s="45"/>
      <c r="NJW43" s="45"/>
      <c r="NJX43" s="45"/>
      <c r="NJY43" s="45"/>
      <c r="NJZ43" s="45"/>
      <c r="NKA43" s="45"/>
      <c r="NKB43" s="45"/>
      <c r="NKC43" s="45"/>
      <c r="NKD43" s="45"/>
      <c r="NKE43" s="45"/>
      <c r="NKF43" s="45"/>
      <c r="NKG43" s="45"/>
      <c r="NKH43" s="45"/>
      <c r="NKI43" s="45"/>
      <c r="NKJ43" s="45"/>
      <c r="NKK43" s="45"/>
      <c r="NKL43" s="45"/>
      <c r="NKM43" s="45"/>
      <c r="NKN43" s="45"/>
      <c r="NKO43" s="45"/>
      <c r="NKP43" s="45"/>
      <c r="NKQ43" s="45"/>
      <c r="NKR43" s="45"/>
      <c r="NKS43" s="45"/>
      <c r="NKT43" s="45"/>
      <c r="NKU43" s="45"/>
      <c r="NKV43" s="45"/>
      <c r="NKW43" s="45"/>
      <c r="NKX43" s="45"/>
      <c r="NKY43" s="45"/>
      <c r="NKZ43" s="45"/>
      <c r="NLA43" s="45"/>
      <c r="NLB43" s="45"/>
      <c r="NLC43" s="45"/>
      <c r="NLD43" s="45"/>
      <c r="NLE43" s="45"/>
      <c r="NLF43" s="45"/>
      <c r="NLG43" s="45"/>
      <c r="NLH43" s="45"/>
      <c r="NLI43" s="45"/>
      <c r="NLJ43" s="45"/>
      <c r="NLK43" s="45"/>
      <c r="NLL43" s="45"/>
      <c r="NLM43" s="45"/>
      <c r="NLN43" s="45"/>
      <c r="NLO43" s="45"/>
      <c r="NLP43" s="45"/>
      <c r="NLQ43" s="45"/>
      <c r="NLR43" s="45"/>
      <c r="NLS43" s="45"/>
      <c r="NLT43" s="45"/>
      <c r="NLU43" s="45"/>
      <c r="NLV43" s="45"/>
      <c r="NLW43" s="45"/>
      <c r="NLX43" s="45"/>
      <c r="NLY43" s="45"/>
      <c r="NLZ43" s="45"/>
      <c r="NMA43" s="45"/>
      <c r="NMB43" s="45"/>
      <c r="NMC43" s="45"/>
      <c r="NMD43" s="45"/>
      <c r="NME43" s="45"/>
      <c r="NMF43" s="45"/>
      <c r="NMG43" s="45"/>
      <c r="NMH43" s="45"/>
      <c r="NMI43" s="45"/>
      <c r="NMJ43" s="45"/>
      <c r="NMK43" s="45"/>
      <c r="NML43" s="45"/>
      <c r="NMM43" s="45"/>
      <c r="NMN43" s="45"/>
      <c r="NMO43" s="45"/>
      <c r="NMP43" s="45"/>
      <c r="NMQ43" s="45"/>
      <c r="NMR43" s="45"/>
      <c r="NMS43" s="45"/>
      <c r="NMT43" s="45"/>
      <c r="NMU43" s="45"/>
      <c r="NMV43" s="45"/>
      <c r="NMW43" s="45"/>
      <c r="NMX43" s="45"/>
      <c r="NMY43" s="45"/>
      <c r="NMZ43" s="45"/>
      <c r="NNA43" s="45"/>
      <c r="NNB43" s="45"/>
      <c r="NNC43" s="45"/>
      <c r="NND43" s="45"/>
      <c r="NNE43" s="45"/>
      <c r="NNF43" s="45"/>
      <c r="NNG43" s="45"/>
      <c r="NNH43" s="45"/>
      <c r="NNI43" s="45"/>
      <c r="NNJ43" s="45"/>
      <c r="NNK43" s="45"/>
      <c r="NNL43" s="45"/>
      <c r="NNM43" s="45"/>
      <c r="NNN43" s="45"/>
      <c r="NNO43" s="45"/>
      <c r="NNP43" s="45"/>
      <c r="NNQ43" s="45"/>
      <c r="NNR43" s="45"/>
      <c r="NNS43" s="45"/>
      <c r="NNT43" s="45"/>
      <c r="NNU43" s="45"/>
      <c r="NNV43" s="45"/>
      <c r="NNW43" s="45"/>
      <c r="NNX43" s="45"/>
      <c r="NNY43" s="45"/>
      <c r="NNZ43" s="45"/>
      <c r="NOA43" s="45"/>
      <c r="NOB43" s="45"/>
      <c r="NOC43" s="45"/>
      <c r="NOD43" s="45"/>
      <c r="NOE43" s="45"/>
      <c r="NOF43" s="45"/>
      <c r="NOG43" s="45"/>
      <c r="NOH43" s="45"/>
      <c r="NOI43" s="45"/>
      <c r="NOJ43" s="45"/>
      <c r="NOK43" s="45"/>
      <c r="NOL43" s="45"/>
      <c r="NOM43" s="45"/>
      <c r="NON43" s="45"/>
      <c r="NOO43" s="45"/>
      <c r="NOP43" s="45"/>
      <c r="NOQ43" s="45"/>
      <c r="NOR43" s="45"/>
      <c r="NOS43" s="45"/>
      <c r="NOT43" s="45"/>
      <c r="NOU43" s="45"/>
      <c r="NOV43" s="45"/>
      <c r="NOW43" s="45"/>
      <c r="NOX43" s="45"/>
      <c r="NOY43" s="45"/>
      <c r="NOZ43" s="45"/>
      <c r="NPA43" s="45"/>
      <c r="NPB43" s="45"/>
      <c r="NPC43" s="45"/>
      <c r="NPD43" s="45"/>
      <c r="NPE43" s="45"/>
      <c r="NPF43" s="45"/>
      <c r="NPG43" s="45"/>
      <c r="NPH43" s="45"/>
      <c r="NPI43" s="45"/>
      <c r="NPJ43" s="45"/>
      <c r="NPK43" s="45"/>
      <c r="NPL43" s="45"/>
      <c r="NPM43" s="45"/>
      <c r="NPN43" s="45"/>
      <c r="NPO43" s="45"/>
      <c r="NPP43" s="45"/>
      <c r="NPQ43" s="45"/>
      <c r="NPR43" s="45"/>
      <c r="NPS43" s="45"/>
      <c r="NPT43" s="45"/>
      <c r="NPU43" s="45"/>
      <c r="NPV43" s="45"/>
      <c r="NPW43" s="45"/>
      <c r="NPX43" s="45"/>
      <c r="NPY43" s="45"/>
      <c r="NPZ43" s="45"/>
      <c r="NQA43" s="45"/>
      <c r="NQB43" s="45"/>
      <c r="NQC43" s="45"/>
      <c r="NQD43" s="45"/>
      <c r="NQE43" s="45"/>
      <c r="NQF43" s="45"/>
      <c r="NQG43" s="45"/>
      <c r="NQH43" s="45"/>
      <c r="NQI43" s="45"/>
      <c r="NQJ43" s="45"/>
      <c r="NQK43" s="45"/>
      <c r="NQL43" s="45"/>
      <c r="NQM43" s="45"/>
      <c r="NQN43" s="45"/>
      <c r="NQO43" s="45"/>
      <c r="NQP43" s="45"/>
      <c r="NQQ43" s="45"/>
      <c r="NQR43" s="45"/>
      <c r="NQS43" s="45"/>
      <c r="NQT43" s="45"/>
      <c r="NQU43" s="45"/>
      <c r="NQV43" s="45"/>
      <c r="NQW43" s="45"/>
      <c r="NQX43" s="45"/>
      <c r="NQY43" s="45"/>
      <c r="NQZ43" s="45"/>
      <c r="NRA43" s="45"/>
      <c r="NRB43" s="45"/>
      <c r="NRC43" s="45"/>
      <c r="NRD43" s="45"/>
      <c r="NRE43" s="45"/>
      <c r="NRF43" s="45"/>
      <c r="NRG43" s="45"/>
      <c r="NRH43" s="45"/>
      <c r="NRI43" s="45"/>
      <c r="NRJ43" s="45"/>
      <c r="NRK43" s="45"/>
      <c r="NRL43" s="45"/>
      <c r="NRM43" s="45"/>
      <c r="NRN43" s="45"/>
      <c r="NRO43" s="45"/>
      <c r="NRP43" s="45"/>
      <c r="NRQ43" s="45"/>
      <c r="NRR43" s="45"/>
      <c r="NRS43" s="45"/>
      <c r="NRT43" s="45"/>
      <c r="NRU43" s="45"/>
      <c r="NRV43" s="45"/>
      <c r="NRW43" s="45"/>
      <c r="NRX43" s="45"/>
      <c r="NRY43" s="45"/>
      <c r="NRZ43" s="45"/>
      <c r="NSA43" s="45"/>
      <c r="NSB43" s="45"/>
      <c r="NSC43" s="45"/>
      <c r="NSD43" s="45"/>
      <c r="NSE43" s="45"/>
      <c r="NSF43" s="45"/>
      <c r="NSG43" s="45"/>
      <c r="NSH43" s="45"/>
      <c r="NSI43" s="45"/>
      <c r="NSJ43" s="45"/>
      <c r="NSK43" s="45"/>
      <c r="NSL43" s="45"/>
      <c r="NSM43" s="45"/>
      <c r="NSN43" s="45"/>
      <c r="NSO43" s="45"/>
      <c r="NSP43" s="45"/>
      <c r="NSQ43" s="45"/>
      <c r="NSR43" s="45"/>
      <c r="NSS43" s="45"/>
      <c r="NST43" s="45"/>
      <c r="NSU43" s="45"/>
      <c r="NSV43" s="45"/>
      <c r="NSW43" s="45"/>
      <c r="NSX43" s="45"/>
      <c r="NSY43" s="45"/>
      <c r="NSZ43" s="45"/>
      <c r="NTA43" s="45"/>
      <c r="NTB43" s="45"/>
      <c r="NTC43" s="45"/>
      <c r="NTD43" s="45"/>
      <c r="NTE43" s="45"/>
      <c r="NTF43" s="45"/>
      <c r="NTG43" s="45"/>
      <c r="NTH43" s="45"/>
      <c r="NTI43" s="45"/>
      <c r="NTJ43" s="45"/>
      <c r="NTK43" s="45"/>
      <c r="NTL43" s="45"/>
      <c r="NTM43" s="45"/>
      <c r="NTN43" s="45"/>
      <c r="NTO43" s="45"/>
      <c r="NTP43" s="45"/>
      <c r="NTQ43" s="45"/>
      <c r="NTR43" s="45"/>
      <c r="NTS43" s="45"/>
      <c r="NTT43" s="45"/>
      <c r="NTU43" s="45"/>
      <c r="NTV43" s="45"/>
      <c r="NTW43" s="45"/>
      <c r="NTX43" s="45"/>
      <c r="NTY43" s="45"/>
      <c r="NTZ43" s="45"/>
      <c r="NUA43" s="45"/>
      <c r="NUB43" s="45"/>
      <c r="NUC43" s="45"/>
      <c r="NUD43" s="45"/>
      <c r="NUE43" s="45"/>
      <c r="NUF43" s="45"/>
      <c r="NUG43" s="45"/>
      <c r="NUH43" s="45"/>
      <c r="NUI43" s="45"/>
      <c r="NUJ43" s="45"/>
      <c r="NUK43" s="45"/>
      <c r="NUL43" s="45"/>
      <c r="NUM43" s="45"/>
      <c r="NUN43" s="45"/>
      <c r="NUO43" s="45"/>
      <c r="NUP43" s="45"/>
      <c r="NUQ43" s="45"/>
      <c r="NUR43" s="45"/>
      <c r="NUS43" s="45"/>
      <c r="NUT43" s="45"/>
      <c r="NUU43" s="45"/>
      <c r="NUV43" s="45"/>
      <c r="NUW43" s="45"/>
      <c r="NUX43" s="45"/>
      <c r="NUY43" s="45"/>
      <c r="NUZ43" s="45"/>
      <c r="NVA43" s="45"/>
      <c r="NVB43" s="45"/>
      <c r="NVC43" s="45"/>
      <c r="NVD43" s="45"/>
      <c r="NVE43" s="45"/>
      <c r="NVF43" s="45"/>
      <c r="NVG43" s="45"/>
      <c r="NVH43" s="45"/>
      <c r="NVI43" s="45"/>
      <c r="NVJ43" s="45"/>
      <c r="NVK43" s="45"/>
      <c r="NVL43" s="45"/>
      <c r="NVM43" s="45"/>
      <c r="NVN43" s="45"/>
      <c r="NVO43" s="45"/>
      <c r="NVP43" s="45"/>
      <c r="NVQ43" s="45"/>
      <c r="NVR43" s="45"/>
      <c r="NVS43" s="45"/>
      <c r="NVT43" s="45"/>
      <c r="NVU43" s="45"/>
      <c r="NVV43" s="45"/>
      <c r="NVW43" s="45"/>
      <c r="NVX43" s="45"/>
      <c r="NVY43" s="45"/>
      <c r="NVZ43" s="45"/>
      <c r="NWA43" s="45"/>
      <c r="NWB43" s="45"/>
      <c r="NWC43" s="45"/>
      <c r="NWD43" s="45"/>
      <c r="NWE43" s="45"/>
      <c r="NWF43" s="45"/>
      <c r="NWG43" s="45"/>
      <c r="NWH43" s="45"/>
      <c r="NWI43" s="45"/>
      <c r="NWJ43" s="45"/>
      <c r="NWK43" s="45"/>
      <c r="NWL43" s="45"/>
      <c r="NWM43" s="45"/>
      <c r="NWN43" s="45"/>
      <c r="NWO43" s="45"/>
      <c r="NWP43" s="45"/>
      <c r="NWQ43" s="45"/>
      <c r="NWR43" s="45"/>
      <c r="NWS43" s="45"/>
      <c r="NWT43" s="45"/>
      <c r="NWU43" s="45"/>
      <c r="NWV43" s="45"/>
      <c r="NWW43" s="45"/>
      <c r="NWX43" s="45"/>
      <c r="NWY43" s="45"/>
      <c r="NWZ43" s="45"/>
      <c r="NXA43" s="45"/>
      <c r="NXB43" s="45"/>
      <c r="NXC43" s="45"/>
      <c r="NXD43" s="45"/>
      <c r="NXE43" s="45"/>
      <c r="NXF43" s="45"/>
      <c r="NXG43" s="45"/>
      <c r="NXH43" s="45"/>
      <c r="NXI43" s="45"/>
      <c r="NXJ43" s="45"/>
      <c r="NXK43" s="45"/>
      <c r="NXL43" s="45"/>
      <c r="NXM43" s="45"/>
      <c r="NXN43" s="45"/>
      <c r="NXO43" s="45"/>
      <c r="NXP43" s="45"/>
      <c r="NXQ43" s="45"/>
      <c r="NXR43" s="45"/>
      <c r="NXS43" s="45"/>
      <c r="NXT43" s="45"/>
      <c r="NXU43" s="45"/>
      <c r="NXV43" s="45"/>
      <c r="NXW43" s="45"/>
      <c r="NXX43" s="45"/>
      <c r="NXY43" s="45"/>
      <c r="NXZ43" s="45"/>
      <c r="NYA43" s="45"/>
      <c r="NYB43" s="45"/>
      <c r="NYC43" s="45"/>
      <c r="NYD43" s="45"/>
      <c r="NYE43" s="45"/>
      <c r="NYF43" s="45"/>
      <c r="NYG43" s="45"/>
      <c r="NYH43" s="45"/>
      <c r="NYI43" s="45"/>
      <c r="NYJ43" s="45"/>
      <c r="NYK43" s="45"/>
      <c r="NYL43" s="45"/>
      <c r="NYM43" s="45"/>
      <c r="NYN43" s="45"/>
      <c r="NYO43" s="45"/>
      <c r="NYP43" s="45"/>
      <c r="NYQ43" s="45"/>
      <c r="NYR43" s="45"/>
      <c r="NYS43" s="45"/>
      <c r="NYT43" s="45"/>
      <c r="NYU43" s="45"/>
      <c r="NYV43" s="45"/>
      <c r="NYW43" s="45"/>
      <c r="NYX43" s="45"/>
      <c r="NYY43" s="45"/>
      <c r="NYZ43" s="45"/>
      <c r="NZA43" s="45"/>
      <c r="NZB43" s="45"/>
      <c r="NZC43" s="45"/>
      <c r="NZD43" s="45"/>
      <c r="NZE43" s="45"/>
      <c r="NZF43" s="45"/>
      <c r="NZG43" s="45"/>
      <c r="NZH43" s="45"/>
      <c r="NZI43" s="45"/>
      <c r="NZJ43" s="45"/>
      <c r="NZK43" s="45"/>
      <c r="NZL43" s="45"/>
      <c r="NZM43" s="45"/>
      <c r="NZN43" s="45"/>
      <c r="NZO43" s="45"/>
      <c r="NZP43" s="45"/>
      <c r="NZQ43" s="45"/>
      <c r="NZR43" s="45"/>
      <c r="NZS43" s="45"/>
      <c r="NZT43" s="45"/>
      <c r="NZU43" s="45"/>
      <c r="NZV43" s="45"/>
      <c r="NZW43" s="45"/>
      <c r="NZX43" s="45"/>
      <c r="NZY43" s="45"/>
      <c r="NZZ43" s="45"/>
      <c r="OAA43" s="45"/>
      <c r="OAB43" s="45"/>
      <c r="OAC43" s="45"/>
      <c r="OAD43" s="45"/>
      <c r="OAE43" s="45"/>
      <c r="OAF43" s="45"/>
      <c r="OAG43" s="45"/>
      <c r="OAH43" s="45"/>
      <c r="OAI43" s="45"/>
      <c r="OAJ43" s="45"/>
      <c r="OAK43" s="45"/>
      <c r="OAL43" s="45"/>
      <c r="OAM43" s="45"/>
      <c r="OAN43" s="45"/>
      <c r="OAO43" s="45"/>
      <c r="OAP43" s="45"/>
      <c r="OAQ43" s="45"/>
      <c r="OAR43" s="45"/>
      <c r="OAS43" s="45"/>
      <c r="OAT43" s="45"/>
      <c r="OAU43" s="45"/>
      <c r="OAV43" s="45"/>
      <c r="OAW43" s="45"/>
      <c r="OAX43" s="45"/>
      <c r="OAY43" s="45"/>
      <c r="OAZ43" s="45"/>
      <c r="OBA43" s="45"/>
      <c r="OBB43" s="45"/>
      <c r="OBC43" s="45"/>
      <c r="OBD43" s="45"/>
      <c r="OBE43" s="45"/>
      <c r="OBF43" s="45"/>
      <c r="OBG43" s="45"/>
      <c r="OBH43" s="45"/>
      <c r="OBI43" s="45"/>
      <c r="OBJ43" s="45"/>
      <c r="OBK43" s="45"/>
      <c r="OBL43" s="45"/>
      <c r="OBM43" s="45"/>
      <c r="OBN43" s="45"/>
      <c r="OBO43" s="45"/>
      <c r="OBP43" s="45"/>
      <c r="OBQ43" s="45"/>
      <c r="OBR43" s="45"/>
      <c r="OBS43" s="45"/>
      <c r="OBT43" s="45"/>
      <c r="OBU43" s="45"/>
      <c r="OBV43" s="45"/>
      <c r="OBW43" s="45"/>
      <c r="OBX43" s="45"/>
      <c r="OBY43" s="45"/>
      <c r="OBZ43" s="45"/>
      <c r="OCA43" s="45"/>
      <c r="OCB43" s="45"/>
      <c r="OCC43" s="45"/>
      <c r="OCD43" s="45"/>
      <c r="OCE43" s="45"/>
      <c r="OCF43" s="45"/>
      <c r="OCG43" s="45"/>
      <c r="OCH43" s="45"/>
      <c r="OCI43" s="45"/>
      <c r="OCJ43" s="45"/>
      <c r="OCK43" s="45"/>
      <c r="OCL43" s="45"/>
      <c r="OCM43" s="45"/>
      <c r="OCN43" s="45"/>
      <c r="OCO43" s="45"/>
      <c r="OCP43" s="45"/>
      <c r="OCQ43" s="45"/>
      <c r="OCR43" s="45"/>
      <c r="OCS43" s="45"/>
      <c r="OCT43" s="45"/>
      <c r="OCU43" s="45"/>
      <c r="OCV43" s="45"/>
      <c r="OCW43" s="45"/>
      <c r="OCX43" s="45"/>
      <c r="OCY43" s="45"/>
      <c r="OCZ43" s="45"/>
      <c r="ODA43" s="45"/>
      <c r="ODB43" s="45"/>
      <c r="ODC43" s="45"/>
      <c r="ODD43" s="45"/>
      <c r="ODE43" s="45"/>
      <c r="ODF43" s="45"/>
      <c r="ODG43" s="45"/>
      <c r="ODH43" s="45"/>
      <c r="ODI43" s="45"/>
      <c r="ODJ43" s="45"/>
      <c r="ODK43" s="45"/>
      <c r="ODL43" s="45"/>
      <c r="ODM43" s="45"/>
      <c r="ODN43" s="45"/>
      <c r="ODO43" s="45"/>
      <c r="ODP43" s="45"/>
      <c r="ODQ43" s="45"/>
      <c r="ODR43" s="45"/>
      <c r="ODS43" s="45"/>
      <c r="ODT43" s="45"/>
      <c r="ODU43" s="45"/>
      <c r="ODV43" s="45"/>
      <c r="ODW43" s="45"/>
      <c r="ODX43" s="45"/>
      <c r="ODY43" s="45"/>
      <c r="ODZ43" s="45"/>
      <c r="OEA43" s="45"/>
      <c r="OEB43" s="45"/>
      <c r="OEC43" s="45"/>
      <c r="OED43" s="45"/>
      <c r="OEE43" s="45"/>
      <c r="OEF43" s="45"/>
      <c r="OEG43" s="45"/>
      <c r="OEH43" s="45"/>
      <c r="OEI43" s="45"/>
      <c r="OEJ43" s="45"/>
      <c r="OEK43" s="45"/>
      <c r="OEL43" s="45"/>
      <c r="OEM43" s="45"/>
      <c r="OEN43" s="45"/>
      <c r="OEO43" s="45"/>
      <c r="OEP43" s="45"/>
      <c r="OEQ43" s="45"/>
      <c r="OER43" s="45"/>
      <c r="OES43" s="45"/>
      <c r="OET43" s="45"/>
      <c r="OEU43" s="45"/>
      <c r="OEV43" s="45"/>
      <c r="OEW43" s="45"/>
      <c r="OEX43" s="45"/>
      <c r="OEY43" s="45"/>
      <c r="OEZ43" s="45"/>
      <c r="OFA43" s="45"/>
      <c r="OFB43" s="45"/>
      <c r="OFC43" s="45"/>
      <c r="OFD43" s="45"/>
      <c r="OFE43" s="45"/>
      <c r="OFF43" s="45"/>
      <c r="OFG43" s="45"/>
      <c r="OFH43" s="45"/>
      <c r="OFI43" s="45"/>
      <c r="OFJ43" s="45"/>
      <c r="OFK43" s="45"/>
      <c r="OFL43" s="45"/>
      <c r="OFM43" s="45"/>
      <c r="OFN43" s="45"/>
      <c r="OFO43" s="45"/>
      <c r="OFP43" s="45"/>
      <c r="OFQ43" s="45"/>
      <c r="OFR43" s="45"/>
      <c r="OFS43" s="45"/>
      <c r="OFT43" s="45"/>
      <c r="OFU43" s="45"/>
      <c r="OFV43" s="45"/>
      <c r="OFW43" s="45"/>
      <c r="OFX43" s="45"/>
      <c r="OFY43" s="45"/>
      <c r="OFZ43" s="45"/>
      <c r="OGA43" s="45"/>
      <c r="OGB43" s="45"/>
      <c r="OGC43" s="45"/>
      <c r="OGD43" s="45"/>
      <c r="OGE43" s="45"/>
      <c r="OGF43" s="45"/>
      <c r="OGG43" s="45"/>
      <c r="OGH43" s="45"/>
      <c r="OGI43" s="45"/>
      <c r="OGJ43" s="45"/>
      <c r="OGK43" s="45"/>
      <c r="OGL43" s="45"/>
      <c r="OGM43" s="45"/>
      <c r="OGN43" s="45"/>
      <c r="OGO43" s="45"/>
      <c r="OGP43" s="45"/>
      <c r="OGQ43" s="45"/>
      <c r="OGR43" s="45"/>
      <c r="OGS43" s="45"/>
      <c r="OGT43" s="45"/>
      <c r="OGU43" s="45"/>
      <c r="OGV43" s="45"/>
      <c r="OGW43" s="45"/>
      <c r="OGX43" s="45"/>
      <c r="OGY43" s="45"/>
      <c r="OGZ43" s="45"/>
      <c r="OHA43" s="45"/>
      <c r="OHB43" s="45"/>
      <c r="OHC43" s="45"/>
      <c r="OHD43" s="45"/>
      <c r="OHE43" s="45"/>
      <c r="OHF43" s="45"/>
      <c r="OHG43" s="45"/>
      <c r="OHH43" s="45"/>
      <c r="OHI43" s="45"/>
      <c r="OHJ43" s="45"/>
      <c r="OHK43" s="45"/>
      <c r="OHL43" s="45"/>
      <c r="OHM43" s="45"/>
      <c r="OHN43" s="45"/>
      <c r="OHO43" s="45"/>
      <c r="OHP43" s="45"/>
      <c r="OHQ43" s="45"/>
      <c r="OHR43" s="45"/>
      <c r="OHS43" s="45"/>
      <c r="OHT43" s="45"/>
      <c r="OHU43" s="45"/>
      <c r="OHV43" s="45"/>
      <c r="OHW43" s="45"/>
      <c r="OHX43" s="45"/>
      <c r="OHY43" s="45"/>
      <c r="OHZ43" s="45"/>
      <c r="OIA43" s="45"/>
      <c r="OIB43" s="45"/>
      <c r="OIC43" s="45"/>
      <c r="OID43" s="45"/>
      <c r="OIE43" s="45"/>
      <c r="OIF43" s="45"/>
      <c r="OIG43" s="45"/>
      <c r="OIH43" s="45"/>
      <c r="OII43" s="45"/>
      <c r="OIJ43" s="45"/>
      <c r="OIK43" s="45"/>
      <c r="OIL43" s="45"/>
      <c r="OIM43" s="45"/>
      <c r="OIN43" s="45"/>
      <c r="OIO43" s="45"/>
      <c r="OIP43" s="45"/>
      <c r="OIQ43" s="45"/>
      <c r="OIR43" s="45"/>
      <c r="OIS43" s="45"/>
      <c r="OIT43" s="45"/>
      <c r="OIU43" s="45"/>
      <c r="OIV43" s="45"/>
      <c r="OIW43" s="45"/>
      <c r="OIX43" s="45"/>
      <c r="OIY43" s="45"/>
      <c r="OIZ43" s="45"/>
      <c r="OJA43" s="45"/>
      <c r="OJB43" s="45"/>
      <c r="OJC43" s="45"/>
      <c r="OJD43" s="45"/>
      <c r="OJE43" s="45"/>
      <c r="OJF43" s="45"/>
      <c r="OJG43" s="45"/>
      <c r="OJH43" s="45"/>
      <c r="OJI43" s="45"/>
      <c r="OJJ43" s="45"/>
      <c r="OJK43" s="45"/>
      <c r="OJL43" s="45"/>
      <c r="OJM43" s="45"/>
      <c r="OJN43" s="45"/>
      <c r="OJO43" s="45"/>
      <c r="OJP43" s="45"/>
      <c r="OJQ43" s="45"/>
      <c r="OJR43" s="45"/>
      <c r="OJS43" s="45"/>
      <c r="OJT43" s="45"/>
      <c r="OJU43" s="45"/>
      <c r="OJV43" s="45"/>
      <c r="OJW43" s="45"/>
      <c r="OJX43" s="45"/>
      <c r="OJY43" s="45"/>
      <c r="OJZ43" s="45"/>
      <c r="OKA43" s="45"/>
      <c r="OKB43" s="45"/>
      <c r="OKC43" s="45"/>
      <c r="OKD43" s="45"/>
      <c r="OKE43" s="45"/>
      <c r="OKF43" s="45"/>
      <c r="OKG43" s="45"/>
      <c r="OKH43" s="45"/>
      <c r="OKI43" s="45"/>
      <c r="OKJ43" s="45"/>
      <c r="OKK43" s="45"/>
      <c r="OKL43" s="45"/>
      <c r="OKM43" s="45"/>
      <c r="OKN43" s="45"/>
      <c r="OKO43" s="45"/>
      <c r="OKP43" s="45"/>
      <c r="OKQ43" s="45"/>
      <c r="OKR43" s="45"/>
      <c r="OKS43" s="45"/>
      <c r="OKT43" s="45"/>
      <c r="OKU43" s="45"/>
      <c r="OKV43" s="45"/>
      <c r="OKW43" s="45"/>
      <c r="OKX43" s="45"/>
      <c r="OKY43" s="45"/>
      <c r="OKZ43" s="45"/>
      <c r="OLA43" s="45"/>
      <c r="OLB43" s="45"/>
      <c r="OLC43" s="45"/>
      <c r="OLD43" s="45"/>
      <c r="OLE43" s="45"/>
      <c r="OLF43" s="45"/>
      <c r="OLG43" s="45"/>
      <c r="OLH43" s="45"/>
      <c r="OLI43" s="45"/>
      <c r="OLJ43" s="45"/>
      <c r="OLK43" s="45"/>
      <c r="OLL43" s="45"/>
      <c r="OLM43" s="45"/>
      <c r="OLN43" s="45"/>
      <c r="OLO43" s="45"/>
      <c r="OLP43" s="45"/>
      <c r="OLQ43" s="45"/>
      <c r="OLR43" s="45"/>
      <c r="OLS43" s="45"/>
      <c r="OLT43" s="45"/>
      <c r="OLU43" s="45"/>
      <c r="OLV43" s="45"/>
      <c r="OLW43" s="45"/>
      <c r="OLX43" s="45"/>
      <c r="OLY43" s="45"/>
      <c r="OLZ43" s="45"/>
      <c r="OMA43" s="45"/>
      <c r="OMB43" s="45"/>
      <c r="OMC43" s="45"/>
      <c r="OMD43" s="45"/>
      <c r="OME43" s="45"/>
      <c r="OMF43" s="45"/>
      <c r="OMG43" s="45"/>
      <c r="OMH43" s="45"/>
      <c r="OMI43" s="45"/>
      <c r="OMJ43" s="45"/>
      <c r="OMK43" s="45"/>
      <c r="OML43" s="45"/>
      <c r="OMM43" s="45"/>
      <c r="OMN43" s="45"/>
      <c r="OMO43" s="45"/>
      <c r="OMP43" s="45"/>
      <c r="OMQ43" s="45"/>
      <c r="OMR43" s="45"/>
      <c r="OMS43" s="45"/>
      <c r="OMT43" s="45"/>
      <c r="OMU43" s="45"/>
      <c r="OMV43" s="45"/>
      <c r="OMW43" s="45"/>
      <c r="OMX43" s="45"/>
      <c r="OMY43" s="45"/>
      <c r="OMZ43" s="45"/>
      <c r="ONA43" s="45"/>
      <c r="ONB43" s="45"/>
      <c r="ONC43" s="45"/>
      <c r="OND43" s="45"/>
      <c r="ONE43" s="45"/>
      <c r="ONF43" s="45"/>
      <c r="ONG43" s="45"/>
      <c r="ONH43" s="45"/>
      <c r="ONI43" s="45"/>
      <c r="ONJ43" s="45"/>
      <c r="ONK43" s="45"/>
      <c r="ONL43" s="45"/>
      <c r="ONM43" s="45"/>
      <c r="ONN43" s="45"/>
      <c r="ONO43" s="45"/>
      <c r="ONP43" s="45"/>
      <c r="ONQ43" s="45"/>
      <c r="ONR43" s="45"/>
      <c r="ONS43" s="45"/>
      <c r="ONT43" s="45"/>
      <c r="ONU43" s="45"/>
      <c r="ONV43" s="45"/>
      <c r="ONW43" s="45"/>
      <c r="ONX43" s="45"/>
      <c r="ONY43" s="45"/>
      <c r="ONZ43" s="45"/>
      <c r="OOA43" s="45"/>
      <c r="OOB43" s="45"/>
      <c r="OOC43" s="45"/>
      <c r="OOD43" s="45"/>
      <c r="OOE43" s="45"/>
      <c r="OOF43" s="45"/>
      <c r="OOG43" s="45"/>
      <c r="OOH43" s="45"/>
      <c r="OOI43" s="45"/>
      <c r="OOJ43" s="45"/>
      <c r="OOK43" s="45"/>
      <c r="OOL43" s="45"/>
      <c r="OOM43" s="45"/>
      <c r="OON43" s="45"/>
      <c r="OOO43" s="45"/>
      <c r="OOP43" s="45"/>
      <c r="OOQ43" s="45"/>
      <c r="OOR43" s="45"/>
      <c r="OOS43" s="45"/>
      <c r="OOT43" s="45"/>
      <c r="OOU43" s="45"/>
      <c r="OOV43" s="45"/>
      <c r="OOW43" s="45"/>
      <c r="OOX43" s="45"/>
      <c r="OOY43" s="45"/>
      <c r="OOZ43" s="45"/>
      <c r="OPA43" s="45"/>
      <c r="OPB43" s="45"/>
      <c r="OPC43" s="45"/>
      <c r="OPD43" s="45"/>
      <c r="OPE43" s="45"/>
      <c r="OPF43" s="45"/>
      <c r="OPG43" s="45"/>
      <c r="OPH43" s="45"/>
      <c r="OPI43" s="45"/>
      <c r="OPJ43" s="45"/>
      <c r="OPK43" s="45"/>
      <c r="OPL43" s="45"/>
      <c r="OPM43" s="45"/>
      <c r="OPN43" s="45"/>
      <c r="OPO43" s="45"/>
      <c r="OPP43" s="45"/>
      <c r="OPQ43" s="45"/>
      <c r="OPR43" s="45"/>
      <c r="OPS43" s="45"/>
      <c r="OPT43" s="45"/>
      <c r="OPU43" s="45"/>
      <c r="OPV43" s="45"/>
      <c r="OPW43" s="45"/>
      <c r="OPX43" s="45"/>
      <c r="OPY43" s="45"/>
      <c r="OPZ43" s="45"/>
      <c r="OQA43" s="45"/>
      <c r="OQB43" s="45"/>
      <c r="OQC43" s="45"/>
      <c r="OQD43" s="45"/>
      <c r="OQE43" s="45"/>
      <c r="OQF43" s="45"/>
      <c r="OQG43" s="45"/>
      <c r="OQH43" s="45"/>
      <c r="OQI43" s="45"/>
      <c r="OQJ43" s="45"/>
      <c r="OQK43" s="45"/>
      <c r="OQL43" s="45"/>
      <c r="OQM43" s="45"/>
      <c r="OQN43" s="45"/>
      <c r="OQO43" s="45"/>
      <c r="OQP43" s="45"/>
      <c r="OQQ43" s="45"/>
      <c r="OQR43" s="45"/>
      <c r="OQS43" s="45"/>
      <c r="OQT43" s="45"/>
      <c r="OQU43" s="45"/>
      <c r="OQV43" s="45"/>
      <c r="OQW43" s="45"/>
      <c r="OQX43" s="45"/>
      <c r="OQY43" s="45"/>
      <c r="OQZ43" s="45"/>
      <c r="ORA43" s="45"/>
      <c r="ORB43" s="45"/>
      <c r="ORC43" s="45"/>
      <c r="ORD43" s="45"/>
      <c r="ORE43" s="45"/>
      <c r="ORF43" s="45"/>
      <c r="ORG43" s="45"/>
      <c r="ORH43" s="45"/>
      <c r="ORI43" s="45"/>
      <c r="ORJ43" s="45"/>
      <c r="ORK43" s="45"/>
      <c r="ORL43" s="45"/>
      <c r="ORM43" s="45"/>
      <c r="ORN43" s="45"/>
      <c r="ORO43" s="45"/>
      <c r="ORP43" s="45"/>
      <c r="ORQ43" s="45"/>
      <c r="ORR43" s="45"/>
      <c r="ORS43" s="45"/>
      <c r="ORT43" s="45"/>
      <c r="ORU43" s="45"/>
      <c r="ORV43" s="45"/>
      <c r="ORW43" s="45"/>
      <c r="ORX43" s="45"/>
      <c r="ORY43" s="45"/>
      <c r="ORZ43" s="45"/>
      <c r="OSA43" s="45"/>
      <c r="OSB43" s="45"/>
      <c r="OSC43" s="45"/>
      <c r="OSD43" s="45"/>
      <c r="OSE43" s="45"/>
      <c r="OSF43" s="45"/>
      <c r="OSG43" s="45"/>
      <c r="OSH43" s="45"/>
      <c r="OSI43" s="45"/>
      <c r="OSJ43" s="45"/>
      <c r="OSK43" s="45"/>
      <c r="OSL43" s="45"/>
      <c r="OSM43" s="45"/>
      <c r="OSN43" s="45"/>
      <c r="OSO43" s="45"/>
      <c r="OSP43" s="45"/>
      <c r="OSQ43" s="45"/>
      <c r="OSR43" s="45"/>
      <c r="OSS43" s="45"/>
      <c r="OST43" s="45"/>
      <c r="OSU43" s="45"/>
      <c r="OSV43" s="45"/>
      <c r="OSW43" s="45"/>
      <c r="OSX43" s="45"/>
      <c r="OSY43" s="45"/>
      <c r="OSZ43" s="45"/>
      <c r="OTA43" s="45"/>
      <c r="OTB43" s="45"/>
      <c r="OTC43" s="45"/>
      <c r="OTD43" s="45"/>
      <c r="OTE43" s="45"/>
      <c r="OTF43" s="45"/>
      <c r="OTG43" s="45"/>
      <c r="OTH43" s="45"/>
      <c r="OTI43" s="45"/>
      <c r="OTJ43" s="45"/>
      <c r="OTK43" s="45"/>
      <c r="OTL43" s="45"/>
      <c r="OTM43" s="45"/>
      <c r="OTN43" s="45"/>
      <c r="OTO43" s="45"/>
      <c r="OTP43" s="45"/>
      <c r="OTQ43" s="45"/>
      <c r="OTR43" s="45"/>
      <c r="OTS43" s="45"/>
      <c r="OTT43" s="45"/>
      <c r="OTU43" s="45"/>
      <c r="OTV43" s="45"/>
      <c r="OTW43" s="45"/>
      <c r="OTX43" s="45"/>
      <c r="OTY43" s="45"/>
      <c r="OTZ43" s="45"/>
      <c r="OUA43" s="45"/>
      <c r="OUB43" s="45"/>
      <c r="OUC43" s="45"/>
      <c r="OUD43" s="45"/>
      <c r="OUE43" s="45"/>
      <c r="OUF43" s="45"/>
      <c r="OUG43" s="45"/>
      <c r="OUH43" s="45"/>
      <c r="OUI43" s="45"/>
      <c r="OUJ43" s="45"/>
      <c r="OUK43" s="45"/>
      <c r="OUL43" s="45"/>
      <c r="OUM43" s="45"/>
      <c r="OUN43" s="45"/>
      <c r="OUO43" s="45"/>
      <c r="OUP43" s="45"/>
      <c r="OUQ43" s="45"/>
      <c r="OUR43" s="45"/>
      <c r="OUS43" s="45"/>
      <c r="OUT43" s="45"/>
      <c r="OUU43" s="45"/>
      <c r="OUV43" s="45"/>
      <c r="OUW43" s="45"/>
      <c r="OUX43" s="45"/>
      <c r="OUY43" s="45"/>
      <c r="OUZ43" s="45"/>
      <c r="OVA43" s="45"/>
      <c r="OVB43" s="45"/>
      <c r="OVC43" s="45"/>
      <c r="OVD43" s="45"/>
      <c r="OVE43" s="45"/>
      <c r="OVF43" s="45"/>
      <c r="OVG43" s="45"/>
      <c r="OVH43" s="45"/>
      <c r="OVI43" s="45"/>
      <c r="OVJ43" s="45"/>
      <c r="OVK43" s="45"/>
      <c r="OVL43" s="45"/>
      <c r="OVM43" s="45"/>
      <c r="OVN43" s="45"/>
      <c r="OVO43" s="45"/>
      <c r="OVP43" s="45"/>
      <c r="OVQ43" s="45"/>
      <c r="OVR43" s="45"/>
      <c r="OVS43" s="45"/>
      <c r="OVT43" s="45"/>
      <c r="OVU43" s="45"/>
      <c r="OVV43" s="45"/>
      <c r="OVW43" s="45"/>
      <c r="OVX43" s="45"/>
      <c r="OVY43" s="45"/>
      <c r="OVZ43" s="45"/>
      <c r="OWA43" s="45"/>
      <c r="OWB43" s="45"/>
      <c r="OWC43" s="45"/>
      <c r="OWD43" s="45"/>
      <c r="OWE43" s="45"/>
      <c r="OWF43" s="45"/>
      <c r="OWG43" s="45"/>
      <c r="OWH43" s="45"/>
      <c r="OWI43" s="45"/>
      <c r="OWJ43" s="45"/>
      <c r="OWK43" s="45"/>
      <c r="OWL43" s="45"/>
      <c r="OWM43" s="45"/>
      <c r="OWN43" s="45"/>
      <c r="OWO43" s="45"/>
      <c r="OWP43" s="45"/>
      <c r="OWQ43" s="45"/>
      <c r="OWR43" s="45"/>
      <c r="OWS43" s="45"/>
      <c r="OWT43" s="45"/>
      <c r="OWU43" s="45"/>
      <c r="OWV43" s="45"/>
      <c r="OWW43" s="45"/>
      <c r="OWX43" s="45"/>
      <c r="OWY43" s="45"/>
      <c r="OWZ43" s="45"/>
      <c r="OXA43" s="45"/>
      <c r="OXB43" s="45"/>
      <c r="OXC43" s="45"/>
      <c r="OXD43" s="45"/>
      <c r="OXE43" s="45"/>
      <c r="OXF43" s="45"/>
      <c r="OXG43" s="45"/>
      <c r="OXH43" s="45"/>
      <c r="OXI43" s="45"/>
      <c r="OXJ43" s="45"/>
      <c r="OXK43" s="45"/>
      <c r="OXL43" s="45"/>
      <c r="OXM43" s="45"/>
      <c r="OXN43" s="45"/>
      <c r="OXO43" s="45"/>
      <c r="OXP43" s="45"/>
      <c r="OXQ43" s="45"/>
      <c r="OXR43" s="45"/>
      <c r="OXS43" s="45"/>
      <c r="OXT43" s="45"/>
      <c r="OXU43" s="45"/>
      <c r="OXV43" s="45"/>
      <c r="OXW43" s="45"/>
      <c r="OXX43" s="45"/>
      <c r="OXY43" s="45"/>
      <c r="OXZ43" s="45"/>
      <c r="OYA43" s="45"/>
      <c r="OYB43" s="45"/>
      <c r="OYC43" s="45"/>
      <c r="OYD43" s="45"/>
      <c r="OYE43" s="45"/>
      <c r="OYF43" s="45"/>
      <c r="OYG43" s="45"/>
      <c r="OYH43" s="45"/>
      <c r="OYI43" s="45"/>
      <c r="OYJ43" s="45"/>
      <c r="OYK43" s="45"/>
      <c r="OYL43" s="45"/>
      <c r="OYM43" s="45"/>
      <c r="OYN43" s="45"/>
      <c r="OYO43" s="45"/>
      <c r="OYP43" s="45"/>
      <c r="OYQ43" s="45"/>
      <c r="OYR43" s="45"/>
      <c r="OYS43" s="45"/>
      <c r="OYT43" s="45"/>
      <c r="OYU43" s="45"/>
      <c r="OYV43" s="45"/>
      <c r="OYW43" s="45"/>
      <c r="OYX43" s="45"/>
      <c r="OYY43" s="45"/>
      <c r="OYZ43" s="45"/>
      <c r="OZA43" s="45"/>
      <c r="OZB43" s="45"/>
      <c r="OZC43" s="45"/>
      <c r="OZD43" s="45"/>
      <c r="OZE43" s="45"/>
      <c r="OZF43" s="45"/>
      <c r="OZG43" s="45"/>
      <c r="OZH43" s="45"/>
      <c r="OZI43" s="45"/>
      <c r="OZJ43" s="45"/>
      <c r="OZK43" s="45"/>
      <c r="OZL43" s="45"/>
      <c r="OZM43" s="45"/>
      <c r="OZN43" s="45"/>
      <c r="OZO43" s="45"/>
      <c r="OZP43" s="45"/>
      <c r="OZQ43" s="45"/>
      <c r="OZR43" s="45"/>
      <c r="OZS43" s="45"/>
      <c r="OZT43" s="45"/>
      <c r="OZU43" s="45"/>
      <c r="OZV43" s="45"/>
      <c r="OZW43" s="45"/>
      <c r="OZX43" s="45"/>
      <c r="OZY43" s="45"/>
      <c r="OZZ43" s="45"/>
      <c r="PAA43" s="45"/>
      <c r="PAB43" s="45"/>
      <c r="PAC43" s="45"/>
      <c r="PAD43" s="45"/>
      <c r="PAE43" s="45"/>
      <c r="PAF43" s="45"/>
      <c r="PAG43" s="45"/>
      <c r="PAH43" s="45"/>
      <c r="PAI43" s="45"/>
      <c r="PAJ43" s="45"/>
      <c r="PAK43" s="45"/>
      <c r="PAL43" s="45"/>
      <c r="PAM43" s="45"/>
      <c r="PAN43" s="45"/>
      <c r="PAO43" s="45"/>
      <c r="PAP43" s="45"/>
      <c r="PAQ43" s="45"/>
      <c r="PAR43" s="45"/>
      <c r="PAS43" s="45"/>
      <c r="PAT43" s="45"/>
      <c r="PAU43" s="45"/>
      <c r="PAV43" s="45"/>
      <c r="PAW43" s="45"/>
      <c r="PAX43" s="45"/>
      <c r="PAY43" s="45"/>
      <c r="PAZ43" s="45"/>
      <c r="PBA43" s="45"/>
      <c r="PBB43" s="45"/>
      <c r="PBC43" s="45"/>
      <c r="PBD43" s="45"/>
      <c r="PBE43" s="45"/>
      <c r="PBF43" s="45"/>
      <c r="PBG43" s="45"/>
      <c r="PBH43" s="45"/>
      <c r="PBI43" s="45"/>
      <c r="PBJ43" s="45"/>
      <c r="PBK43" s="45"/>
      <c r="PBL43" s="45"/>
      <c r="PBM43" s="45"/>
      <c r="PBN43" s="45"/>
      <c r="PBO43" s="45"/>
      <c r="PBP43" s="45"/>
      <c r="PBQ43" s="45"/>
      <c r="PBR43" s="45"/>
      <c r="PBS43" s="45"/>
      <c r="PBT43" s="45"/>
      <c r="PBU43" s="45"/>
      <c r="PBV43" s="45"/>
      <c r="PBW43" s="45"/>
      <c r="PBX43" s="45"/>
      <c r="PBY43" s="45"/>
      <c r="PBZ43" s="45"/>
      <c r="PCA43" s="45"/>
      <c r="PCB43" s="45"/>
      <c r="PCC43" s="45"/>
      <c r="PCD43" s="45"/>
      <c r="PCE43" s="45"/>
      <c r="PCF43" s="45"/>
      <c r="PCG43" s="45"/>
      <c r="PCH43" s="45"/>
      <c r="PCI43" s="45"/>
      <c r="PCJ43" s="45"/>
      <c r="PCK43" s="45"/>
      <c r="PCL43" s="45"/>
      <c r="PCM43" s="45"/>
      <c r="PCN43" s="45"/>
      <c r="PCO43" s="45"/>
      <c r="PCP43" s="45"/>
      <c r="PCQ43" s="45"/>
      <c r="PCR43" s="45"/>
      <c r="PCS43" s="45"/>
      <c r="PCT43" s="45"/>
      <c r="PCU43" s="45"/>
      <c r="PCV43" s="45"/>
      <c r="PCW43" s="45"/>
      <c r="PCX43" s="45"/>
      <c r="PCY43" s="45"/>
      <c r="PCZ43" s="45"/>
      <c r="PDA43" s="45"/>
      <c r="PDB43" s="45"/>
      <c r="PDC43" s="45"/>
      <c r="PDD43" s="45"/>
      <c r="PDE43" s="45"/>
      <c r="PDF43" s="45"/>
      <c r="PDG43" s="45"/>
      <c r="PDH43" s="45"/>
      <c r="PDI43" s="45"/>
      <c r="PDJ43" s="45"/>
      <c r="PDK43" s="45"/>
      <c r="PDL43" s="45"/>
      <c r="PDM43" s="45"/>
      <c r="PDN43" s="45"/>
      <c r="PDO43" s="45"/>
      <c r="PDP43" s="45"/>
      <c r="PDQ43" s="45"/>
      <c r="PDR43" s="45"/>
      <c r="PDS43" s="45"/>
      <c r="PDT43" s="45"/>
      <c r="PDU43" s="45"/>
      <c r="PDV43" s="45"/>
      <c r="PDW43" s="45"/>
      <c r="PDX43" s="45"/>
      <c r="PDY43" s="45"/>
      <c r="PDZ43" s="45"/>
      <c r="PEA43" s="45"/>
      <c r="PEB43" s="45"/>
      <c r="PEC43" s="45"/>
      <c r="PED43" s="45"/>
      <c r="PEE43" s="45"/>
      <c r="PEF43" s="45"/>
      <c r="PEG43" s="45"/>
      <c r="PEH43" s="45"/>
      <c r="PEI43" s="45"/>
      <c r="PEJ43" s="45"/>
      <c r="PEK43" s="45"/>
      <c r="PEL43" s="45"/>
      <c r="PEM43" s="45"/>
      <c r="PEN43" s="45"/>
      <c r="PEO43" s="45"/>
      <c r="PEP43" s="45"/>
      <c r="PEQ43" s="45"/>
      <c r="PER43" s="45"/>
      <c r="PES43" s="45"/>
      <c r="PET43" s="45"/>
      <c r="PEU43" s="45"/>
      <c r="PEV43" s="45"/>
      <c r="PEW43" s="45"/>
      <c r="PEX43" s="45"/>
      <c r="PEY43" s="45"/>
      <c r="PEZ43" s="45"/>
      <c r="PFA43" s="45"/>
      <c r="PFB43" s="45"/>
      <c r="PFC43" s="45"/>
      <c r="PFD43" s="45"/>
      <c r="PFE43" s="45"/>
      <c r="PFF43" s="45"/>
      <c r="PFG43" s="45"/>
      <c r="PFH43" s="45"/>
      <c r="PFI43" s="45"/>
      <c r="PFJ43" s="45"/>
      <c r="PFK43" s="45"/>
      <c r="PFL43" s="45"/>
      <c r="PFM43" s="45"/>
      <c r="PFN43" s="45"/>
      <c r="PFO43" s="45"/>
      <c r="PFP43" s="45"/>
      <c r="PFQ43" s="45"/>
      <c r="PFR43" s="45"/>
      <c r="PFS43" s="45"/>
      <c r="PFT43" s="45"/>
      <c r="PFU43" s="45"/>
      <c r="PFV43" s="45"/>
      <c r="PFW43" s="45"/>
      <c r="PFX43" s="45"/>
      <c r="PFY43" s="45"/>
      <c r="PFZ43" s="45"/>
      <c r="PGA43" s="45"/>
      <c r="PGB43" s="45"/>
      <c r="PGC43" s="45"/>
      <c r="PGD43" s="45"/>
      <c r="PGE43" s="45"/>
      <c r="PGF43" s="45"/>
      <c r="PGG43" s="45"/>
      <c r="PGH43" s="45"/>
      <c r="PGI43" s="45"/>
      <c r="PGJ43" s="45"/>
      <c r="PGK43" s="45"/>
      <c r="PGL43" s="45"/>
      <c r="PGM43" s="45"/>
      <c r="PGN43" s="45"/>
      <c r="PGO43" s="45"/>
      <c r="PGP43" s="45"/>
      <c r="PGQ43" s="45"/>
      <c r="PGR43" s="45"/>
      <c r="PGS43" s="45"/>
      <c r="PGT43" s="45"/>
      <c r="PGU43" s="45"/>
      <c r="PGV43" s="45"/>
      <c r="PGW43" s="45"/>
      <c r="PGX43" s="45"/>
      <c r="PGY43" s="45"/>
      <c r="PGZ43" s="45"/>
      <c r="PHA43" s="45"/>
      <c r="PHB43" s="45"/>
      <c r="PHC43" s="45"/>
      <c r="PHD43" s="45"/>
      <c r="PHE43" s="45"/>
      <c r="PHF43" s="45"/>
      <c r="PHG43" s="45"/>
      <c r="PHH43" s="45"/>
      <c r="PHI43" s="45"/>
      <c r="PHJ43" s="45"/>
      <c r="PHK43" s="45"/>
      <c r="PHL43" s="45"/>
      <c r="PHM43" s="45"/>
      <c r="PHN43" s="45"/>
      <c r="PHO43" s="45"/>
      <c r="PHP43" s="45"/>
      <c r="PHQ43" s="45"/>
      <c r="PHR43" s="45"/>
      <c r="PHS43" s="45"/>
      <c r="PHT43" s="45"/>
      <c r="PHU43" s="45"/>
      <c r="PHV43" s="45"/>
      <c r="PHW43" s="45"/>
      <c r="PHX43" s="45"/>
      <c r="PHY43" s="45"/>
      <c r="PHZ43" s="45"/>
      <c r="PIA43" s="45"/>
      <c r="PIB43" s="45"/>
      <c r="PIC43" s="45"/>
      <c r="PID43" s="45"/>
      <c r="PIE43" s="45"/>
      <c r="PIF43" s="45"/>
      <c r="PIG43" s="45"/>
      <c r="PIH43" s="45"/>
      <c r="PII43" s="45"/>
      <c r="PIJ43" s="45"/>
      <c r="PIK43" s="45"/>
      <c r="PIL43" s="45"/>
      <c r="PIM43" s="45"/>
      <c r="PIN43" s="45"/>
      <c r="PIO43" s="45"/>
      <c r="PIP43" s="45"/>
      <c r="PIQ43" s="45"/>
      <c r="PIR43" s="45"/>
      <c r="PIS43" s="45"/>
      <c r="PIT43" s="45"/>
      <c r="PIU43" s="45"/>
      <c r="PIV43" s="45"/>
      <c r="PIW43" s="45"/>
      <c r="PIX43" s="45"/>
      <c r="PIY43" s="45"/>
      <c r="PIZ43" s="45"/>
      <c r="PJA43" s="45"/>
      <c r="PJB43" s="45"/>
      <c r="PJC43" s="45"/>
      <c r="PJD43" s="45"/>
      <c r="PJE43" s="45"/>
      <c r="PJF43" s="45"/>
      <c r="PJG43" s="45"/>
      <c r="PJH43" s="45"/>
      <c r="PJI43" s="45"/>
      <c r="PJJ43" s="45"/>
      <c r="PJK43" s="45"/>
      <c r="PJL43" s="45"/>
      <c r="PJM43" s="45"/>
      <c r="PJN43" s="45"/>
      <c r="PJO43" s="45"/>
      <c r="PJP43" s="45"/>
      <c r="PJQ43" s="45"/>
      <c r="PJR43" s="45"/>
      <c r="PJS43" s="45"/>
      <c r="PJT43" s="45"/>
      <c r="PJU43" s="45"/>
      <c r="PJV43" s="45"/>
      <c r="PJW43" s="45"/>
      <c r="PJX43" s="45"/>
      <c r="PJY43" s="45"/>
      <c r="PJZ43" s="45"/>
      <c r="PKA43" s="45"/>
      <c r="PKB43" s="45"/>
      <c r="PKC43" s="45"/>
      <c r="PKD43" s="45"/>
      <c r="PKE43" s="45"/>
      <c r="PKF43" s="45"/>
      <c r="PKG43" s="45"/>
      <c r="PKH43" s="45"/>
      <c r="PKI43" s="45"/>
      <c r="PKJ43" s="45"/>
      <c r="PKK43" s="45"/>
      <c r="PKL43" s="45"/>
      <c r="PKM43" s="45"/>
      <c r="PKN43" s="45"/>
      <c r="PKO43" s="45"/>
      <c r="PKP43" s="45"/>
      <c r="PKQ43" s="45"/>
      <c r="PKR43" s="45"/>
      <c r="PKS43" s="45"/>
      <c r="PKT43" s="45"/>
      <c r="PKU43" s="45"/>
      <c r="PKV43" s="45"/>
      <c r="PKW43" s="45"/>
      <c r="PKX43" s="45"/>
      <c r="PKY43" s="45"/>
      <c r="PKZ43" s="45"/>
      <c r="PLA43" s="45"/>
      <c r="PLB43" s="45"/>
      <c r="PLC43" s="45"/>
      <c r="PLD43" s="45"/>
      <c r="PLE43" s="45"/>
      <c r="PLF43" s="45"/>
      <c r="PLG43" s="45"/>
      <c r="PLH43" s="45"/>
      <c r="PLI43" s="45"/>
      <c r="PLJ43" s="45"/>
      <c r="PLK43" s="45"/>
      <c r="PLL43" s="45"/>
      <c r="PLM43" s="45"/>
      <c r="PLN43" s="45"/>
      <c r="PLO43" s="45"/>
      <c r="PLP43" s="45"/>
      <c r="PLQ43" s="45"/>
      <c r="PLR43" s="45"/>
      <c r="PLS43" s="45"/>
      <c r="PLT43" s="45"/>
      <c r="PLU43" s="45"/>
      <c r="PLV43" s="45"/>
      <c r="PLW43" s="45"/>
      <c r="PLX43" s="45"/>
      <c r="PLY43" s="45"/>
      <c r="PLZ43" s="45"/>
      <c r="PMA43" s="45"/>
      <c r="PMB43" s="45"/>
      <c r="PMC43" s="45"/>
      <c r="PMD43" s="45"/>
      <c r="PME43" s="45"/>
      <c r="PMF43" s="45"/>
      <c r="PMG43" s="45"/>
      <c r="PMH43" s="45"/>
      <c r="PMI43" s="45"/>
      <c r="PMJ43" s="45"/>
      <c r="PMK43" s="45"/>
      <c r="PML43" s="45"/>
      <c r="PMM43" s="45"/>
      <c r="PMN43" s="45"/>
      <c r="PMO43" s="45"/>
      <c r="PMP43" s="45"/>
      <c r="PMQ43" s="45"/>
      <c r="PMR43" s="45"/>
      <c r="PMS43" s="45"/>
      <c r="PMT43" s="45"/>
      <c r="PMU43" s="45"/>
      <c r="PMV43" s="45"/>
      <c r="PMW43" s="45"/>
      <c r="PMX43" s="45"/>
      <c r="PMY43" s="45"/>
      <c r="PMZ43" s="45"/>
      <c r="PNA43" s="45"/>
      <c r="PNB43" s="45"/>
      <c r="PNC43" s="45"/>
      <c r="PND43" s="45"/>
      <c r="PNE43" s="45"/>
      <c r="PNF43" s="45"/>
      <c r="PNG43" s="45"/>
      <c r="PNH43" s="45"/>
      <c r="PNI43" s="45"/>
      <c r="PNJ43" s="45"/>
      <c r="PNK43" s="45"/>
      <c r="PNL43" s="45"/>
      <c r="PNM43" s="45"/>
      <c r="PNN43" s="45"/>
      <c r="PNO43" s="45"/>
      <c r="PNP43" s="45"/>
      <c r="PNQ43" s="45"/>
      <c r="PNR43" s="45"/>
      <c r="PNS43" s="45"/>
      <c r="PNT43" s="45"/>
      <c r="PNU43" s="45"/>
      <c r="PNV43" s="45"/>
      <c r="PNW43" s="45"/>
      <c r="PNX43" s="45"/>
      <c r="PNY43" s="45"/>
      <c r="PNZ43" s="45"/>
      <c r="POA43" s="45"/>
      <c r="POB43" s="45"/>
      <c r="POC43" s="45"/>
      <c r="POD43" s="45"/>
      <c r="POE43" s="45"/>
      <c r="POF43" s="45"/>
      <c r="POG43" s="45"/>
      <c r="POH43" s="45"/>
      <c r="POI43" s="45"/>
      <c r="POJ43" s="45"/>
      <c r="POK43" s="45"/>
      <c r="POL43" s="45"/>
      <c r="POM43" s="45"/>
      <c r="PON43" s="45"/>
      <c r="POO43" s="45"/>
      <c r="POP43" s="45"/>
      <c r="POQ43" s="45"/>
      <c r="POR43" s="45"/>
      <c r="POS43" s="45"/>
      <c r="POT43" s="45"/>
      <c r="POU43" s="45"/>
      <c r="POV43" s="45"/>
      <c r="POW43" s="45"/>
      <c r="POX43" s="45"/>
      <c r="POY43" s="45"/>
      <c r="POZ43" s="45"/>
      <c r="PPA43" s="45"/>
      <c r="PPB43" s="45"/>
      <c r="PPC43" s="45"/>
      <c r="PPD43" s="45"/>
      <c r="PPE43" s="45"/>
      <c r="PPF43" s="45"/>
      <c r="PPG43" s="45"/>
      <c r="PPH43" s="45"/>
      <c r="PPI43" s="45"/>
      <c r="PPJ43" s="45"/>
      <c r="PPK43" s="45"/>
      <c r="PPL43" s="45"/>
      <c r="PPM43" s="45"/>
      <c r="PPN43" s="45"/>
      <c r="PPO43" s="45"/>
      <c r="PPP43" s="45"/>
      <c r="PPQ43" s="45"/>
      <c r="PPR43" s="45"/>
      <c r="PPS43" s="45"/>
      <c r="PPT43" s="45"/>
      <c r="PPU43" s="45"/>
      <c r="PPV43" s="45"/>
      <c r="PPW43" s="45"/>
      <c r="PPX43" s="45"/>
      <c r="PPY43" s="45"/>
      <c r="PPZ43" s="45"/>
      <c r="PQA43" s="45"/>
      <c r="PQB43" s="45"/>
      <c r="PQC43" s="45"/>
      <c r="PQD43" s="45"/>
      <c r="PQE43" s="45"/>
      <c r="PQF43" s="45"/>
      <c r="PQG43" s="45"/>
      <c r="PQH43" s="45"/>
      <c r="PQI43" s="45"/>
      <c r="PQJ43" s="45"/>
      <c r="PQK43" s="45"/>
      <c r="PQL43" s="45"/>
      <c r="PQM43" s="45"/>
      <c r="PQN43" s="45"/>
      <c r="PQO43" s="45"/>
      <c r="PQP43" s="45"/>
      <c r="PQQ43" s="45"/>
      <c r="PQR43" s="45"/>
      <c r="PQS43" s="45"/>
      <c r="PQT43" s="45"/>
      <c r="PQU43" s="45"/>
      <c r="PQV43" s="45"/>
      <c r="PQW43" s="45"/>
      <c r="PQX43" s="45"/>
      <c r="PQY43" s="45"/>
      <c r="PQZ43" s="45"/>
      <c r="PRA43" s="45"/>
      <c r="PRB43" s="45"/>
      <c r="PRC43" s="45"/>
      <c r="PRD43" s="45"/>
      <c r="PRE43" s="45"/>
      <c r="PRF43" s="45"/>
      <c r="PRG43" s="45"/>
      <c r="PRH43" s="45"/>
      <c r="PRI43" s="45"/>
      <c r="PRJ43" s="45"/>
      <c r="PRK43" s="45"/>
      <c r="PRL43" s="45"/>
      <c r="PRM43" s="45"/>
      <c r="PRN43" s="45"/>
      <c r="PRO43" s="45"/>
      <c r="PRP43" s="45"/>
      <c r="PRQ43" s="45"/>
      <c r="PRR43" s="45"/>
      <c r="PRS43" s="45"/>
      <c r="PRT43" s="45"/>
      <c r="PRU43" s="45"/>
      <c r="PRV43" s="45"/>
      <c r="PRW43" s="45"/>
      <c r="PRX43" s="45"/>
      <c r="PRY43" s="45"/>
      <c r="PRZ43" s="45"/>
      <c r="PSA43" s="45"/>
      <c r="PSB43" s="45"/>
      <c r="PSC43" s="45"/>
      <c r="PSD43" s="45"/>
      <c r="PSE43" s="45"/>
      <c r="PSF43" s="45"/>
      <c r="PSG43" s="45"/>
      <c r="PSH43" s="45"/>
      <c r="PSI43" s="45"/>
      <c r="PSJ43" s="45"/>
      <c r="PSK43" s="45"/>
      <c r="PSL43" s="45"/>
      <c r="PSM43" s="45"/>
      <c r="PSN43" s="45"/>
      <c r="PSO43" s="45"/>
      <c r="PSP43" s="45"/>
      <c r="PSQ43" s="45"/>
      <c r="PSR43" s="45"/>
      <c r="PSS43" s="45"/>
      <c r="PST43" s="45"/>
      <c r="PSU43" s="45"/>
      <c r="PSV43" s="45"/>
      <c r="PSW43" s="45"/>
      <c r="PSX43" s="45"/>
      <c r="PSY43" s="45"/>
      <c r="PSZ43" s="45"/>
      <c r="PTA43" s="45"/>
      <c r="PTB43" s="45"/>
      <c r="PTC43" s="45"/>
      <c r="PTD43" s="45"/>
      <c r="PTE43" s="45"/>
      <c r="PTF43" s="45"/>
      <c r="PTG43" s="45"/>
      <c r="PTH43" s="45"/>
      <c r="PTI43" s="45"/>
      <c r="PTJ43" s="45"/>
      <c r="PTK43" s="45"/>
      <c r="PTL43" s="45"/>
      <c r="PTM43" s="45"/>
      <c r="PTN43" s="45"/>
      <c r="PTO43" s="45"/>
      <c r="PTP43" s="45"/>
      <c r="PTQ43" s="45"/>
      <c r="PTR43" s="45"/>
      <c r="PTS43" s="45"/>
      <c r="PTT43" s="45"/>
      <c r="PTU43" s="45"/>
      <c r="PTV43" s="45"/>
      <c r="PTW43" s="45"/>
      <c r="PTX43" s="45"/>
      <c r="PTY43" s="45"/>
      <c r="PTZ43" s="45"/>
      <c r="PUA43" s="45"/>
      <c r="PUB43" s="45"/>
      <c r="PUC43" s="45"/>
      <c r="PUD43" s="45"/>
      <c r="PUE43" s="45"/>
      <c r="PUF43" s="45"/>
      <c r="PUG43" s="45"/>
      <c r="PUH43" s="45"/>
      <c r="PUI43" s="45"/>
      <c r="PUJ43" s="45"/>
      <c r="PUK43" s="45"/>
      <c r="PUL43" s="45"/>
      <c r="PUM43" s="45"/>
      <c r="PUN43" s="45"/>
      <c r="PUO43" s="45"/>
      <c r="PUP43" s="45"/>
      <c r="PUQ43" s="45"/>
      <c r="PUR43" s="45"/>
      <c r="PUS43" s="45"/>
      <c r="PUT43" s="45"/>
      <c r="PUU43" s="45"/>
      <c r="PUV43" s="45"/>
      <c r="PUW43" s="45"/>
      <c r="PUX43" s="45"/>
      <c r="PUY43" s="45"/>
      <c r="PUZ43" s="45"/>
      <c r="PVA43" s="45"/>
      <c r="PVB43" s="45"/>
      <c r="PVC43" s="45"/>
      <c r="PVD43" s="45"/>
      <c r="PVE43" s="45"/>
      <c r="PVF43" s="45"/>
      <c r="PVG43" s="45"/>
      <c r="PVH43" s="45"/>
      <c r="PVI43" s="45"/>
      <c r="PVJ43" s="45"/>
      <c r="PVK43" s="45"/>
      <c r="PVL43" s="45"/>
      <c r="PVM43" s="45"/>
      <c r="PVN43" s="45"/>
      <c r="PVO43" s="45"/>
      <c r="PVP43" s="45"/>
      <c r="PVQ43" s="45"/>
      <c r="PVR43" s="45"/>
      <c r="PVS43" s="45"/>
      <c r="PVT43" s="45"/>
      <c r="PVU43" s="45"/>
      <c r="PVV43" s="45"/>
      <c r="PVW43" s="45"/>
      <c r="PVX43" s="45"/>
      <c r="PVY43" s="45"/>
      <c r="PVZ43" s="45"/>
      <c r="PWA43" s="45"/>
      <c r="PWB43" s="45"/>
      <c r="PWC43" s="45"/>
      <c r="PWD43" s="45"/>
      <c r="PWE43" s="45"/>
      <c r="PWF43" s="45"/>
      <c r="PWG43" s="45"/>
      <c r="PWH43" s="45"/>
      <c r="PWI43" s="45"/>
      <c r="PWJ43" s="45"/>
      <c r="PWK43" s="45"/>
      <c r="PWL43" s="45"/>
      <c r="PWM43" s="45"/>
      <c r="PWN43" s="45"/>
      <c r="PWO43" s="45"/>
      <c r="PWP43" s="45"/>
      <c r="PWQ43" s="45"/>
      <c r="PWR43" s="45"/>
      <c r="PWS43" s="45"/>
      <c r="PWT43" s="45"/>
      <c r="PWU43" s="45"/>
      <c r="PWV43" s="45"/>
      <c r="PWW43" s="45"/>
      <c r="PWX43" s="45"/>
      <c r="PWY43" s="45"/>
      <c r="PWZ43" s="45"/>
      <c r="PXA43" s="45"/>
      <c r="PXB43" s="45"/>
      <c r="PXC43" s="45"/>
      <c r="PXD43" s="45"/>
      <c r="PXE43" s="45"/>
      <c r="PXF43" s="45"/>
      <c r="PXG43" s="45"/>
      <c r="PXH43" s="45"/>
      <c r="PXI43" s="45"/>
      <c r="PXJ43" s="45"/>
      <c r="PXK43" s="45"/>
      <c r="PXL43" s="45"/>
      <c r="PXM43" s="45"/>
      <c r="PXN43" s="45"/>
      <c r="PXO43" s="45"/>
      <c r="PXP43" s="45"/>
      <c r="PXQ43" s="45"/>
      <c r="PXR43" s="45"/>
      <c r="PXS43" s="45"/>
      <c r="PXT43" s="45"/>
      <c r="PXU43" s="45"/>
      <c r="PXV43" s="45"/>
      <c r="PXW43" s="45"/>
      <c r="PXX43" s="45"/>
      <c r="PXY43" s="45"/>
      <c r="PXZ43" s="45"/>
      <c r="PYA43" s="45"/>
      <c r="PYB43" s="45"/>
      <c r="PYC43" s="45"/>
      <c r="PYD43" s="45"/>
      <c r="PYE43" s="45"/>
      <c r="PYF43" s="45"/>
      <c r="PYG43" s="45"/>
      <c r="PYH43" s="45"/>
      <c r="PYI43" s="45"/>
      <c r="PYJ43" s="45"/>
      <c r="PYK43" s="45"/>
      <c r="PYL43" s="45"/>
      <c r="PYM43" s="45"/>
      <c r="PYN43" s="45"/>
      <c r="PYO43" s="45"/>
      <c r="PYP43" s="45"/>
      <c r="PYQ43" s="45"/>
      <c r="PYR43" s="45"/>
      <c r="PYS43" s="45"/>
      <c r="PYT43" s="45"/>
      <c r="PYU43" s="45"/>
      <c r="PYV43" s="45"/>
      <c r="PYW43" s="45"/>
      <c r="PYX43" s="45"/>
      <c r="PYY43" s="45"/>
      <c r="PYZ43" s="45"/>
      <c r="PZA43" s="45"/>
      <c r="PZB43" s="45"/>
      <c r="PZC43" s="45"/>
      <c r="PZD43" s="45"/>
      <c r="PZE43" s="45"/>
      <c r="PZF43" s="45"/>
      <c r="PZG43" s="45"/>
      <c r="PZH43" s="45"/>
      <c r="PZI43" s="45"/>
      <c r="PZJ43" s="45"/>
      <c r="PZK43" s="45"/>
      <c r="PZL43" s="45"/>
      <c r="PZM43" s="45"/>
      <c r="PZN43" s="45"/>
      <c r="PZO43" s="45"/>
      <c r="PZP43" s="45"/>
      <c r="PZQ43" s="45"/>
      <c r="PZR43" s="45"/>
      <c r="PZS43" s="45"/>
      <c r="PZT43" s="45"/>
      <c r="PZU43" s="45"/>
      <c r="PZV43" s="45"/>
      <c r="PZW43" s="45"/>
      <c r="PZX43" s="45"/>
      <c r="PZY43" s="45"/>
      <c r="PZZ43" s="45"/>
      <c r="QAA43" s="45"/>
      <c r="QAB43" s="45"/>
      <c r="QAC43" s="45"/>
      <c r="QAD43" s="45"/>
      <c r="QAE43" s="45"/>
      <c r="QAF43" s="45"/>
      <c r="QAG43" s="45"/>
      <c r="QAH43" s="45"/>
      <c r="QAI43" s="45"/>
      <c r="QAJ43" s="45"/>
      <c r="QAK43" s="45"/>
      <c r="QAL43" s="45"/>
      <c r="QAM43" s="45"/>
      <c r="QAN43" s="45"/>
      <c r="QAO43" s="45"/>
      <c r="QAP43" s="45"/>
      <c r="QAQ43" s="45"/>
      <c r="QAR43" s="45"/>
      <c r="QAS43" s="45"/>
      <c r="QAT43" s="45"/>
      <c r="QAU43" s="45"/>
      <c r="QAV43" s="45"/>
      <c r="QAW43" s="45"/>
      <c r="QAX43" s="45"/>
      <c r="QAY43" s="45"/>
      <c r="QAZ43" s="45"/>
      <c r="QBA43" s="45"/>
      <c r="QBB43" s="45"/>
      <c r="QBC43" s="45"/>
      <c r="QBD43" s="45"/>
      <c r="QBE43" s="45"/>
      <c r="QBF43" s="45"/>
      <c r="QBG43" s="45"/>
      <c r="QBH43" s="45"/>
      <c r="QBI43" s="45"/>
      <c r="QBJ43" s="45"/>
      <c r="QBK43" s="45"/>
      <c r="QBL43" s="45"/>
      <c r="QBM43" s="45"/>
      <c r="QBN43" s="45"/>
      <c r="QBO43" s="45"/>
      <c r="QBP43" s="45"/>
      <c r="QBQ43" s="45"/>
      <c r="QBR43" s="45"/>
      <c r="QBS43" s="45"/>
      <c r="QBT43" s="45"/>
      <c r="QBU43" s="45"/>
      <c r="QBV43" s="45"/>
      <c r="QBW43" s="45"/>
      <c r="QBX43" s="45"/>
      <c r="QBY43" s="45"/>
      <c r="QBZ43" s="45"/>
      <c r="QCA43" s="45"/>
      <c r="QCB43" s="45"/>
      <c r="QCC43" s="45"/>
      <c r="QCD43" s="45"/>
      <c r="QCE43" s="45"/>
      <c r="QCF43" s="45"/>
      <c r="QCG43" s="45"/>
      <c r="QCH43" s="45"/>
      <c r="QCI43" s="45"/>
      <c r="QCJ43" s="45"/>
      <c r="QCK43" s="45"/>
      <c r="QCL43" s="45"/>
      <c r="QCM43" s="45"/>
      <c r="QCN43" s="45"/>
      <c r="QCO43" s="45"/>
      <c r="QCP43" s="45"/>
      <c r="QCQ43" s="45"/>
      <c r="QCR43" s="45"/>
      <c r="QCS43" s="45"/>
      <c r="QCT43" s="45"/>
      <c r="QCU43" s="45"/>
      <c r="QCV43" s="45"/>
      <c r="QCW43" s="45"/>
      <c r="QCX43" s="45"/>
      <c r="QCY43" s="45"/>
      <c r="QCZ43" s="45"/>
      <c r="QDA43" s="45"/>
      <c r="QDB43" s="45"/>
      <c r="QDC43" s="45"/>
      <c r="QDD43" s="45"/>
      <c r="QDE43" s="45"/>
      <c r="QDF43" s="45"/>
      <c r="QDG43" s="45"/>
      <c r="QDH43" s="45"/>
      <c r="QDI43" s="45"/>
      <c r="QDJ43" s="45"/>
      <c r="QDK43" s="45"/>
      <c r="QDL43" s="45"/>
      <c r="QDM43" s="45"/>
      <c r="QDN43" s="45"/>
      <c r="QDO43" s="45"/>
      <c r="QDP43" s="45"/>
      <c r="QDQ43" s="45"/>
      <c r="QDR43" s="45"/>
      <c r="QDS43" s="45"/>
      <c r="QDT43" s="45"/>
      <c r="QDU43" s="45"/>
      <c r="QDV43" s="45"/>
      <c r="QDW43" s="45"/>
      <c r="QDX43" s="45"/>
      <c r="QDY43" s="45"/>
      <c r="QDZ43" s="45"/>
      <c r="QEA43" s="45"/>
      <c r="QEB43" s="45"/>
      <c r="QEC43" s="45"/>
      <c r="QED43" s="45"/>
      <c r="QEE43" s="45"/>
      <c r="QEF43" s="45"/>
      <c r="QEG43" s="45"/>
      <c r="QEH43" s="45"/>
      <c r="QEI43" s="45"/>
      <c r="QEJ43" s="45"/>
      <c r="QEK43" s="45"/>
      <c r="QEL43" s="45"/>
      <c r="QEM43" s="45"/>
      <c r="QEN43" s="45"/>
      <c r="QEO43" s="45"/>
      <c r="QEP43" s="45"/>
      <c r="QEQ43" s="45"/>
      <c r="QER43" s="45"/>
      <c r="QES43" s="45"/>
      <c r="QET43" s="45"/>
      <c r="QEU43" s="45"/>
      <c r="QEV43" s="45"/>
      <c r="QEW43" s="45"/>
      <c r="QEX43" s="45"/>
      <c r="QEY43" s="45"/>
      <c r="QEZ43" s="45"/>
      <c r="QFA43" s="45"/>
      <c r="QFB43" s="45"/>
      <c r="QFC43" s="45"/>
      <c r="QFD43" s="45"/>
      <c r="QFE43" s="45"/>
      <c r="QFF43" s="45"/>
      <c r="QFG43" s="45"/>
      <c r="QFH43" s="45"/>
      <c r="QFI43" s="45"/>
      <c r="QFJ43" s="45"/>
      <c r="QFK43" s="45"/>
      <c r="QFL43" s="45"/>
      <c r="QFM43" s="45"/>
      <c r="QFN43" s="45"/>
      <c r="QFO43" s="45"/>
      <c r="QFP43" s="45"/>
      <c r="QFQ43" s="45"/>
      <c r="QFR43" s="45"/>
      <c r="QFS43" s="45"/>
      <c r="QFT43" s="45"/>
      <c r="QFU43" s="45"/>
      <c r="QFV43" s="45"/>
      <c r="QFW43" s="45"/>
      <c r="QFX43" s="45"/>
      <c r="QFY43" s="45"/>
      <c r="QFZ43" s="45"/>
      <c r="QGA43" s="45"/>
      <c r="QGB43" s="45"/>
      <c r="QGC43" s="45"/>
      <c r="QGD43" s="45"/>
      <c r="QGE43" s="45"/>
      <c r="QGF43" s="45"/>
      <c r="QGG43" s="45"/>
      <c r="QGH43" s="45"/>
      <c r="QGI43" s="45"/>
      <c r="QGJ43" s="45"/>
      <c r="QGK43" s="45"/>
      <c r="QGL43" s="45"/>
      <c r="QGM43" s="45"/>
      <c r="QGN43" s="45"/>
      <c r="QGO43" s="45"/>
      <c r="QGP43" s="45"/>
      <c r="QGQ43" s="45"/>
      <c r="QGR43" s="45"/>
      <c r="QGS43" s="45"/>
      <c r="QGT43" s="45"/>
      <c r="QGU43" s="45"/>
      <c r="QGV43" s="45"/>
      <c r="QGW43" s="45"/>
      <c r="QGX43" s="45"/>
      <c r="QGY43" s="45"/>
      <c r="QGZ43" s="45"/>
      <c r="QHA43" s="45"/>
      <c r="QHB43" s="45"/>
      <c r="QHC43" s="45"/>
      <c r="QHD43" s="45"/>
      <c r="QHE43" s="45"/>
      <c r="QHF43" s="45"/>
      <c r="QHG43" s="45"/>
      <c r="QHH43" s="45"/>
      <c r="QHI43" s="45"/>
      <c r="QHJ43" s="45"/>
      <c r="QHK43" s="45"/>
      <c r="QHL43" s="45"/>
      <c r="QHM43" s="45"/>
      <c r="QHN43" s="45"/>
      <c r="QHO43" s="45"/>
      <c r="QHP43" s="45"/>
      <c r="QHQ43" s="45"/>
      <c r="QHR43" s="45"/>
      <c r="QHS43" s="45"/>
      <c r="QHT43" s="45"/>
      <c r="QHU43" s="45"/>
      <c r="QHV43" s="45"/>
      <c r="QHW43" s="45"/>
      <c r="QHX43" s="45"/>
      <c r="QHY43" s="45"/>
      <c r="QHZ43" s="45"/>
      <c r="QIA43" s="45"/>
      <c r="QIB43" s="45"/>
      <c r="QIC43" s="45"/>
      <c r="QID43" s="45"/>
      <c r="QIE43" s="45"/>
      <c r="QIF43" s="45"/>
      <c r="QIG43" s="45"/>
      <c r="QIH43" s="45"/>
      <c r="QII43" s="45"/>
      <c r="QIJ43" s="45"/>
      <c r="QIK43" s="45"/>
      <c r="QIL43" s="45"/>
      <c r="QIM43" s="45"/>
      <c r="QIN43" s="45"/>
      <c r="QIO43" s="45"/>
      <c r="QIP43" s="45"/>
      <c r="QIQ43" s="45"/>
      <c r="QIR43" s="45"/>
      <c r="QIS43" s="45"/>
      <c r="QIT43" s="45"/>
      <c r="QIU43" s="45"/>
      <c r="QIV43" s="45"/>
      <c r="QIW43" s="45"/>
      <c r="QIX43" s="45"/>
      <c r="QIY43" s="45"/>
      <c r="QIZ43" s="45"/>
      <c r="QJA43" s="45"/>
      <c r="QJB43" s="45"/>
      <c r="QJC43" s="45"/>
      <c r="QJD43" s="45"/>
      <c r="QJE43" s="45"/>
      <c r="QJF43" s="45"/>
      <c r="QJG43" s="45"/>
      <c r="QJH43" s="45"/>
      <c r="QJI43" s="45"/>
      <c r="QJJ43" s="45"/>
      <c r="QJK43" s="45"/>
      <c r="QJL43" s="45"/>
      <c r="QJM43" s="45"/>
      <c r="QJN43" s="45"/>
      <c r="QJO43" s="45"/>
      <c r="QJP43" s="45"/>
      <c r="QJQ43" s="45"/>
      <c r="QJR43" s="45"/>
      <c r="QJS43" s="45"/>
      <c r="QJT43" s="45"/>
      <c r="QJU43" s="45"/>
      <c r="QJV43" s="45"/>
      <c r="QJW43" s="45"/>
      <c r="QJX43" s="45"/>
      <c r="QJY43" s="45"/>
      <c r="QJZ43" s="45"/>
      <c r="QKA43" s="45"/>
      <c r="QKB43" s="45"/>
      <c r="QKC43" s="45"/>
      <c r="QKD43" s="45"/>
      <c r="QKE43" s="45"/>
      <c r="QKF43" s="45"/>
      <c r="QKG43" s="45"/>
      <c r="QKH43" s="45"/>
      <c r="QKI43" s="45"/>
      <c r="QKJ43" s="45"/>
      <c r="QKK43" s="45"/>
      <c r="QKL43" s="45"/>
      <c r="QKM43" s="45"/>
      <c r="QKN43" s="45"/>
      <c r="QKO43" s="45"/>
      <c r="QKP43" s="45"/>
      <c r="QKQ43" s="45"/>
      <c r="QKR43" s="45"/>
      <c r="QKS43" s="45"/>
      <c r="QKT43" s="45"/>
      <c r="QKU43" s="45"/>
      <c r="QKV43" s="45"/>
      <c r="QKW43" s="45"/>
      <c r="QKX43" s="45"/>
      <c r="QKY43" s="45"/>
      <c r="QKZ43" s="45"/>
      <c r="QLA43" s="45"/>
      <c r="QLB43" s="45"/>
      <c r="QLC43" s="45"/>
      <c r="QLD43" s="45"/>
      <c r="QLE43" s="45"/>
      <c r="QLF43" s="45"/>
      <c r="QLG43" s="45"/>
      <c r="QLH43" s="45"/>
      <c r="QLI43" s="45"/>
      <c r="QLJ43" s="45"/>
      <c r="QLK43" s="45"/>
      <c r="QLL43" s="45"/>
      <c r="QLM43" s="45"/>
      <c r="QLN43" s="45"/>
      <c r="QLO43" s="45"/>
      <c r="QLP43" s="45"/>
      <c r="QLQ43" s="45"/>
      <c r="QLR43" s="45"/>
      <c r="QLS43" s="45"/>
      <c r="QLT43" s="45"/>
      <c r="QLU43" s="45"/>
      <c r="QLV43" s="45"/>
      <c r="QLW43" s="45"/>
      <c r="QLX43" s="45"/>
      <c r="QLY43" s="45"/>
      <c r="QLZ43" s="45"/>
      <c r="QMA43" s="45"/>
      <c r="QMB43" s="45"/>
      <c r="QMC43" s="45"/>
      <c r="QMD43" s="45"/>
      <c r="QME43" s="45"/>
      <c r="QMF43" s="45"/>
      <c r="QMG43" s="45"/>
      <c r="QMH43" s="45"/>
      <c r="QMI43" s="45"/>
      <c r="QMJ43" s="45"/>
      <c r="QMK43" s="45"/>
      <c r="QML43" s="45"/>
      <c r="QMM43" s="45"/>
      <c r="QMN43" s="45"/>
      <c r="QMO43" s="45"/>
      <c r="QMP43" s="45"/>
      <c r="QMQ43" s="45"/>
      <c r="QMR43" s="45"/>
      <c r="QMS43" s="45"/>
      <c r="QMT43" s="45"/>
      <c r="QMU43" s="45"/>
      <c r="QMV43" s="45"/>
      <c r="QMW43" s="45"/>
      <c r="QMX43" s="45"/>
      <c r="QMY43" s="45"/>
      <c r="QMZ43" s="45"/>
      <c r="QNA43" s="45"/>
      <c r="QNB43" s="45"/>
      <c r="QNC43" s="45"/>
      <c r="QND43" s="45"/>
      <c r="QNE43" s="45"/>
      <c r="QNF43" s="45"/>
      <c r="QNG43" s="45"/>
      <c r="QNH43" s="45"/>
      <c r="QNI43" s="45"/>
      <c r="QNJ43" s="45"/>
      <c r="QNK43" s="45"/>
      <c r="QNL43" s="45"/>
      <c r="QNM43" s="45"/>
      <c r="QNN43" s="45"/>
      <c r="QNO43" s="45"/>
      <c r="QNP43" s="45"/>
      <c r="QNQ43" s="45"/>
      <c r="QNR43" s="45"/>
      <c r="QNS43" s="45"/>
      <c r="QNT43" s="45"/>
      <c r="QNU43" s="45"/>
      <c r="QNV43" s="45"/>
      <c r="QNW43" s="45"/>
      <c r="QNX43" s="45"/>
      <c r="QNY43" s="45"/>
      <c r="QNZ43" s="45"/>
      <c r="QOA43" s="45"/>
      <c r="QOB43" s="45"/>
      <c r="QOC43" s="45"/>
      <c r="QOD43" s="45"/>
      <c r="QOE43" s="45"/>
      <c r="QOF43" s="45"/>
      <c r="QOG43" s="45"/>
      <c r="QOH43" s="45"/>
      <c r="QOI43" s="45"/>
      <c r="QOJ43" s="45"/>
      <c r="QOK43" s="45"/>
      <c r="QOL43" s="45"/>
      <c r="QOM43" s="45"/>
      <c r="QON43" s="45"/>
      <c r="QOO43" s="45"/>
      <c r="QOP43" s="45"/>
      <c r="QOQ43" s="45"/>
      <c r="QOR43" s="45"/>
      <c r="QOS43" s="45"/>
      <c r="QOT43" s="45"/>
      <c r="QOU43" s="45"/>
      <c r="QOV43" s="45"/>
      <c r="QOW43" s="45"/>
      <c r="QOX43" s="45"/>
      <c r="QOY43" s="45"/>
      <c r="QOZ43" s="45"/>
      <c r="QPA43" s="45"/>
      <c r="QPB43" s="45"/>
      <c r="QPC43" s="45"/>
      <c r="QPD43" s="45"/>
      <c r="QPE43" s="45"/>
      <c r="QPF43" s="45"/>
      <c r="QPG43" s="45"/>
      <c r="QPH43" s="45"/>
      <c r="QPI43" s="45"/>
      <c r="QPJ43" s="45"/>
      <c r="QPK43" s="45"/>
      <c r="QPL43" s="45"/>
      <c r="QPM43" s="45"/>
      <c r="QPN43" s="45"/>
      <c r="QPO43" s="45"/>
      <c r="QPP43" s="45"/>
      <c r="QPQ43" s="45"/>
      <c r="QPR43" s="45"/>
      <c r="QPS43" s="45"/>
      <c r="QPT43" s="45"/>
      <c r="QPU43" s="45"/>
      <c r="QPV43" s="45"/>
      <c r="QPW43" s="45"/>
      <c r="QPX43" s="45"/>
      <c r="QPY43" s="45"/>
      <c r="QPZ43" s="45"/>
      <c r="QQA43" s="45"/>
      <c r="QQB43" s="45"/>
      <c r="QQC43" s="45"/>
      <c r="QQD43" s="45"/>
      <c r="QQE43" s="45"/>
      <c r="QQF43" s="45"/>
      <c r="QQG43" s="45"/>
      <c r="QQH43" s="45"/>
      <c r="QQI43" s="45"/>
      <c r="QQJ43" s="45"/>
      <c r="QQK43" s="45"/>
      <c r="QQL43" s="45"/>
      <c r="QQM43" s="45"/>
      <c r="QQN43" s="45"/>
      <c r="QQO43" s="45"/>
      <c r="QQP43" s="45"/>
      <c r="QQQ43" s="45"/>
      <c r="QQR43" s="45"/>
      <c r="QQS43" s="45"/>
      <c r="QQT43" s="45"/>
      <c r="QQU43" s="45"/>
      <c r="QQV43" s="45"/>
      <c r="QQW43" s="45"/>
      <c r="QQX43" s="45"/>
      <c r="QQY43" s="45"/>
      <c r="QQZ43" s="45"/>
      <c r="QRA43" s="45"/>
      <c r="QRB43" s="45"/>
      <c r="QRC43" s="45"/>
      <c r="QRD43" s="45"/>
      <c r="QRE43" s="45"/>
      <c r="QRF43" s="45"/>
      <c r="QRG43" s="45"/>
      <c r="QRH43" s="45"/>
      <c r="QRI43" s="45"/>
      <c r="QRJ43" s="45"/>
      <c r="QRK43" s="45"/>
      <c r="QRL43" s="45"/>
      <c r="QRM43" s="45"/>
      <c r="QRN43" s="45"/>
      <c r="QRO43" s="45"/>
      <c r="QRP43" s="45"/>
      <c r="QRQ43" s="45"/>
      <c r="QRR43" s="45"/>
      <c r="QRS43" s="45"/>
      <c r="QRT43" s="45"/>
      <c r="QRU43" s="45"/>
      <c r="QRV43" s="45"/>
      <c r="QRW43" s="45"/>
      <c r="QRX43" s="45"/>
      <c r="QRY43" s="45"/>
      <c r="QRZ43" s="45"/>
      <c r="QSA43" s="45"/>
      <c r="QSB43" s="45"/>
      <c r="QSC43" s="45"/>
      <c r="QSD43" s="45"/>
      <c r="QSE43" s="45"/>
      <c r="QSF43" s="45"/>
      <c r="QSG43" s="45"/>
      <c r="QSH43" s="45"/>
      <c r="QSI43" s="45"/>
      <c r="QSJ43" s="45"/>
      <c r="QSK43" s="45"/>
      <c r="QSL43" s="45"/>
      <c r="QSM43" s="45"/>
      <c r="QSN43" s="45"/>
      <c r="QSO43" s="45"/>
      <c r="QSP43" s="45"/>
      <c r="QSQ43" s="45"/>
      <c r="QSR43" s="45"/>
      <c r="QSS43" s="45"/>
      <c r="QST43" s="45"/>
      <c r="QSU43" s="45"/>
      <c r="QSV43" s="45"/>
      <c r="QSW43" s="45"/>
      <c r="QSX43" s="45"/>
      <c r="QSY43" s="45"/>
      <c r="QSZ43" s="45"/>
      <c r="QTA43" s="45"/>
      <c r="QTB43" s="45"/>
      <c r="QTC43" s="45"/>
      <c r="QTD43" s="45"/>
      <c r="QTE43" s="45"/>
      <c r="QTF43" s="45"/>
      <c r="QTG43" s="45"/>
      <c r="QTH43" s="45"/>
      <c r="QTI43" s="45"/>
      <c r="QTJ43" s="45"/>
      <c r="QTK43" s="45"/>
      <c r="QTL43" s="45"/>
      <c r="QTM43" s="45"/>
      <c r="QTN43" s="45"/>
      <c r="QTO43" s="45"/>
      <c r="QTP43" s="45"/>
      <c r="QTQ43" s="45"/>
      <c r="QTR43" s="45"/>
      <c r="QTS43" s="45"/>
      <c r="QTT43" s="45"/>
      <c r="QTU43" s="45"/>
      <c r="QTV43" s="45"/>
      <c r="QTW43" s="45"/>
      <c r="QTX43" s="45"/>
      <c r="QTY43" s="45"/>
      <c r="QTZ43" s="45"/>
      <c r="QUA43" s="45"/>
      <c r="QUB43" s="45"/>
      <c r="QUC43" s="45"/>
      <c r="QUD43" s="45"/>
      <c r="QUE43" s="45"/>
      <c r="QUF43" s="45"/>
      <c r="QUG43" s="45"/>
      <c r="QUH43" s="45"/>
      <c r="QUI43" s="45"/>
      <c r="QUJ43" s="45"/>
      <c r="QUK43" s="45"/>
      <c r="QUL43" s="45"/>
      <c r="QUM43" s="45"/>
      <c r="QUN43" s="45"/>
      <c r="QUO43" s="45"/>
      <c r="QUP43" s="45"/>
      <c r="QUQ43" s="45"/>
      <c r="QUR43" s="45"/>
      <c r="QUS43" s="45"/>
      <c r="QUT43" s="45"/>
      <c r="QUU43" s="45"/>
      <c r="QUV43" s="45"/>
      <c r="QUW43" s="45"/>
      <c r="QUX43" s="45"/>
      <c r="QUY43" s="45"/>
      <c r="QUZ43" s="45"/>
      <c r="QVA43" s="45"/>
      <c r="QVB43" s="45"/>
      <c r="QVC43" s="45"/>
      <c r="QVD43" s="45"/>
      <c r="QVE43" s="45"/>
      <c r="QVF43" s="45"/>
      <c r="QVG43" s="45"/>
      <c r="QVH43" s="45"/>
      <c r="QVI43" s="45"/>
      <c r="QVJ43" s="45"/>
      <c r="QVK43" s="45"/>
      <c r="QVL43" s="45"/>
      <c r="QVM43" s="45"/>
      <c r="QVN43" s="45"/>
      <c r="QVO43" s="45"/>
      <c r="QVP43" s="45"/>
      <c r="QVQ43" s="45"/>
      <c r="QVR43" s="45"/>
      <c r="QVS43" s="45"/>
      <c r="QVT43" s="45"/>
      <c r="QVU43" s="45"/>
      <c r="QVV43" s="45"/>
      <c r="QVW43" s="45"/>
      <c r="QVX43" s="45"/>
      <c r="QVY43" s="45"/>
      <c r="QVZ43" s="45"/>
      <c r="QWA43" s="45"/>
      <c r="QWB43" s="45"/>
      <c r="QWC43" s="45"/>
      <c r="QWD43" s="45"/>
      <c r="QWE43" s="45"/>
      <c r="QWF43" s="45"/>
      <c r="QWG43" s="45"/>
      <c r="QWH43" s="45"/>
      <c r="QWI43" s="45"/>
      <c r="QWJ43" s="45"/>
      <c r="QWK43" s="45"/>
      <c r="QWL43" s="45"/>
      <c r="QWM43" s="45"/>
      <c r="QWN43" s="45"/>
      <c r="QWO43" s="45"/>
      <c r="QWP43" s="45"/>
      <c r="QWQ43" s="45"/>
      <c r="QWR43" s="45"/>
      <c r="QWS43" s="45"/>
      <c r="QWT43" s="45"/>
      <c r="QWU43" s="45"/>
      <c r="QWV43" s="45"/>
      <c r="QWW43" s="45"/>
      <c r="QWX43" s="45"/>
      <c r="QWY43" s="45"/>
      <c r="QWZ43" s="45"/>
      <c r="QXA43" s="45"/>
      <c r="QXB43" s="45"/>
      <c r="QXC43" s="45"/>
      <c r="QXD43" s="45"/>
      <c r="QXE43" s="45"/>
      <c r="QXF43" s="45"/>
      <c r="QXG43" s="45"/>
      <c r="QXH43" s="45"/>
      <c r="QXI43" s="45"/>
      <c r="QXJ43" s="45"/>
      <c r="QXK43" s="45"/>
      <c r="QXL43" s="45"/>
      <c r="QXM43" s="45"/>
      <c r="QXN43" s="45"/>
      <c r="QXO43" s="45"/>
      <c r="QXP43" s="45"/>
      <c r="QXQ43" s="45"/>
      <c r="QXR43" s="45"/>
      <c r="QXS43" s="45"/>
      <c r="QXT43" s="45"/>
      <c r="QXU43" s="45"/>
      <c r="QXV43" s="45"/>
      <c r="QXW43" s="45"/>
      <c r="QXX43" s="45"/>
      <c r="QXY43" s="45"/>
      <c r="QXZ43" s="45"/>
      <c r="QYA43" s="45"/>
      <c r="QYB43" s="45"/>
      <c r="QYC43" s="45"/>
      <c r="QYD43" s="45"/>
      <c r="QYE43" s="45"/>
      <c r="QYF43" s="45"/>
      <c r="QYG43" s="45"/>
      <c r="QYH43" s="45"/>
      <c r="QYI43" s="45"/>
      <c r="QYJ43" s="45"/>
      <c r="QYK43" s="45"/>
      <c r="QYL43" s="45"/>
      <c r="QYM43" s="45"/>
      <c r="QYN43" s="45"/>
      <c r="QYO43" s="45"/>
      <c r="QYP43" s="45"/>
      <c r="QYQ43" s="45"/>
      <c r="QYR43" s="45"/>
      <c r="QYS43" s="45"/>
      <c r="QYT43" s="45"/>
      <c r="QYU43" s="45"/>
      <c r="QYV43" s="45"/>
      <c r="QYW43" s="45"/>
      <c r="QYX43" s="45"/>
      <c r="QYY43" s="45"/>
      <c r="QYZ43" s="45"/>
      <c r="QZA43" s="45"/>
      <c r="QZB43" s="45"/>
      <c r="QZC43" s="45"/>
      <c r="QZD43" s="45"/>
      <c r="QZE43" s="45"/>
      <c r="QZF43" s="45"/>
      <c r="QZG43" s="45"/>
      <c r="QZH43" s="45"/>
      <c r="QZI43" s="45"/>
      <c r="QZJ43" s="45"/>
      <c r="QZK43" s="45"/>
      <c r="QZL43" s="45"/>
      <c r="QZM43" s="45"/>
      <c r="QZN43" s="45"/>
      <c r="QZO43" s="45"/>
      <c r="QZP43" s="45"/>
      <c r="QZQ43" s="45"/>
      <c r="QZR43" s="45"/>
      <c r="QZS43" s="45"/>
      <c r="QZT43" s="45"/>
      <c r="QZU43" s="45"/>
      <c r="QZV43" s="45"/>
      <c r="QZW43" s="45"/>
      <c r="QZX43" s="45"/>
      <c r="QZY43" s="45"/>
      <c r="QZZ43" s="45"/>
      <c r="RAA43" s="45"/>
      <c r="RAB43" s="45"/>
      <c r="RAC43" s="45"/>
      <c r="RAD43" s="45"/>
      <c r="RAE43" s="45"/>
      <c r="RAF43" s="45"/>
      <c r="RAG43" s="45"/>
      <c r="RAH43" s="45"/>
      <c r="RAI43" s="45"/>
      <c r="RAJ43" s="45"/>
      <c r="RAK43" s="45"/>
      <c r="RAL43" s="45"/>
      <c r="RAM43" s="45"/>
      <c r="RAN43" s="45"/>
      <c r="RAO43" s="45"/>
      <c r="RAP43" s="45"/>
      <c r="RAQ43" s="45"/>
      <c r="RAR43" s="45"/>
      <c r="RAS43" s="45"/>
      <c r="RAT43" s="45"/>
      <c r="RAU43" s="45"/>
      <c r="RAV43" s="45"/>
      <c r="RAW43" s="45"/>
      <c r="RAX43" s="45"/>
      <c r="RAY43" s="45"/>
      <c r="RAZ43" s="45"/>
      <c r="RBA43" s="45"/>
      <c r="RBB43" s="45"/>
      <c r="RBC43" s="45"/>
      <c r="RBD43" s="45"/>
      <c r="RBE43" s="45"/>
      <c r="RBF43" s="45"/>
      <c r="RBG43" s="45"/>
      <c r="RBH43" s="45"/>
      <c r="RBI43" s="45"/>
      <c r="RBJ43" s="45"/>
      <c r="RBK43" s="45"/>
      <c r="RBL43" s="45"/>
      <c r="RBM43" s="45"/>
      <c r="RBN43" s="45"/>
      <c r="RBO43" s="45"/>
      <c r="RBP43" s="45"/>
      <c r="RBQ43" s="45"/>
      <c r="RBR43" s="45"/>
      <c r="RBS43" s="45"/>
      <c r="RBT43" s="45"/>
      <c r="RBU43" s="45"/>
      <c r="RBV43" s="45"/>
      <c r="RBW43" s="45"/>
      <c r="RBX43" s="45"/>
      <c r="RBY43" s="45"/>
      <c r="RBZ43" s="45"/>
      <c r="RCA43" s="45"/>
      <c r="RCB43" s="45"/>
      <c r="RCC43" s="45"/>
      <c r="RCD43" s="45"/>
      <c r="RCE43" s="45"/>
      <c r="RCF43" s="45"/>
      <c r="RCG43" s="45"/>
      <c r="RCH43" s="45"/>
      <c r="RCI43" s="45"/>
      <c r="RCJ43" s="45"/>
      <c r="RCK43" s="45"/>
      <c r="RCL43" s="45"/>
      <c r="RCM43" s="45"/>
      <c r="RCN43" s="45"/>
      <c r="RCO43" s="45"/>
      <c r="RCP43" s="45"/>
      <c r="RCQ43" s="45"/>
      <c r="RCR43" s="45"/>
      <c r="RCS43" s="45"/>
      <c r="RCT43" s="45"/>
      <c r="RCU43" s="45"/>
      <c r="RCV43" s="45"/>
      <c r="RCW43" s="45"/>
      <c r="RCX43" s="45"/>
      <c r="RCY43" s="45"/>
      <c r="RCZ43" s="45"/>
      <c r="RDA43" s="45"/>
      <c r="RDB43" s="45"/>
      <c r="RDC43" s="45"/>
      <c r="RDD43" s="45"/>
      <c r="RDE43" s="45"/>
      <c r="RDF43" s="45"/>
      <c r="RDG43" s="45"/>
      <c r="RDH43" s="45"/>
      <c r="RDI43" s="45"/>
      <c r="RDJ43" s="45"/>
      <c r="RDK43" s="45"/>
      <c r="RDL43" s="45"/>
      <c r="RDM43" s="45"/>
      <c r="RDN43" s="45"/>
      <c r="RDO43" s="45"/>
      <c r="RDP43" s="45"/>
      <c r="RDQ43" s="45"/>
      <c r="RDR43" s="45"/>
      <c r="RDS43" s="45"/>
      <c r="RDT43" s="45"/>
      <c r="RDU43" s="45"/>
      <c r="RDV43" s="45"/>
      <c r="RDW43" s="45"/>
      <c r="RDX43" s="45"/>
      <c r="RDY43" s="45"/>
      <c r="RDZ43" s="45"/>
      <c r="REA43" s="45"/>
      <c r="REB43" s="45"/>
      <c r="REC43" s="45"/>
      <c r="RED43" s="45"/>
      <c r="REE43" s="45"/>
      <c r="REF43" s="45"/>
      <c r="REG43" s="45"/>
      <c r="REH43" s="45"/>
      <c r="REI43" s="45"/>
      <c r="REJ43" s="45"/>
      <c r="REK43" s="45"/>
      <c r="REL43" s="45"/>
      <c r="REM43" s="45"/>
      <c r="REN43" s="45"/>
      <c r="REO43" s="45"/>
      <c r="REP43" s="45"/>
      <c r="REQ43" s="45"/>
      <c r="RER43" s="45"/>
      <c r="RES43" s="45"/>
      <c r="RET43" s="45"/>
      <c r="REU43" s="45"/>
      <c r="REV43" s="45"/>
      <c r="REW43" s="45"/>
      <c r="REX43" s="45"/>
      <c r="REY43" s="45"/>
      <c r="REZ43" s="45"/>
      <c r="RFA43" s="45"/>
      <c r="RFB43" s="45"/>
      <c r="RFC43" s="45"/>
      <c r="RFD43" s="45"/>
      <c r="RFE43" s="45"/>
      <c r="RFF43" s="45"/>
      <c r="RFG43" s="45"/>
      <c r="RFH43" s="45"/>
      <c r="RFI43" s="45"/>
      <c r="RFJ43" s="45"/>
      <c r="RFK43" s="45"/>
      <c r="RFL43" s="45"/>
      <c r="RFM43" s="45"/>
      <c r="RFN43" s="45"/>
      <c r="RFO43" s="45"/>
      <c r="RFP43" s="45"/>
      <c r="RFQ43" s="45"/>
      <c r="RFR43" s="45"/>
      <c r="RFS43" s="45"/>
      <c r="RFT43" s="45"/>
      <c r="RFU43" s="45"/>
      <c r="RFV43" s="45"/>
      <c r="RFW43" s="45"/>
      <c r="RFX43" s="45"/>
      <c r="RFY43" s="45"/>
      <c r="RFZ43" s="45"/>
      <c r="RGA43" s="45"/>
      <c r="RGB43" s="45"/>
      <c r="RGC43" s="45"/>
      <c r="RGD43" s="45"/>
      <c r="RGE43" s="45"/>
      <c r="RGF43" s="45"/>
      <c r="RGG43" s="45"/>
      <c r="RGH43" s="45"/>
      <c r="RGI43" s="45"/>
      <c r="RGJ43" s="45"/>
      <c r="RGK43" s="45"/>
      <c r="RGL43" s="45"/>
      <c r="RGM43" s="45"/>
      <c r="RGN43" s="45"/>
      <c r="RGO43" s="45"/>
      <c r="RGP43" s="45"/>
      <c r="RGQ43" s="45"/>
      <c r="RGR43" s="45"/>
      <c r="RGS43" s="45"/>
      <c r="RGT43" s="45"/>
      <c r="RGU43" s="45"/>
      <c r="RGV43" s="45"/>
      <c r="RGW43" s="45"/>
      <c r="RGX43" s="45"/>
      <c r="RGY43" s="45"/>
      <c r="RGZ43" s="45"/>
      <c r="RHA43" s="45"/>
      <c r="RHB43" s="45"/>
      <c r="RHC43" s="45"/>
      <c r="RHD43" s="45"/>
      <c r="RHE43" s="45"/>
      <c r="RHF43" s="45"/>
      <c r="RHG43" s="45"/>
      <c r="RHH43" s="45"/>
      <c r="RHI43" s="45"/>
      <c r="RHJ43" s="45"/>
      <c r="RHK43" s="45"/>
      <c r="RHL43" s="45"/>
      <c r="RHM43" s="45"/>
      <c r="RHN43" s="45"/>
      <c r="RHO43" s="45"/>
      <c r="RHP43" s="45"/>
      <c r="RHQ43" s="45"/>
      <c r="RHR43" s="45"/>
      <c r="RHS43" s="45"/>
      <c r="RHT43" s="45"/>
      <c r="RHU43" s="45"/>
      <c r="RHV43" s="45"/>
      <c r="RHW43" s="45"/>
      <c r="RHX43" s="45"/>
      <c r="RHY43" s="45"/>
      <c r="RHZ43" s="45"/>
      <c r="RIA43" s="45"/>
      <c r="RIB43" s="45"/>
      <c r="RIC43" s="45"/>
      <c r="RID43" s="45"/>
      <c r="RIE43" s="45"/>
      <c r="RIF43" s="45"/>
      <c r="RIG43" s="45"/>
      <c r="RIH43" s="45"/>
      <c r="RII43" s="45"/>
      <c r="RIJ43" s="45"/>
      <c r="RIK43" s="45"/>
      <c r="RIL43" s="45"/>
      <c r="RIM43" s="45"/>
      <c r="RIN43" s="45"/>
      <c r="RIO43" s="45"/>
      <c r="RIP43" s="45"/>
      <c r="RIQ43" s="45"/>
      <c r="RIR43" s="45"/>
      <c r="RIS43" s="45"/>
      <c r="RIT43" s="45"/>
      <c r="RIU43" s="45"/>
      <c r="RIV43" s="45"/>
      <c r="RIW43" s="45"/>
      <c r="RIX43" s="45"/>
      <c r="RIY43" s="45"/>
      <c r="RIZ43" s="45"/>
      <c r="RJA43" s="45"/>
      <c r="RJB43" s="45"/>
      <c r="RJC43" s="45"/>
      <c r="RJD43" s="45"/>
      <c r="RJE43" s="45"/>
      <c r="RJF43" s="45"/>
      <c r="RJG43" s="45"/>
      <c r="RJH43" s="45"/>
      <c r="RJI43" s="45"/>
      <c r="RJJ43" s="45"/>
      <c r="RJK43" s="45"/>
      <c r="RJL43" s="45"/>
      <c r="RJM43" s="45"/>
      <c r="RJN43" s="45"/>
      <c r="RJO43" s="45"/>
      <c r="RJP43" s="45"/>
      <c r="RJQ43" s="45"/>
      <c r="RJR43" s="45"/>
      <c r="RJS43" s="45"/>
      <c r="RJT43" s="45"/>
      <c r="RJU43" s="45"/>
      <c r="RJV43" s="45"/>
      <c r="RJW43" s="45"/>
      <c r="RJX43" s="45"/>
      <c r="RJY43" s="45"/>
      <c r="RJZ43" s="45"/>
      <c r="RKA43" s="45"/>
      <c r="RKB43" s="45"/>
      <c r="RKC43" s="45"/>
      <c r="RKD43" s="45"/>
      <c r="RKE43" s="45"/>
      <c r="RKF43" s="45"/>
      <c r="RKG43" s="45"/>
      <c r="RKH43" s="45"/>
      <c r="RKI43" s="45"/>
      <c r="RKJ43" s="45"/>
      <c r="RKK43" s="45"/>
      <c r="RKL43" s="45"/>
      <c r="RKM43" s="45"/>
      <c r="RKN43" s="45"/>
      <c r="RKO43" s="45"/>
      <c r="RKP43" s="45"/>
      <c r="RKQ43" s="45"/>
      <c r="RKR43" s="45"/>
      <c r="RKS43" s="45"/>
      <c r="RKT43" s="45"/>
      <c r="RKU43" s="45"/>
      <c r="RKV43" s="45"/>
      <c r="RKW43" s="45"/>
      <c r="RKX43" s="45"/>
      <c r="RKY43" s="45"/>
      <c r="RKZ43" s="45"/>
      <c r="RLA43" s="45"/>
      <c r="RLB43" s="45"/>
      <c r="RLC43" s="45"/>
      <c r="RLD43" s="45"/>
      <c r="RLE43" s="45"/>
      <c r="RLF43" s="45"/>
      <c r="RLG43" s="45"/>
      <c r="RLH43" s="45"/>
      <c r="RLI43" s="45"/>
      <c r="RLJ43" s="45"/>
      <c r="RLK43" s="45"/>
      <c r="RLL43" s="45"/>
      <c r="RLM43" s="45"/>
      <c r="RLN43" s="45"/>
      <c r="RLO43" s="45"/>
      <c r="RLP43" s="45"/>
      <c r="RLQ43" s="45"/>
      <c r="RLR43" s="45"/>
      <c r="RLS43" s="45"/>
      <c r="RLT43" s="45"/>
      <c r="RLU43" s="45"/>
      <c r="RLV43" s="45"/>
      <c r="RLW43" s="45"/>
      <c r="RLX43" s="45"/>
      <c r="RLY43" s="45"/>
      <c r="RLZ43" s="45"/>
      <c r="RMA43" s="45"/>
      <c r="RMB43" s="45"/>
      <c r="RMC43" s="45"/>
      <c r="RMD43" s="45"/>
      <c r="RME43" s="45"/>
      <c r="RMF43" s="45"/>
      <c r="RMG43" s="45"/>
      <c r="RMH43" s="45"/>
      <c r="RMI43" s="45"/>
      <c r="RMJ43" s="45"/>
      <c r="RMK43" s="45"/>
      <c r="RML43" s="45"/>
      <c r="RMM43" s="45"/>
      <c r="RMN43" s="45"/>
      <c r="RMO43" s="45"/>
      <c r="RMP43" s="45"/>
      <c r="RMQ43" s="45"/>
      <c r="RMR43" s="45"/>
      <c r="RMS43" s="45"/>
      <c r="RMT43" s="45"/>
      <c r="RMU43" s="45"/>
      <c r="RMV43" s="45"/>
      <c r="RMW43" s="45"/>
      <c r="RMX43" s="45"/>
      <c r="RMY43" s="45"/>
      <c r="RMZ43" s="45"/>
      <c r="RNA43" s="45"/>
      <c r="RNB43" s="45"/>
      <c r="RNC43" s="45"/>
      <c r="RND43" s="45"/>
      <c r="RNE43" s="45"/>
      <c r="RNF43" s="45"/>
      <c r="RNG43" s="45"/>
      <c r="RNH43" s="45"/>
      <c r="RNI43" s="45"/>
      <c r="RNJ43" s="45"/>
      <c r="RNK43" s="45"/>
      <c r="RNL43" s="45"/>
      <c r="RNM43" s="45"/>
      <c r="RNN43" s="45"/>
      <c r="RNO43" s="45"/>
      <c r="RNP43" s="45"/>
      <c r="RNQ43" s="45"/>
      <c r="RNR43" s="45"/>
      <c r="RNS43" s="45"/>
      <c r="RNT43" s="45"/>
      <c r="RNU43" s="45"/>
      <c r="RNV43" s="45"/>
      <c r="RNW43" s="45"/>
      <c r="RNX43" s="45"/>
      <c r="RNY43" s="45"/>
      <c r="RNZ43" s="45"/>
      <c r="ROA43" s="45"/>
      <c r="ROB43" s="45"/>
      <c r="ROC43" s="45"/>
      <c r="ROD43" s="45"/>
      <c r="ROE43" s="45"/>
      <c r="ROF43" s="45"/>
      <c r="ROG43" s="45"/>
      <c r="ROH43" s="45"/>
      <c r="ROI43" s="45"/>
      <c r="ROJ43" s="45"/>
      <c r="ROK43" s="45"/>
      <c r="ROL43" s="45"/>
      <c r="ROM43" s="45"/>
      <c r="RON43" s="45"/>
      <c r="ROO43" s="45"/>
      <c r="ROP43" s="45"/>
      <c r="ROQ43" s="45"/>
      <c r="ROR43" s="45"/>
      <c r="ROS43" s="45"/>
      <c r="ROT43" s="45"/>
      <c r="ROU43" s="45"/>
      <c r="ROV43" s="45"/>
      <c r="ROW43" s="45"/>
      <c r="ROX43" s="45"/>
      <c r="ROY43" s="45"/>
      <c r="ROZ43" s="45"/>
      <c r="RPA43" s="45"/>
      <c r="RPB43" s="45"/>
      <c r="RPC43" s="45"/>
      <c r="RPD43" s="45"/>
      <c r="RPE43" s="45"/>
      <c r="RPF43" s="45"/>
      <c r="RPG43" s="45"/>
      <c r="RPH43" s="45"/>
      <c r="RPI43" s="45"/>
      <c r="RPJ43" s="45"/>
      <c r="RPK43" s="45"/>
      <c r="RPL43" s="45"/>
      <c r="RPM43" s="45"/>
      <c r="RPN43" s="45"/>
      <c r="RPO43" s="45"/>
      <c r="RPP43" s="45"/>
      <c r="RPQ43" s="45"/>
      <c r="RPR43" s="45"/>
      <c r="RPS43" s="45"/>
      <c r="RPT43" s="45"/>
      <c r="RPU43" s="45"/>
      <c r="RPV43" s="45"/>
      <c r="RPW43" s="45"/>
      <c r="RPX43" s="45"/>
      <c r="RPY43" s="45"/>
      <c r="RPZ43" s="45"/>
      <c r="RQA43" s="45"/>
      <c r="RQB43" s="45"/>
      <c r="RQC43" s="45"/>
      <c r="RQD43" s="45"/>
      <c r="RQE43" s="45"/>
      <c r="RQF43" s="45"/>
      <c r="RQG43" s="45"/>
      <c r="RQH43" s="45"/>
      <c r="RQI43" s="45"/>
      <c r="RQJ43" s="45"/>
      <c r="RQK43" s="45"/>
      <c r="RQL43" s="45"/>
      <c r="RQM43" s="45"/>
      <c r="RQN43" s="45"/>
      <c r="RQO43" s="45"/>
      <c r="RQP43" s="45"/>
      <c r="RQQ43" s="45"/>
      <c r="RQR43" s="45"/>
      <c r="RQS43" s="45"/>
      <c r="RQT43" s="45"/>
      <c r="RQU43" s="45"/>
      <c r="RQV43" s="45"/>
      <c r="RQW43" s="45"/>
      <c r="RQX43" s="45"/>
      <c r="RQY43" s="45"/>
      <c r="RQZ43" s="45"/>
      <c r="RRA43" s="45"/>
      <c r="RRB43" s="45"/>
      <c r="RRC43" s="45"/>
      <c r="RRD43" s="45"/>
      <c r="RRE43" s="45"/>
      <c r="RRF43" s="45"/>
      <c r="RRG43" s="45"/>
      <c r="RRH43" s="45"/>
      <c r="RRI43" s="45"/>
      <c r="RRJ43" s="45"/>
      <c r="RRK43" s="45"/>
      <c r="RRL43" s="45"/>
      <c r="RRM43" s="45"/>
      <c r="RRN43" s="45"/>
      <c r="RRO43" s="45"/>
      <c r="RRP43" s="45"/>
      <c r="RRQ43" s="45"/>
      <c r="RRR43" s="45"/>
      <c r="RRS43" s="45"/>
      <c r="RRT43" s="45"/>
      <c r="RRU43" s="45"/>
      <c r="RRV43" s="45"/>
      <c r="RRW43" s="45"/>
      <c r="RRX43" s="45"/>
      <c r="RRY43" s="45"/>
      <c r="RRZ43" s="45"/>
      <c r="RSA43" s="45"/>
      <c r="RSB43" s="45"/>
      <c r="RSC43" s="45"/>
      <c r="RSD43" s="45"/>
      <c r="RSE43" s="45"/>
      <c r="RSF43" s="45"/>
      <c r="RSG43" s="45"/>
      <c r="RSH43" s="45"/>
      <c r="RSI43" s="45"/>
      <c r="RSJ43" s="45"/>
      <c r="RSK43" s="45"/>
      <c r="RSL43" s="45"/>
      <c r="RSM43" s="45"/>
      <c r="RSN43" s="45"/>
      <c r="RSO43" s="45"/>
      <c r="RSP43" s="45"/>
      <c r="RSQ43" s="45"/>
      <c r="RSR43" s="45"/>
      <c r="RSS43" s="45"/>
      <c r="RST43" s="45"/>
      <c r="RSU43" s="45"/>
      <c r="RSV43" s="45"/>
      <c r="RSW43" s="45"/>
      <c r="RSX43" s="45"/>
      <c r="RSY43" s="45"/>
      <c r="RSZ43" s="45"/>
      <c r="RTA43" s="45"/>
      <c r="RTB43" s="45"/>
      <c r="RTC43" s="45"/>
      <c r="RTD43" s="45"/>
      <c r="RTE43" s="45"/>
      <c r="RTF43" s="45"/>
      <c r="RTG43" s="45"/>
      <c r="RTH43" s="45"/>
      <c r="RTI43" s="45"/>
      <c r="RTJ43" s="45"/>
      <c r="RTK43" s="45"/>
      <c r="RTL43" s="45"/>
      <c r="RTM43" s="45"/>
      <c r="RTN43" s="45"/>
      <c r="RTO43" s="45"/>
      <c r="RTP43" s="45"/>
      <c r="RTQ43" s="45"/>
      <c r="RTR43" s="45"/>
      <c r="RTS43" s="45"/>
      <c r="RTT43" s="45"/>
      <c r="RTU43" s="45"/>
      <c r="RTV43" s="45"/>
      <c r="RTW43" s="45"/>
      <c r="RTX43" s="45"/>
      <c r="RTY43" s="45"/>
      <c r="RTZ43" s="45"/>
      <c r="RUA43" s="45"/>
      <c r="RUB43" s="45"/>
      <c r="RUC43" s="45"/>
      <c r="RUD43" s="45"/>
      <c r="RUE43" s="45"/>
      <c r="RUF43" s="45"/>
      <c r="RUG43" s="45"/>
      <c r="RUH43" s="45"/>
      <c r="RUI43" s="45"/>
      <c r="RUJ43" s="45"/>
      <c r="RUK43" s="45"/>
      <c r="RUL43" s="45"/>
      <c r="RUM43" s="45"/>
      <c r="RUN43" s="45"/>
      <c r="RUO43" s="45"/>
      <c r="RUP43" s="45"/>
      <c r="RUQ43" s="45"/>
      <c r="RUR43" s="45"/>
      <c r="RUS43" s="45"/>
      <c r="RUT43" s="45"/>
      <c r="RUU43" s="45"/>
      <c r="RUV43" s="45"/>
      <c r="RUW43" s="45"/>
      <c r="RUX43" s="45"/>
      <c r="RUY43" s="45"/>
      <c r="RUZ43" s="45"/>
      <c r="RVA43" s="45"/>
      <c r="RVB43" s="45"/>
      <c r="RVC43" s="45"/>
      <c r="RVD43" s="45"/>
      <c r="RVE43" s="45"/>
      <c r="RVF43" s="45"/>
      <c r="RVG43" s="45"/>
      <c r="RVH43" s="45"/>
      <c r="RVI43" s="45"/>
      <c r="RVJ43" s="45"/>
      <c r="RVK43" s="45"/>
      <c r="RVL43" s="45"/>
      <c r="RVM43" s="45"/>
      <c r="RVN43" s="45"/>
      <c r="RVO43" s="45"/>
      <c r="RVP43" s="45"/>
      <c r="RVQ43" s="45"/>
      <c r="RVR43" s="45"/>
      <c r="RVS43" s="45"/>
      <c r="RVT43" s="45"/>
      <c r="RVU43" s="45"/>
      <c r="RVV43" s="45"/>
      <c r="RVW43" s="45"/>
      <c r="RVX43" s="45"/>
      <c r="RVY43" s="45"/>
      <c r="RVZ43" s="45"/>
      <c r="RWA43" s="45"/>
      <c r="RWB43" s="45"/>
      <c r="RWC43" s="45"/>
      <c r="RWD43" s="45"/>
      <c r="RWE43" s="45"/>
      <c r="RWF43" s="45"/>
      <c r="RWG43" s="45"/>
      <c r="RWH43" s="45"/>
      <c r="RWI43" s="45"/>
      <c r="RWJ43" s="45"/>
      <c r="RWK43" s="45"/>
      <c r="RWL43" s="45"/>
      <c r="RWM43" s="45"/>
      <c r="RWN43" s="45"/>
      <c r="RWO43" s="45"/>
      <c r="RWP43" s="45"/>
      <c r="RWQ43" s="45"/>
      <c r="RWR43" s="45"/>
      <c r="RWS43" s="45"/>
      <c r="RWT43" s="45"/>
      <c r="RWU43" s="45"/>
      <c r="RWV43" s="45"/>
      <c r="RWW43" s="45"/>
      <c r="RWX43" s="45"/>
      <c r="RWY43" s="45"/>
      <c r="RWZ43" s="45"/>
      <c r="RXA43" s="45"/>
      <c r="RXB43" s="45"/>
      <c r="RXC43" s="45"/>
      <c r="RXD43" s="45"/>
      <c r="RXE43" s="45"/>
      <c r="RXF43" s="45"/>
      <c r="RXG43" s="45"/>
      <c r="RXH43" s="45"/>
      <c r="RXI43" s="45"/>
      <c r="RXJ43" s="45"/>
      <c r="RXK43" s="45"/>
      <c r="RXL43" s="45"/>
      <c r="RXM43" s="45"/>
      <c r="RXN43" s="45"/>
      <c r="RXO43" s="45"/>
      <c r="RXP43" s="45"/>
      <c r="RXQ43" s="45"/>
      <c r="RXR43" s="45"/>
      <c r="RXS43" s="45"/>
      <c r="RXT43" s="45"/>
      <c r="RXU43" s="45"/>
      <c r="RXV43" s="45"/>
      <c r="RXW43" s="45"/>
      <c r="RXX43" s="45"/>
      <c r="RXY43" s="45"/>
      <c r="RXZ43" s="45"/>
      <c r="RYA43" s="45"/>
      <c r="RYB43" s="45"/>
      <c r="RYC43" s="45"/>
      <c r="RYD43" s="45"/>
      <c r="RYE43" s="45"/>
      <c r="RYF43" s="45"/>
      <c r="RYG43" s="45"/>
      <c r="RYH43" s="45"/>
      <c r="RYI43" s="45"/>
      <c r="RYJ43" s="45"/>
      <c r="RYK43" s="45"/>
      <c r="RYL43" s="45"/>
      <c r="RYM43" s="45"/>
      <c r="RYN43" s="45"/>
      <c r="RYO43" s="45"/>
      <c r="RYP43" s="45"/>
      <c r="RYQ43" s="45"/>
      <c r="RYR43" s="45"/>
      <c r="RYS43" s="45"/>
      <c r="RYT43" s="45"/>
      <c r="RYU43" s="45"/>
      <c r="RYV43" s="45"/>
      <c r="RYW43" s="45"/>
      <c r="RYX43" s="45"/>
      <c r="RYY43" s="45"/>
      <c r="RYZ43" s="45"/>
      <c r="RZA43" s="45"/>
      <c r="RZB43" s="45"/>
      <c r="RZC43" s="45"/>
      <c r="RZD43" s="45"/>
      <c r="RZE43" s="45"/>
      <c r="RZF43" s="45"/>
      <c r="RZG43" s="45"/>
      <c r="RZH43" s="45"/>
      <c r="RZI43" s="45"/>
      <c r="RZJ43" s="45"/>
      <c r="RZK43" s="45"/>
      <c r="RZL43" s="45"/>
      <c r="RZM43" s="45"/>
      <c r="RZN43" s="45"/>
      <c r="RZO43" s="45"/>
      <c r="RZP43" s="45"/>
      <c r="RZQ43" s="45"/>
      <c r="RZR43" s="45"/>
      <c r="RZS43" s="45"/>
      <c r="RZT43" s="45"/>
      <c r="RZU43" s="45"/>
      <c r="RZV43" s="45"/>
      <c r="RZW43" s="45"/>
      <c r="RZX43" s="45"/>
      <c r="RZY43" s="45"/>
      <c r="RZZ43" s="45"/>
      <c r="SAA43" s="45"/>
      <c r="SAB43" s="45"/>
      <c r="SAC43" s="45"/>
      <c r="SAD43" s="45"/>
      <c r="SAE43" s="45"/>
      <c r="SAF43" s="45"/>
      <c r="SAG43" s="45"/>
      <c r="SAH43" s="45"/>
      <c r="SAI43" s="45"/>
      <c r="SAJ43" s="45"/>
      <c r="SAK43" s="45"/>
      <c r="SAL43" s="45"/>
      <c r="SAM43" s="45"/>
      <c r="SAN43" s="45"/>
      <c r="SAO43" s="45"/>
      <c r="SAP43" s="45"/>
      <c r="SAQ43" s="45"/>
      <c r="SAR43" s="45"/>
      <c r="SAS43" s="45"/>
      <c r="SAT43" s="45"/>
      <c r="SAU43" s="45"/>
      <c r="SAV43" s="45"/>
      <c r="SAW43" s="45"/>
      <c r="SAX43" s="45"/>
      <c r="SAY43" s="45"/>
      <c r="SAZ43" s="45"/>
      <c r="SBA43" s="45"/>
      <c r="SBB43" s="45"/>
      <c r="SBC43" s="45"/>
      <c r="SBD43" s="45"/>
      <c r="SBE43" s="45"/>
      <c r="SBF43" s="45"/>
      <c r="SBG43" s="45"/>
      <c r="SBH43" s="45"/>
      <c r="SBI43" s="45"/>
      <c r="SBJ43" s="45"/>
      <c r="SBK43" s="45"/>
      <c r="SBL43" s="45"/>
      <c r="SBM43" s="45"/>
      <c r="SBN43" s="45"/>
      <c r="SBO43" s="45"/>
      <c r="SBP43" s="45"/>
      <c r="SBQ43" s="45"/>
      <c r="SBR43" s="45"/>
      <c r="SBS43" s="45"/>
      <c r="SBT43" s="45"/>
      <c r="SBU43" s="45"/>
      <c r="SBV43" s="45"/>
      <c r="SBW43" s="45"/>
      <c r="SBX43" s="45"/>
      <c r="SBY43" s="45"/>
      <c r="SBZ43" s="45"/>
      <c r="SCA43" s="45"/>
      <c r="SCB43" s="45"/>
      <c r="SCC43" s="45"/>
      <c r="SCD43" s="45"/>
      <c r="SCE43" s="45"/>
      <c r="SCF43" s="45"/>
      <c r="SCG43" s="45"/>
      <c r="SCH43" s="45"/>
      <c r="SCI43" s="45"/>
      <c r="SCJ43" s="45"/>
      <c r="SCK43" s="45"/>
      <c r="SCL43" s="45"/>
      <c r="SCM43" s="45"/>
      <c r="SCN43" s="45"/>
      <c r="SCO43" s="45"/>
      <c r="SCP43" s="45"/>
      <c r="SCQ43" s="45"/>
      <c r="SCR43" s="45"/>
      <c r="SCS43" s="45"/>
      <c r="SCT43" s="45"/>
      <c r="SCU43" s="45"/>
      <c r="SCV43" s="45"/>
      <c r="SCW43" s="45"/>
      <c r="SCX43" s="45"/>
      <c r="SCY43" s="45"/>
      <c r="SCZ43" s="45"/>
      <c r="SDA43" s="45"/>
      <c r="SDB43" s="45"/>
      <c r="SDC43" s="45"/>
      <c r="SDD43" s="45"/>
      <c r="SDE43" s="45"/>
      <c r="SDF43" s="45"/>
      <c r="SDG43" s="45"/>
      <c r="SDH43" s="45"/>
      <c r="SDI43" s="45"/>
      <c r="SDJ43" s="45"/>
      <c r="SDK43" s="45"/>
      <c r="SDL43" s="45"/>
      <c r="SDM43" s="45"/>
      <c r="SDN43" s="45"/>
      <c r="SDO43" s="45"/>
      <c r="SDP43" s="45"/>
      <c r="SDQ43" s="45"/>
      <c r="SDR43" s="45"/>
      <c r="SDS43" s="45"/>
      <c r="SDT43" s="45"/>
      <c r="SDU43" s="45"/>
      <c r="SDV43" s="45"/>
      <c r="SDW43" s="45"/>
      <c r="SDX43" s="45"/>
      <c r="SDY43" s="45"/>
      <c r="SDZ43" s="45"/>
      <c r="SEA43" s="45"/>
      <c r="SEB43" s="45"/>
      <c r="SEC43" s="45"/>
      <c r="SED43" s="45"/>
      <c r="SEE43" s="45"/>
      <c r="SEF43" s="45"/>
      <c r="SEG43" s="45"/>
      <c r="SEH43" s="45"/>
      <c r="SEI43" s="45"/>
      <c r="SEJ43" s="45"/>
      <c r="SEK43" s="45"/>
      <c r="SEL43" s="45"/>
      <c r="SEM43" s="45"/>
      <c r="SEN43" s="45"/>
      <c r="SEO43" s="45"/>
      <c r="SEP43" s="45"/>
      <c r="SEQ43" s="45"/>
      <c r="SER43" s="45"/>
      <c r="SES43" s="45"/>
      <c r="SET43" s="45"/>
      <c r="SEU43" s="45"/>
      <c r="SEV43" s="45"/>
      <c r="SEW43" s="45"/>
      <c r="SEX43" s="45"/>
      <c r="SEY43" s="45"/>
      <c r="SEZ43" s="45"/>
      <c r="SFA43" s="45"/>
      <c r="SFB43" s="45"/>
      <c r="SFC43" s="45"/>
      <c r="SFD43" s="45"/>
      <c r="SFE43" s="45"/>
      <c r="SFF43" s="45"/>
      <c r="SFG43" s="45"/>
      <c r="SFH43" s="45"/>
      <c r="SFI43" s="45"/>
      <c r="SFJ43" s="45"/>
      <c r="SFK43" s="45"/>
      <c r="SFL43" s="45"/>
      <c r="SFM43" s="45"/>
      <c r="SFN43" s="45"/>
      <c r="SFO43" s="45"/>
      <c r="SFP43" s="45"/>
      <c r="SFQ43" s="45"/>
      <c r="SFR43" s="45"/>
      <c r="SFS43" s="45"/>
      <c r="SFT43" s="45"/>
      <c r="SFU43" s="45"/>
      <c r="SFV43" s="45"/>
      <c r="SFW43" s="45"/>
      <c r="SFX43" s="45"/>
      <c r="SFY43" s="45"/>
      <c r="SFZ43" s="45"/>
      <c r="SGA43" s="45"/>
      <c r="SGB43" s="45"/>
      <c r="SGC43" s="45"/>
      <c r="SGD43" s="45"/>
      <c r="SGE43" s="45"/>
      <c r="SGF43" s="45"/>
      <c r="SGG43" s="45"/>
      <c r="SGH43" s="45"/>
      <c r="SGI43" s="45"/>
      <c r="SGJ43" s="45"/>
      <c r="SGK43" s="45"/>
      <c r="SGL43" s="45"/>
      <c r="SGM43" s="45"/>
      <c r="SGN43" s="45"/>
      <c r="SGO43" s="45"/>
      <c r="SGP43" s="45"/>
      <c r="SGQ43" s="45"/>
      <c r="SGR43" s="45"/>
      <c r="SGS43" s="45"/>
      <c r="SGT43" s="45"/>
      <c r="SGU43" s="45"/>
      <c r="SGV43" s="45"/>
      <c r="SGW43" s="45"/>
      <c r="SGX43" s="45"/>
      <c r="SGY43" s="45"/>
      <c r="SGZ43" s="45"/>
      <c r="SHA43" s="45"/>
      <c r="SHB43" s="45"/>
      <c r="SHC43" s="45"/>
      <c r="SHD43" s="45"/>
      <c r="SHE43" s="45"/>
      <c r="SHF43" s="45"/>
      <c r="SHG43" s="45"/>
      <c r="SHH43" s="45"/>
      <c r="SHI43" s="45"/>
      <c r="SHJ43" s="45"/>
      <c r="SHK43" s="45"/>
      <c r="SHL43" s="45"/>
      <c r="SHM43" s="45"/>
      <c r="SHN43" s="45"/>
      <c r="SHO43" s="45"/>
      <c r="SHP43" s="45"/>
      <c r="SHQ43" s="45"/>
      <c r="SHR43" s="45"/>
      <c r="SHS43" s="45"/>
      <c r="SHT43" s="45"/>
      <c r="SHU43" s="45"/>
      <c r="SHV43" s="45"/>
      <c r="SHW43" s="45"/>
      <c r="SHX43" s="45"/>
      <c r="SHY43" s="45"/>
      <c r="SHZ43" s="45"/>
      <c r="SIA43" s="45"/>
      <c r="SIB43" s="45"/>
      <c r="SIC43" s="45"/>
      <c r="SID43" s="45"/>
      <c r="SIE43" s="45"/>
      <c r="SIF43" s="45"/>
      <c r="SIG43" s="45"/>
      <c r="SIH43" s="45"/>
      <c r="SII43" s="45"/>
      <c r="SIJ43" s="45"/>
      <c r="SIK43" s="45"/>
      <c r="SIL43" s="45"/>
      <c r="SIM43" s="45"/>
      <c r="SIN43" s="45"/>
      <c r="SIO43" s="45"/>
      <c r="SIP43" s="45"/>
      <c r="SIQ43" s="45"/>
      <c r="SIR43" s="45"/>
      <c r="SIS43" s="45"/>
      <c r="SIT43" s="45"/>
      <c r="SIU43" s="45"/>
      <c r="SIV43" s="45"/>
      <c r="SIW43" s="45"/>
      <c r="SIX43" s="45"/>
      <c r="SIY43" s="45"/>
      <c r="SIZ43" s="45"/>
      <c r="SJA43" s="45"/>
      <c r="SJB43" s="45"/>
      <c r="SJC43" s="45"/>
      <c r="SJD43" s="45"/>
      <c r="SJE43" s="45"/>
      <c r="SJF43" s="45"/>
      <c r="SJG43" s="45"/>
      <c r="SJH43" s="45"/>
      <c r="SJI43" s="45"/>
      <c r="SJJ43" s="45"/>
      <c r="SJK43" s="45"/>
      <c r="SJL43" s="45"/>
      <c r="SJM43" s="45"/>
      <c r="SJN43" s="45"/>
      <c r="SJO43" s="45"/>
      <c r="SJP43" s="45"/>
      <c r="SJQ43" s="45"/>
      <c r="SJR43" s="45"/>
      <c r="SJS43" s="45"/>
      <c r="SJT43" s="45"/>
      <c r="SJU43" s="45"/>
      <c r="SJV43" s="45"/>
      <c r="SJW43" s="45"/>
      <c r="SJX43" s="45"/>
      <c r="SJY43" s="45"/>
      <c r="SJZ43" s="45"/>
      <c r="SKA43" s="45"/>
      <c r="SKB43" s="45"/>
      <c r="SKC43" s="45"/>
      <c r="SKD43" s="45"/>
      <c r="SKE43" s="45"/>
      <c r="SKF43" s="45"/>
      <c r="SKG43" s="45"/>
      <c r="SKH43" s="45"/>
      <c r="SKI43" s="45"/>
      <c r="SKJ43" s="45"/>
      <c r="SKK43" s="45"/>
      <c r="SKL43" s="45"/>
      <c r="SKM43" s="45"/>
      <c r="SKN43" s="45"/>
      <c r="SKO43" s="45"/>
      <c r="SKP43" s="45"/>
      <c r="SKQ43" s="45"/>
      <c r="SKR43" s="45"/>
      <c r="SKS43" s="45"/>
      <c r="SKT43" s="45"/>
      <c r="SKU43" s="45"/>
      <c r="SKV43" s="45"/>
      <c r="SKW43" s="45"/>
      <c r="SKX43" s="45"/>
      <c r="SKY43" s="45"/>
      <c r="SKZ43" s="45"/>
      <c r="SLA43" s="45"/>
      <c r="SLB43" s="45"/>
      <c r="SLC43" s="45"/>
      <c r="SLD43" s="45"/>
      <c r="SLE43" s="45"/>
      <c r="SLF43" s="45"/>
      <c r="SLG43" s="45"/>
      <c r="SLH43" s="45"/>
      <c r="SLI43" s="45"/>
      <c r="SLJ43" s="45"/>
      <c r="SLK43" s="45"/>
      <c r="SLL43" s="45"/>
      <c r="SLM43" s="45"/>
      <c r="SLN43" s="45"/>
      <c r="SLO43" s="45"/>
      <c r="SLP43" s="45"/>
      <c r="SLQ43" s="45"/>
      <c r="SLR43" s="45"/>
      <c r="SLS43" s="45"/>
      <c r="SLT43" s="45"/>
      <c r="SLU43" s="45"/>
      <c r="SLV43" s="45"/>
      <c r="SLW43" s="45"/>
      <c r="SLX43" s="45"/>
      <c r="SLY43" s="45"/>
      <c r="SLZ43" s="45"/>
      <c r="SMA43" s="45"/>
      <c r="SMB43" s="45"/>
      <c r="SMC43" s="45"/>
      <c r="SMD43" s="45"/>
      <c r="SME43" s="45"/>
      <c r="SMF43" s="45"/>
      <c r="SMG43" s="45"/>
      <c r="SMH43" s="45"/>
      <c r="SMI43" s="45"/>
      <c r="SMJ43" s="45"/>
      <c r="SMK43" s="45"/>
      <c r="SML43" s="45"/>
      <c r="SMM43" s="45"/>
      <c r="SMN43" s="45"/>
      <c r="SMO43" s="45"/>
      <c r="SMP43" s="45"/>
      <c r="SMQ43" s="45"/>
      <c r="SMR43" s="45"/>
      <c r="SMS43" s="45"/>
      <c r="SMT43" s="45"/>
      <c r="SMU43" s="45"/>
      <c r="SMV43" s="45"/>
      <c r="SMW43" s="45"/>
      <c r="SMX43" s="45"/>
      <c r="SMY43" s="45"/>
      <c r="SMZ43" s="45"/>
      <c r="SNA43" s="45"/>
      <c r="SNB43" s="45"/>
      <c r="SNC43" s="45"/>
      <c r="SND43" s="45"/>
      <c r="SNE43" s="45"/>
      <c r="SNF43" s="45"/>
      <c r="SNG43" s="45"/>
      <c r="SNH43" s="45"/>
      <c r="SNI43" s="45"/>
      <c r="SNJ43" s="45"/>
      <c r="SNK43" s="45"/>
      <c r="SNL43" s="45"/>
      <c r="SNM43" s="45"/>
      <c r="SNN43" s="45"/>
      <c r="SNO43" s="45"/>
      <c r="SNP43" s="45"/>
      <c r="SNQ43" s="45"/>
      <c r="SNR43" s="45"/>
      <c r="SNS43" s="45"/>
      <c r="SNT43" s="45"/>
      <c r="SNU43" s="45"/>
      <c r="SNV43" s="45"/>
      <c r="SNW43" s="45"/>
      <c r="SNX43" s="45"/>
      <c r="SNY43" s="45"/>
      <c r="SNZ43" s="45"/>
      <c r="SOA43" s="45"/>
      <c r="SOB43" s="45"/>
      <c r="SOC43" s="45"/>
      <c r="SOD43" s="45"/>
      <c r="SOE43" s="45"/>
      <c r="SOF43" s="45"/>
      <c r="SOG43" s="45"/>
      <c r="SOH43" s="45"/>
      <c r="SOI43" s="45"/>
      <c r="SOJ43" s="45"/>
      <c r="SOK43" s="45"/>
      <c r="SOL43" s="45"/>
      <c r="SOM43" s="45"/>
      <c r="SON43" s="45"/>
      <c r="SOO43" s="45"/>
      <c r="SOP43" s="45"/>
      <c r="SOQ43" s="45"/>
      <c r="SOR43" s="45"/>
      <c r="SOS43" s="45"/>
      <c r="SOT43" s="45"/>
      <c r="SOU43" s="45"/>
      <c r="SOV43" s="45"/>
      <c r="SOW43" s="45"/>
      <c r="SOX43" s="45"/>
      <c r="SOY43" s="45"/>
      <c r="SOZ43" s="45"/>
      <c r="SPA43" s="45"/>
      <c r="SPB43" s="45"/>
      <c r="SPC43" s="45"/>
      <c r="SPD43" s="45"/>
      <c r="SPE43" s="45"/>
      <c r="SPF43" s="45"/>
      <c r="SPG43" s="45"/>
      <c r="SPH43" s="45"/>
      <c r="SPI43" s="45"/>
      <c r="SPJ43" s="45"/>
      <c r="SPK43" s="45"/>
      <c r="SPL43" s="45"/>
      <c r="SPM43" s="45"/>
      <c r="SPN43" s="45"/>
      <c r="SPO43" s="45"/>
      <c r="SPP43" s="45"/>
      <c r="SPQ43" s="45"/>
      <c r="SPR43" s="45"/>
      <c r="SPS43" s="45"/>
      <c r="SPT43" s="45"/>
      <c r="SPU43" s="45"/>
      <c r="SPV43" s="45"/>
      <c r="SPW43" s="45"/>
      <c r="SPX43" s="45"/>
      <c r="SPY43" s="45"/>
      <c r="SPZ43" s="45"/>
      <c r="SQA43" s="45"/>
      <c r="SQB43" s="45"/>
      <c r="SQC43" s="45"/>
      <c r="SQD43" s="45"/>
      <c r="SQE43" s="45"/>
      <c r="SQF43" s="45"/>
      <c r="SQG43" s="45"/>
      <c r="SQH43" s="45"/>
      <c r="SQI43" s="45"/>
      <c r="SQJ43" s="45"/>
      <c r="SQK43" s="45"/>
      <c r="SQL43" s="45"/>
      <c r="SQM43" s="45"/>
      <c r="SQN43" s="45"/>
      <c r="SQO43" s="45"/>
      <c r="SQP43" s="45"/>
      <c r="SQQ43" s="45"/>
      <c r="SQR43" s="45"/>
      <c r="SQS43" s="45"/>
      <c r="SQT43" s="45"/>
      <c r="SQU43" s="45"/>
      <c r="SQV43" s="45"/>
      <c r="SQW43" s="45"/>
      <c r="SQX43" s="45"/>
      <c r="SQY43" s="45"/>
      <c r="SQZ43" s="45"/>
      <c r="SRA43" s="45"/>
      <c r="SRB43" s="45"/>
      <c r="SRC43" s="45"/>
      <c r="SRD43" s="45"/>
      <c r="SRE43" s="45"/>
      <c r="SRF43" s="45"/>
      <c r="SRG43" s="45"/>
      <c r="SRH43" s="45"/>
      <c r="SRI43" s="45"/>
      <c r="SRJ43" s="45"/>
      <c r="SRK43" s="45"/>
      <c r="SRL43" s="45"/>
      <c r="SRM43" s="45"/>
      <c r="SRN43" s="45"/>
      <c r="SRO43" s="45"/>
      <c r="SRP43" s="45"/>
      <c r="SRQ43" s="45"/>
      <c r="SRR43" s="45"/>
      <c r="SRS43" s="45"/>
      <c r="SRT43" s="45"/>
      <c r="SRU43" s="45"/>
      <c r="SRV43" s="45"/>
      <c r="SRW43" s="45"/>
      <c r="SRX43" s="45"/>
      <c r="SRY43" s="45"/>
      <c r="SRZ43" s="45"/>
      <c r="SSA43" s="45"/>
      <c r="SSB43" s="45"/>
      <c r="SSC43" s="45"/>
      <c r="SSD43" s="45"/>
      <c r="SSE43" s="45"/>
      <c r="SSF43" s="45"/>
      <c r="SSG43" s="45"/>
      <c r="SSH43" s="45"/>
      <c r="SSI43" s="45"/>
      <c r="SSJ43" s="45"/>
      <c r="SSK43" s="45"/>
      <c r="SSL43" s="45"/>
      <c r="SSM43" s="45"/>
      <c r="SSN43" s="45"/>
      <c r="SSO43" s="45"/>
      <c r="SSP43" s="45"/>
      <c r="SSQ43" s="45"/>
      <c r="SSR43" s="45"/>
      <c r="SSS43" s="45"/>
      <c r="SST43" s="45"/>
      <c r="SSU43" s="45"/>
      <c r="SSV43" s="45"/>
      <c r="SSW43" s="45"/>
      <c r="SSX43" s="45"/>
      <c r="SSY43" s="45"/>
      <c r="SSZ43" s="45"/>
      <c r="STA43" s="45"/>
      <c r="STB43" s="45"/>
      <c r="STC43" s="45"/>
      <c r="STD43" s="45"/>
      <c r="STE43" s="45"/>
      <c r="STF43" s="45"/>
      <c r="STG43" s="45"/>
      <c r="STH43" s="45"/>
      <c r="STI43" s="45"/>
      <c r="STJ43" s="45"/>
      <c r="STK43" s="45"/>
      <c r="STL43" s="45"/>
      <c r="STM43" s="45"/>
      <c r="STN43" s="45"/>
      <c r="STO43" s="45"/>
      <c r="STP43" s="45"/>
      <c r="STQ43" s="45"/>
      <c r="STR43" s="45"/>
      <c r="STS43" s="45"/>
      <c r="STT43" s="45"/>
      <c r="STU43" s="45"/>
      <c r="STV43" s="45"/>
      <c r="STW43" s="45"/>
      <c r="STX43" s="45"/>
      <c r="STY43" s="45"/>
      <c r="STZ43" s="45"/>
      <c r="SUA43" s="45"/>
      <c r="SUB43" s="45"/>
      <c r="SUC43" s="45"/>
      <c r="SUD43" s="45"/>
      <c r="SUE43" s="45"/>
      <c r="SUF43" s="45"/>
      <c r="SUG43" s="45"/>
      <c r="SUH43" s="45"/>
      <c r="SUI43" s="45"/>
      <c r="SUJ43" s="45"/>
      <c r="SUK43" s="45"/>
      <c r="SUL43" s="45"/>
      <c r="SUM43" s="45"/>
      <c r="SUN43" s="45"/>
      <c r="SUO43" s="45"/>
      <c r="SUP43" s="45"/>
      <c r="SUQ43" s="45"/>
      <c r="SUR43" s="45"/>
      <c r="SUS43" s="45"/>
      <c r="SUT43" s="45"/>
      <c r="SUU43" s="45"/>
      <c r="SUV43" s="45"/>
      <c r="SUW43" s="45"/>
      <c r="SUX43" s="45"/>
      <c r="SUY43" s="45"/>
      <c r="SUZ43" s="45"/>
      <c r="SVA43" s="45"/>
      <c r="SVB43" s="45"/>
      <c r="SVC43" s="45"/>
      <c r="SVD43" s="45"/>
      <c r="SVE43" s="45"/>
      <c r="SVF43" s="45"/>
      <c r="SVG43" s="45"/>
      <c r="SVH43" s="45"/>
      <c r="SVI43" s="45"/>
      <c r="SVJ43" s="45"/>
      <c r="SVK43" s="45"/>
      <c r="SVL43" s="45"/>
      <c r="SVM43" s="45"/>
      <c r="SVN43" s="45"/>
      <c r="SVO43" s="45"/>
      <c r="SVP43" s="45"/>
      <c r="SVQ43" s="45"/>
      <c r="SVR43" s="45"/>
      <c r="SVS43" s="45"/>
      <c r="SVT43" s="45"/>
      <c r="SVU43" s="45"/>
      <c r="SVV43" s="45"/>
      <c r="SVW43" s="45"/>
      <c r="SVX43" s="45"/>
      <c r="SVY43" s="45"/>
      <c r="SVZ43" s="45"/>
      <c r="SWA43" s="45"/>
      <c r="SWB43" s="45"/>
      <c r="SWC43" s="45"/>
      <c r="SWD43" s="45"/>
      <c r="SWE43" s="45"/>
      <c r="SWF43" s="45"/>
      <c r="SWG43" s="45"/>
      <c r="SWH43" s="45"/>
      <c r="SWI43" s="45"/>
      <c r="SWJ43" s="45"/>
      <c r="SWK43" s="45"/>
      <c r="SWL43" s="45"/>
      <c r="SWM43" s="45"/>
      <c r="SWN43" s="45"/>
      <c r="SWO43" s="45"/>
      <c r="SWP43" s="45"/>
      <c r="SWQ43" s="45"/>
      <c r="SWR43" s="45"/>
      <c r="SWS43" s="45"/>
      <c r="SWT43" s="45"/>
      <c r="SWU43" s="45"/>
      <c r="SWV43" s="45"/>
      <c r="SWW43" s="45"/>
      <c r="SWX43" s="45"/>
      <c r="SWY43" s="45"/>
      <c r="SWZ43" s="45"/>
      <c r="SXA43" s="45"/>
      <c r="SXB43" s="45"/>
      <c r="SXC43" s="45"/>
      <c r="SXD43" s="45"/>
      <c r="SXE43" s="45"/>
      <c r="SXF43" s="45"/>
      <c r="SXG43" s="45"/>
      <c r="SXH43" s="45"/>
      <c r="SXI43" s="45"/>
      <c r="SXJ43" s="45"/>
      <c r="SXK43" s="45"/>
      <c r="SXL43" s="45"/>
      <c r="SXM43" s="45"/>
      <c r="SXN43" s="45"/>
      <c r="SXO43" s="45"/>
      <c r="SXP43" s="45"/>
      <c r="SXQ43" s="45"/>
      <c r="SXR43" s="45"/>
      <c r="SXS43" s="45"/>
      <c r="SXT43" s="45"/>
      <c r="SXU43" s="45"/>
      <c r="SXV43" s="45"/>
      <c r="SXW43" s="45"/>
      <c r="SXX43" s="45"/>
      <c r="SXY43" s="45"/>
      <c r="SXZ43" s="45"/>
      <c r="SYA43" s="45"/>
      <c r="SYB43" s="45"/>
      <c r="SYC43" s="45"/>
      <c r="SYD43" s="45"/>
      <c r="SYE43" s="45"/>
      <c r="SYF43" s="45"/>
      <c r="SYG43" s="45"/>
      <c r="SYH43" s="45"/>
      <c r="SYI43" s="45"/>
      <c r="SYJ43" s="45"/>
      <c r="SYK43" s="45"/>
      <c r="SYL43" s="45"/>
      <c r="SYM43" s="45"/>
      <c r="SYN43" s="45"/>
      <c r="SYO43" s="45"/>
      <c r="SYP43" s="45"/>
      <c r="SYQ43" s="45"/>
      <c r="SYR43" s="45"/>
      <c r="SYS43" s="45"/>
      <c r="SYT43" s="45"/>
      <c r="SYU43" s="45"/>
      <c r="SYV43" s="45"/>
      <c r="SYW43" s="45"/>
      <c r="SYX43" s="45"/>
      <c r="SYY43" s="45"/>
      <c r="SYZ43" s="45"/>
      <c r="SZA43" s="45"/>
      <c r="SZB43" s="45"/>
      <c r="SZC43" s="45"/>
      <c r="SZD43" s="45"/>
      <c r="SZE43" s="45"/>
      <c r="SZF43" s="45"/>
      <c r="SZG43" s="45"/>
      <c r="SZH43" s="45"/>
      <c r="SZI43" s="45"/>
      <c r="SZJ43" s="45"/>
      <c r="SZK43" s="45"/>
      <c r="SZL43" s="45"/>
      <c r="SZM43" s="45"/>
      <c r="SZN43" s="45"/>
      <c r="SZO43" s="45"/>
      <c r="SZP43" s="45"/>
      <c r="SZQ43" s="45"/>
      <c r="SZR43" s="45"/>
      <c r="SZS43" s="45"/>
      <c r="SZT43" s="45"/>
      <c r="SZU43" s="45"/>
      <c r="SZV43" s="45"/>
      <c r="SZW43" s="45"/>
      <c r="SZX43" s="45"/>
      <c r="SZY43" s="45"/>
      <c r="SZZ43" s="45"/>
      <c r="TAA43" s="45"/>
      <c r="TAB43" s="45"/>
      <c r="TAC43" s="45"/>
      <c r="TAD43" s="45"/>
      <c r="TAE43" s="45"/>
      <c r="TAF43" s="45"/>
      <c r="TAG43" s="45"/>
      <c r="TAH43" s="45"/>
      <c r="TAI43" s="45"/>
      <c r="TAJ43" s="45"/>
      <c r="TAK43" s="45"/>
      <c r="TAL43" s="45"/>
      <c r="TAM43" s="45"/>
      <c r="TAN43" s="45"/>
      <c r="TAO43" s="45"/>
      <c r="TAP43" s="45"/>
      <c r="TAQ43" s="45"/>
      <c r="TAR43" s="45"/>
      <c r="TAS43" s="45"/>
      <c r="TAT43" s="45"/>
      <c r="TAU43" s="45"/>
      <c r="TAV43" s="45"/>
      <c r="TAW43" s="45"/>
      <c r="TAX43" s="45"/>
      <c r="TAY43" s="45"/>
      <c r="TAZ43" s="45"/>
      <c r="TBA43" s="45"/>
      <c r="TBB43" s="45"/>
      <c r="TBC43" s="45"/>
      <c r="TBD43" s="45"/>
      <c r="TBE43" s="45"/>
      <c r="TBF43" s="45"/>
      <c r="TBG43" s="45"/>
      <c r="TBH43" s="45"/>
      <c r="TBI43" s="45"/>
      <c r="TBJ43" s="45"/>
      <c r="TBK43" s="45"/>
      <c r="TBL43" s="45"/>
      <c r="TBM43" s="45"/>
      <c r="TBN43" s="45"/>
      <c r="TBO43" s="45"/>
      <c r="TBP43" s="45"/>
      <c r="TBQ43" s="45"/>
      <c r="TBR43" s="45"/>
      <c r="TBS43" s="45"/>
      <c r="TBT43" s="45"/>
      <c r="TBU43" s="45"/>
      <c r="TBV43" s="45"/>
      <c r="TBW43" s="45"/>
      <c r="TBX43" s="45"/>
      <c r="TBY43" s="45"/>
      <c r="TBZ43" s="45"/>
      <c r="TCA43" s="45"/>
      <c r="TCB43" s="45"/>
      <c r="TCC43" s="45"/>
      <c r="TCD43" s="45"/>
      <c r="TCE43" s="45"/>
      <c r="TCF43" s="45"/>
      <c r="TCG43" s="45"/>
      <c r="TCH43" s="45"/>
      <c r="TCI43" s="45"/>
      <c r="TCJ43" s="45"/>
      <c r="TCK43" s="45"/>
      <c r="TCL43" s="45"/>
      <c r="TCM43" s="45"/>
      <c r="TCN43" s="45"/>
      <c r="TCO43" s="45"/>
      <c r="TCP43" s="45"/>
      <c r="TCQ43" s="45"/>
      <c r="TCR43" s="45"/>
      <c r="TCS43" s="45"/>
      <c r="TCT43" s="45"/>
      <c r="TCU43" s="45"/>
      <c r="TCV43" s="45"/>
      <c r="TCW43" s="45"/>
      <c r="TCX43" s="45"/>
      <c r="TCY43" s="45"/>
      <c r="TCZ43" s="45"/>
      <c r="TDA43" s="45"/>
      <c r="TDB43" s="45"/>
      <c r="TDC43" s="45"/>
      <c r="TDD43" s="45"/>
      <c r="TDE43" s="45"/>
      <c r="TDF43" s="45"/>
      <c r="TDG43" s="45"/>
      <c r="TDH43" s="45"/>
      <c r="TDI43" s="45"/>
      <c r="TDJ43" s="45"/>
      <c r="TDK43" s="45"/>
      <c r="TDL43" s="45"/>
      <c r="TDM43" s="45"/>
      <c r="TDN43" s="45"/>
      <c r="TDO43" s="45"/>
      <c r="TDP43" s="45"/>
      <c r="TDQ43" s="45"/>
      <c r="TDR43" s="45"/>
      <c r="TDS43" s="45"/>
      <c r="TDT43" s="45"/>
      <c r="TDU43" s="45"/>
      <c r="TDV43" s="45"/>
      <c r="TDW43" s="45"/>
      <c r="TDX43" s="45"/>
      <c r="TDY43" s="45"/>
      <c r="TDZ43" s="45"/>
      <c r="TEA43" s="45"/>
      <c r="TEB43" s="45"/>
      <c r="TEC43" s="45"/>
      <c r="TED43" s="45"/>
      <c r="TEE43" s="45"/>
      <c r="TEF43" s="45"/>
      <c r="TEG43" s="45"/>
      <c r="TEH43" s="45"/>
      <c r="TEI43" s="45"/>
      <c r="TEJ43" s="45"/>
      <c r="TEK43" s="45"/>
      <c r="TEL43" s="45"/>
      <c r="TEM43" s="45"/>
      <c r="TEN43" s="45"/>
      <c r="TEO43" s="45"/>
      <c r="TEP43" s="45"/>
      <c r="TEQ43" s="45"/>
      <c r="TER43" s="45"/>
      <c r="TES43" s="45"/>
      <c r="TET43" s="45"/>
      <c r="TEU43" s="45"/>
      <c r="TEV43" s="45"/>
      <c r="TEW43" s="45"/>
      <c r="TEX43" s="45"/>
      <c r="TEY43" s="45"/>
      <c r="TEZ43" s="45"/>
      <c r="TFA43" s="45"/>
      <c r="TFB43" s="45"/>
      <c r="TFC43" s="45"/>
      <c r="TFD43" s="45"/>
      <c r="TFE43" s="45"/>
      <c r="TFF43" s="45"/>
      <c r="TFG43" s="45"/>
      <c r="TFH43" s="45"/>
      <c r="TFI43" s="45"/>
      <c r="TFJ43" s="45"/>
      <c r="TFK43" s="45"/>
      <c r="TFL43" s="45"/>
      <c r="TFM43" s="45"/>
      <c r="TFN43" s="45"/>
      <c r="TFO43" s="45"/>
      <c r="TFP43" s="45"/>
      <c r="TFQ43" s="45"/>
      <c r="TFR43" s="45"/>
      <c r="TFS43" s="45"/>
      <c r="TFT43" s="45"/>
      <c r="TFU43" s="45"/>
      <c r="TFV43" s="45"/>
      <c r="TFW43" s="45"/>
      <c r="TFX43" s="45"/>
      <c r="TFY43" s="45"/>
      <c r="TFZ43" s="45"/>
      <c r="TGA43" s="45"/>
      <c r="TGB43" s="45"/>
      <c r="TGC43" s="45"/>
      <c r="TGD43" s="45"/>
      <c r="TGE43" s="45"/>
      <c r="TGF43" s="45"/>
      <c r="TGG43" s="45"/>
      <c r="TGH43" s="45"/>
      <c r="TGI43" s="45"/>
      <c r="TGJ43" s="45"/>
      <c r="TGK43" s="45"/>
      <c r="TGL43" s="45"/>
      <c r="TGM43" s="45"/>
      <c r="TGN43" s="45"/>
      <c r="TGO43" s="45"/>
      <c r="TGP43" s="45"/>
      <c r="TGQ43" s="45"/>
      <c r="TGR43" s="45"/>
      <c r="TGS43" s="45"/>
      <c r="TGT43" s="45"/>
      <c r="TGU43" s="45"/>
      <c r="TGV43" s="45"/>
      <c r="TGW43" s="45"/>
      <c r="TGX43" s="45"/>
      <c r="TGY43" s="45"/>
      <c r="TGZ43" s="45"/>
      <c r="THA43" s="45"/>
      <c r="THB43" s="45"/>
      <c r="THC43" s="45"/>
      <c r="THD43" s="45"/>
      <c r="THE43" s="45"/>
      <c r="THF43" s="45"/>
      <c r="THG43" s="45"/>
      <c r="THH43" s="45"/>
      <c r="THI43" s="45"/>
      <c r="THJ43" s="45"/>
      <c r="THK43" s="45"/>
      <c r="THL43" s="45"/>
      <c r="THM43" s="45"/>
      <c r="THN43" s="45"/>
      <c r="THO43" s="45"/>
      <c r="THP43" s="45"/>
      <c r="THQ43" s="45"/>
      <c r="THR43" s="45"/>
      <c r="THS43" s="45"/>
      <c r="THT43" s="45"/>
      <c r="THU43" s="45"/>
      <c r="THV43" s="45"/>
      <c r="THW43" s="45"/>
      <c r="THX43" s="45"/>
      <c r="THY43" s="45"/>
      <c r="THZ43" s="45"/>
      <c r="TIA43" s="45"/>
      <c r="TIB43" s="45"/>
      <c r="TIC43" s="45"/>
      <c r="TID43" s="45"/>
      <c r="TIE43" s="45"/>
      <c r="TIF43" s="45"/>
      <c r="TIG43" s="45"/>
      <c r="TIH43" s="45"/>
      <c r="TII43" s="45"/>
      <c r="TIJ43" s="45"/>
      <c r="TIK43" s="45"/>
      <c r="TIL43" s="45"/>
      <c r="TIM43" s="45"/>
      <c r="TIN43" s="45"/>
      <c r="TIO43" s="45"/>
      <c r="TIP43" s="45"/>
      <c r="TIQ43" s="45"/>
      <c r="TIR43" s="45"/>
      <c r="TIS43" s="45"/>
      <c r="TIT43" s="45"/>
      <c r="TIU43" s="45"/>
      <c r="TIV43" s="45"/>
      <c r="TIW43" s="45"/>
      <c r="TIX43" s="45"/>
      <c r="TIY43" s="45"/>
      <c r="TIZ43" s="45"/>
      <c r="TJA43" s="45"/>
      <c r="TJB43" s="45"/>
      <c r="TJC43" s="45"/>
      <c r="TJD43" s="45"/>
      <c r="TJE43" s="45"/>
      <c r="TJF43" s="45"/>
      <c r="TJG43" s="45"/>
      <c r="TJH43" s="45"/>
      <c r="TJI43" s="45"/>
      <c r="TJJ43" s="45"/>
      <c r="TJK43" s="45"/>
      <c r="TJL43" s="45"/>
      <c r="TJM43" s="45"/>
      <c r="TJN43" s="45"/>
      <c r="TJO43" s="45"/>
      <c r="TJP43" s="45"/>
      <c r="TJQ43" s="45"/>
      <c r="TJR43" s="45"/>
      <c r="TJS43" s="45"/>
      <c r="TJT43" s="45"/>
      <c r="TJU43" s="45"/>
      <c r="TJV43" s="45"/>
      <c r="TJW43" s="45"/>
      <c r="TJX43" s="45"/>
      <c r="TJY43" s="45"/>
      <c r="TJZ43" s="45"/>
      <c r="TKA43" s="45"/>
      <c r="TKB43" s="45"/>
      <c r="TKC43" s="45"/>
      <c r="TKD43" s="45"/>
      <c r="TKE43" s="45"/>
      <c r="TKF43" s="45"/>
      <c r="TKG43" s="45"/>
      <c r="TKH43" s="45"/>
      <c r="TKI43" s="45"/>
      <c r="TKJ43" s="45"/>
      <c r="TKK43" s="45"/>
      <c r="TKL43" s="45"/>
      <c r="TKM43" s="45"/>
      <c r="TKN43" s="45"/>
      <c r="TKO43" s="45"/>
      <c r="TKP43" s="45"/>
      <c r="TKQ43" s="45"/>
      <c r="TKR43" s="45"/>
      <c r="TKS43" s="45"/>
      <c r="TKT43" s="45"/>
      <c r="TKU43" s="45"/>
      <c r="TKV43" s="45"/>
      <c r="TKW43" s="45"/>
      <c r="TKX43" s="45"/>
      <c r="TKY43" s="45"/>
      <c r="TKZ43" s="45"/>
      <c r="TLA43" s="45"/>
      <c r="TLB43" s="45"/>
      <c r="TLC43" s="45"/>
      <c r="TLD43" s="45"/>
      <c r="TLE43" s="45"/>
      <c r="TLF43" s="45"/>
      <c r="TLG43" s="45"/>
      <c r="TLH43" s="45"/>
      <c r="TLI43" s="45"/>
      <c r="TLJ43" s="45"/>
      <c r="TLK43" s="45"/>
      <c r="TLL43" s="45"/>
      <c r="TLM43" s="45"/>
      <c r="TLN43" s="45"/>
      <c r="TLO43" s="45"/>
      <c r="TLP43" s="45"/>
      <c r="TLQ43" s="45"/>
      <c r="TLR43" s="45"/>
      <c r="TLS43" s="45"/>
      <c r="TLT43" s="45"/>
      <c r="TLU43" s="45"/>
      <c r="TLV43" s="45"/>
      <c r="TLW43" s="45"/>
      <c r="TLX43" s="45"/>
      <c r="TLY43" s="45"/>
      <c r="TLZ43" s="45"/>
      <c r="TMA43" s="45"/>
      <c r="TMB43" s="45"/>
      <c r="TMC43" s="45"/>
      <c r="TMD43" s="45"/>
      <c r="TME43" s="45"/>
      <c r="TMF43" s="45"/>
      <c r="TMG43" s="45"/>
      <c r="TMH43" s="45"/>
      <c r="TMI43" s="45"/>
      <c r="TMJ43" s="45"/>
      <c r="TMK43" s="45"/>
      <c r="TML43" s="45"/>
      <c r="TMM43" s="45"/>
      <c r="TMN43" s="45"/>
      <c r="TMO43" s="45"/>
      <c r="TMP43" s="45"/>
      <c r="TMQ43" s="45"/>
      <c r="TMR43" s="45"/>
      <c r="TMS43" s="45"/>
      <c r="TMT43" s="45"/>
      <c r="TMU43" s="45"/>
      <c r="TMV43" s="45"/>
      <c r="TMW43" s="45"/>
      <c r="TMX43" s="45"/>
      <c r="TMY43" s="45"/>
      <c r="TMZ43" s="45"/>
      <c r="TNA43" s="45"/>
      <c r="TNB43" s="45"/>
      <c r="TNC43" s="45"/>
      <c r="TND43" s="45"/>
      <c r="TNE43" s="45"/>
      <c r="TNF43" s="45"/>
      <c r="TNG43" s="45"/>
      <c r="TNH43" s="45"/>
      <c r="TNI43" s="45"/>
      <c r="TNJ43" s="45"/>
      <c r="TNK43" s="45"/>
      <c r="TNL43" s="45"/>
      <c r="TNM43" s="45"/>
      <c r="TNN43" s="45"/>
      <c r="TNO43" s="45"/>
      <c r="TNP43" s="45"/>
      <c r="TNQ43" s="45"/>
      <c r="TNR43" s="45"/>
      <c r="TNS43" s="45"/>
      <c r="TNT43" s="45"/>
      <c r="TNU43" s="45"/>
      <c r="TNV43" s="45"/>
      <c r="TNW43" s="45"/>
      <c r="TNX43" s="45"/>
      <c r="TNY43" s="45"/>
      <c r="TNZ43" s="45"/>
      <c r="TOA43" s="45"/>
      <c r="TOB43" s="45"/>
      <c r="TOC43" s="45"/>
      <c r="TOD43" s="45"/>
      <c r="TOE43" s="45"/>
      <c r="TOF43" s="45"/>
      <c r="TOG43" s="45"/>
      <c r="TOH43" s="45"/>
      <c r="TOI43" s="45"/>
      <c r="TOJ43" s="45"/>
      <c r="TOK43" s="45"/>
      <c r="TOL43" s="45"/>
      <c r="TOM43" s="45"/>
      <c r="TON43" s="45"/>
      <c r="TOO43" s="45"/>
      <c r="TOP43" s="45"/>
      <c r="TOQ43" s="45"/>
      <c r="TOR43" s="45"/>
      <c r="TOS43" s="45"/>
      <c r="TOT43" s="45"/>
      <c r="TOU43" s="45"/>
      <c r="TOV43" s="45"/>
      <c r="TOW43" s="45"/>
      <c r="TOX43" s="45"/>
      <c r="TOY43" s="45"/>
      <c r="TOZ43" s="45"/>
      <c r="TPA43" s="45"/>
      <c r="TPB43" s="45"/>
      <c r="TPC43" s="45"/>
      <c r="TPD43" s="45"/>
      <c r="TPE43" s="45"/>
      <c r="TPF43" s="45"/>
      <c r="TPG43" s="45"/>
      <c r="TPH43" s="45"/>
      <c r="TPI43" s="45"/>
      <c r="TPJ43" s="45"/>
      <c r="TPK43" s="45"/>
      <c r="TPL43" s="45"/>
      <c r="TPM43" s="45"/>
      <c r="TPN43" s="45"/>
      <c r="TPO43" s="45"/>
      <c r="TPP43" s="45"/>
      <c r="TPQ43" s="45"/>
      <c r="TPR43" s="45"/>
      <c r="TPS43" s="45"/>
      <c r="TPT43" s="45"/>
      <c r="TPU43" s="45"/>
      <c r="TPV43" s="45"/>
      <c r="TPW43" s="45"/>
      <c r="TPX43" s="45"/>
      <c r="TPY43" s="45"/>
      <c r="TPZ43" s="45"/>
      <c r="TQA43" s="45"/>
      <c r="TQB43" s="45"/>
      <c r="TQC43" s="45"/>
      <c r="TQD43" s="45"/>
      <c r="TQE43" s="45"/>
      <c r="TQF43" s="45"/>
      <c r="TQG43" s="45"/>
      <c r="TQH43" s="45"/>
      <c r="TQI43" s="45"/>
      <c r="TQJ43" s="45"/>
      <c r="TQK43" s="45"/>
      <c r="TQL43" s="45"/>
      <c r="TQM43" s="45"/>
      <c r="TQN43" s="45"/>
      <c r="TQO43" s="45"/>
      <c r="TQP43" s="45"/>
      <c r="TQQ43" s="45"/>
      <c r="TQR43" s="45"/>
      <c r="TQS43" s="45"/>
      <c r="TQT43" s="45"/>
      <c r="TQU43" s="45"/>
      <c r="TQV43" s="45"/>
      <c r="TQW43" s="45"/>
      <c r="TQX43" s="45"/>
      <c r="TQY43" s="45"/>
      <c r="TQZ43" s="45"/>
      <c r="TRA43" s="45"/>
      <c r="TRB43" s="45"/>
      <c r="TRC43" s="45"/>
      <c r="TRD43" s="45"/>
      <c r="TRE43" s="45"/>
      <c r="TRF43" s="45"/>
      <c r="TRG43" s="45"/>
      <c r="TRH43" s="45"/>
      <c r="TRI43" s="45"/>
      <c r="TRJ43" s="45"/>
      <c r="TRK43" s="45"/>
      <c r="TRL43" s="45"/>
      <c r="TRM43" s="45"/>
      <c r="TRN43" s="45"/>
      <c r="TRO43" s="45"/>
      <c r="TRP43" s="45"/>
      <c r="TRQ43" s="45"/>
      <c r="TRR43" s="45"/>
      <c r="TRS43" s="45"/>
      <c r="TRT43" s="45"/>
      <c r="TRU43" s="45"/>
      <c r="TRV43" s="45"/>
      <c r="TRW43" s="45"/>
      <c r="TRX43" s="45"/>
      <c r="TRY43" s="45"/>
      <c r="TRZ43" s="45"/>
      <c r="TSA43" s="45"/>
      <c r="TSB43" s="45"/>
      <c r="TSC43" s="45"/>
      <c r="TSD43" s="45"/>
      <c r="TSE43" s="45"/>
      <c r="TSF43" s="45"/>
      <c r="TSG43" s="45"/>
      <c r="TSH43" s="45"/>
      <c r="TSI43" s="45"/>
      <c r="TSJ43" s="45"/>
      <c r="TSK43" s="45"/>
      <c r="TSL43" s="45"/>
      <c r="TSM43" s="45"/>
      <c r="TSN43" s="45"/>
      <c r="TSO43" s="45"/>
      <c r="TSP43" s="45"/>
      <c r="TSQ43" s="45"/>
      <c r="TSR43" s="45"/>
      <c r="TSS43" s="45"/>
      <c r="TST43" s="45"/>
      <c r="TSU43" s="45"/>
      <c r="TSV43" s="45"/>
      <c r="TSW43" s="45"/>
      <c r="TSX43" s="45"/>
      <c r="TSY43" s="45"/>
      <c r="TSZ43" s="45"/>
      <c r="TTA43" s="45"/>
      <c r="TTB43" s="45"/>
      <c r="TTC43" s="45"/>
      <c r="TTD43" s="45"/>
      <c r="TTE43" s="45"/>
      <c r="TTF43" s="45"/>
      <c r="TTG43" s="45"/>
      <c r="TTH43" s="45"/>
      <c r="TTI43" s="45"/>
      <c r="TTJ43" s="45"/>
      <c r="TTK43" s="45"/>
      <c r="TTL43" s="45"/>
      <c r="TTM43" s="45"/>
      <c r="TTN43" s="45"/>
      <c r="TTO43" s="45"/>
      <c r="TTP43" s="45"/>
      <c r="TTQ43" s="45"/>
      <c r="TTR43" s="45"/>
      <c r="TTS43" s="45"/>
      <c r="TTT43" s="45"/>
      <c r="TTU43" s="45"/>
      <c r="TTV43" s="45"/>
      <c r="TTW43" s="45"/>
      <c r="TTX43" s="45"/>
      <c r="TTY43" s="45"/>
      <c r="TTZ43" s="45"/>
      <c r="TUA43" s="45"/>
      <c r="TUB43" s="45"/>
      <c r="TUC43" s="45"/>
      <c r="TUD43" s="45"/>
      <c r="TUE43" s="45"/>
      <c r="TUF43" s="45"/>
      <c r="TUG43" s="45"/>
      <c r="TUH43" s="45"/>
      <c r="TUI43" s="45"/>
      <c r="TUJ43" s="45"/>
      <c r="TUK43" s="45"/>
      <c r="TUL43" s="45"/>
      <c r="TUM43" s="45"/>
      <c r="TUN43" s="45"/>
      <c r="TUO43" s="45"/>
      <c r="TUP43" s="45"/>
      <c r="TUQ43" s="45"/>
      <c r="TUR43" s="45"/>
      <c r="TUS43" s="45"/>
      <c r="TUT43" s="45"/>
      <c r="TUU43" s="45"/>
      <c r="TUV43" s="45"/>
      <c r="TUW43" s="45"/>
      <c r="TUX43" s="45"/>
      <c r="TUY43" s="45"/>
      <c r="TUZ43" s="45"/>
      <c r="TVA43" s="45"/>
      <c r="TVB43" s="45"/>
      <c r="TVC43" s="45"/>
      <c r="TVD43" s="45"/>
      <c r="TVE43" s="45"/>
      <c r="TVF43" s="45"/>
      <c r="TVG43" s="45"/>
      <c r="TVH43" s="45"/>
      <c r="TVI43" s="45"/>
      <c r="TVJ43" s="45"/>
      <c r="TVK43" s="45"/>
      <c r="TVL43" s="45"/>
      <c r="TVM43" s="45"/>
      <c r="TVN43" s="45"/>
      <c r="TVO43" s="45"/>
      <c r="TVP43" s="45"/>
      <c r="TVQ43" s="45"/>
      <c r="TVR43" s="45"/>
      <c r="TVS43" s="45"/>
      <c r="TVT43" s="45"/>
      <c r="TVU43" s="45"/>
      <c r="TVV43" s="45"/>
      <c r="TVW43" s="45"/>
      <c r="TVX43" s="45"/>
      <c r="TVY43" s="45"/>
      <c r="TVZ43" s="45"/>
      <c r="TWA43" s="45"/>
      <c r="TWB43" s="45"/>
      <c r="TWC43" s="45"/>
      <c r="TWD43" s="45"/>
      <c r="TWE43" s="45"/>
      <c r="TWF43" s="45"/>
      <c r="TWG43" s="45"/>
      <c r="TWH43" s="45"/>
      <c r="TWI43" s="45"/>
      <c r="TWJ43" s="45"/>
      <c r="TWK43" s="45"/>
      <c r="TWL43" s="45"/>
      <c r="TWM43" s="45"/>
      <c r="TWN43" s="45"/>
      <c r="TWO43" s="45"/>
      <c r="TWP43" s="45"/>
      <c r="TWQ43" s="45"/>
      <c r="TWR43" s="45"/>
      <c r="TWS43" s="45"/>
      <c r="TWT43" s="45"/>
      <c r="TWU43" s="45"/>
      <c r="TWV43" s="45"/>
      <c r="TWW43" s="45"/>
      <c r="TWX43" s="45"/>
      <c r="TWY43" s="45"/>
      <c r="TWZ43" s="45"/>
      <c r="TXA43" s="45"/>
      <c r="TXB43" s="45"/>
      <c r="TXC43" s="45"/>
      <c r="TXD43" s="45"/>
      <c r="TXE43" s="45"/>
      <c r="TXF43" s="45"/>
      <c r="TXG43" s="45"/>
      <c r="TXH43" s="45"/>
      <c r="TXI43" s="45"/>
      <c r="TXJ43" s="45"/>
      <c r="TXK43" s="45"/>
      <c r="TXL43" s="45"/>
      <c r="TXM43" s="45"/>
      <c r="TXN43" s="45"/>
      <c r="TXO43" s="45"/>
      <c r="TXP43" s="45"/>
      <c r="TXQ43" s="45"/>
      <c r="TXR43" s="45"/>
      <c r="TXS43" s="45"/>
      <c r="TXT43" s="45"/>
      <c r="TXU43" s="45"/>
      <c r="TXV43" s="45"/>
      <c r="TXW43" s="45"/>
      <c r="TXX43" s="45"/>
      <c r="TXY43" s="45"/>
      <c r="TXZ43" s="45"/>
      <c r="TYA43" s="45"/>
      <c r="TYB43" s="45"/>
      <c r="TYC43" s="45"/>
      <c r="TYD43" s="45"/>
      <c r="TYE43" s="45"/>
      <c r="TYF43" s="45"/>
      <c r="TYG43" s="45"/>
      <c r="TYH43" s="45"/>
      <c r="TYI43" s="45"/>
      <c r="TYJ43" s="45"/>
      <c r="TYK43" s="45"/>
      <c r="TYL43" s="45"/>
      <c r="TYM43" s="45"/>
      <c r="TYN43" s="45"/>
      <c r="TYO43" s="45"/>
      <c r="TYP43" s="45"/>
      <c r="TYQ43" s="45"/>
      <c r="TYR43" s="45"/>
      <c r="TYS43" s="45"/>
      <c r="TYT43" s="45"/>
      <c r="TYU43" s="45"/>
      <c r="TYV43" s="45"/>
      <c r="TYW43" s="45"/>
      <c r="TYX43" s="45"/>
      <c r="TYY43" s="45"/>
      <c r="TYZ43" s="45"/>
      <c r="TZA43" s="45"/>
      <c r="TZB43" s="45"/>
      <c r="TZC43" s="45"/>
      <c r="TZD43" s="45"/>
      <c r="TZE43" s="45"/>
      <c r="TZF43" s="45"/>
      <c r="TZG43" s="45"/>
      <c r="TZH43" s="45"/>
      <c r="TZI43" s="45"/>
      <c r="TZJ43" s="45"/>
      <c r="TZK43" s="45"/>
      <c r="TZL43" s="45"/>
      <c r="TZM43" s="45"/>
      <c r="TZN43" s="45"/>
      <c r="TZO43" s="45"/>
      <c r="TZP43" s="45"/>
      <c r="TZQ43" s="45"/>
      <c r="TZR43" s="45"/>
      <c r="TZS43" s="45"/>
      <c r="TZT43" s="45"/>
      <c r="TZU43" s="45"/>
      <c r="TZV43" s="45"/>
      <c r="TZW43" s="45"/>
      <c r="TZX43" s="45"/>
      <c r="TZY43" s="45"/>
      <c r="TZZ43" s="45"/>
      <c r="UAA43" s="45"/>
      <c r="UAB43" s="45"/>
      <c r="UAC43" s="45"/>
      <c r="UAD43" s="45"/>
      <c r="UAE43" s="45"/>
      <c r="UAF43" s="45"/>
      <c r="UAG43" s="45"/>
      <c r="UAH43" s="45"/>
      <c r="UAI43" s="45"/>
      <c r="UAJ43" s="45"/>
      <c r="UAK43" s="45"/>
      <c r="UAL43" s="45"/>
      <c r="UAM43" s="45"/>
      <c r="UAN43" s="45"/>
      <c r="UAO43" s="45"/>
      <c r="UAP43" s="45"/>
      <c r="UAQ43" s="45"/>
      <c r="UAR43" s="45"/>
      <c r="UAS43" s="45"/>
      <c r="UAT43" s="45"/>
      <c r="UAU43" s="45"/>
      <c r="UAV43" s="45"/>
      <c r="UAW43" s="45"/>
      <c r="UAX43" s="45"/>
      <c r="UAY43" s="45"/>
      <c r="UAZ43" s="45"/>
      <c r="UBA43" s="45"/>
      <c r="UBB43" s="45"/>
      <c r="UBC43" s="45"/>
      <c r="UBD43" s="45"/>
      <c r="UBE43" s="45"/>
      <c r="UBF43" s="45"/>
      <c r="UBG43" s="45"/>
      <c r="UBH43" s="45"/>
      <c r="UBI43" s="45"/>
      <c r="UBJ43" s="45"/>
      <c r="UBK43" s="45"/>
      <c r="UBL43" s="45"/>
      <c r="UBM43" s="45"/>
      <c r="UBN43" s="45"/>
      <c r="UBO43" s="45"/>
      <c r="UBP43" s="45"/>
      <c r="UBQ43" s="45"/>
      <c r="UBR43" s="45"/>
      <c r="UBS43" s="45"/>
      <c r="UBT43" s="45"/>
      <c r="UBU43" s="45"/>
      <c r="UBV43" s="45"/>
      <c r="UBW43" s="45"/>
      <c r="UBX43" s="45"/>
      <c r="UBY43" s="45"/>
      <c r="UBZ43" s="45"/>
      <c r="UCA43" s="45"/>
      <c r="UCB43" s="45"/>
      <c r="UCC43" s="45"/>
      <c r="UCD43" s="45"/>
      <c r="UCE43" s="45"/>
      <c r="UCF43" s="45"/>
      <c r="UCG43" s="45"/>
      <c r="UCH43" s="45"/>
      <c r="UCI43" s="45"/>
      <c r="UCJ43" s="45"/>
      <c r="UCK43" s="45"/>
      <c r="UCL43" s="45"/>
      <c r="UCM43" s="45"/>
      <c r="UCN43" s="45"/>
      <c r="UCO43" s="45"/>
      <c r="UCP43" s="45"/>
      <c r="UCQ43" s="45"/>
      <c r="UCR43" s="45"/>
      <c r="UCS43" s="45"/>
      <c r="UCT43" s="45"/>
      <c r="UCU43" s="45"/>
      <c r="UCV43" s="45"/>
      <c r="UCW43" s="45"/>
      <c r="UCX43" s="45"/>
      <c r="UCY43" s="45"/>
      <c r="UCZ43" s="45"/>
      <c r="UDA43" s="45"/>
      <c r="UDB43" s="45"/>
      <c r="UDC43" s="45"/>
      <c r="UDD43" s="45"/>
      <c r="UDE43" s="45"/>
      <c r="UDF43" s="45"/>
      <c r="UDG43" s="45"/>
      <c r="UDH43" s="45"/>
      <c r="UDI43" s="45"/>
      <c r="UDJ43" s="45"/>
      <c r="UDK43" s="45"/>
      <c r="UDL43" s="45"/>
      <c r="UDM43" s="45"/>
      <c r="UDN43" s="45"/>
      <c r="UDO43" s="45"/>
      <c r="UDP43" s="45"/>
      <c r="UDQ43" s="45"/>
      <c r="UDR43" s="45"/>
      <c r="UDS43" s="45"/>
      <c r="UDT43" s="45"/>
      <c r="UDU43" s="45"/>
      <c r="UDV43" s="45"/>
      <c r="UDW43" s="45"/>
      <c r="UDX43" s="45"/>
      <c r="UDY43" s="45"/>
      <c r="UDZ43" s="45"/>
      <c r="UEA43" s="45"/>
      <c r="UEB43" s="45"/>
      <c r="UEC43" s="45"/>
      <c r="UED43" s="45"/>
      <c r="UEE43" s="45"/>
      <c r="UEF43" s="45"/>
      <c r="UEG43" s="45"/>
      <c r="UEH43" s="45"/>
      <c r="UEI43" s="45"/>
      <c r="UEJ43" s="45"/>
      <c r="UEK43" s="45"/>
      <c r="UEL43" s="45"/>
      <c r="UEM43" s="45"/>
      <c r="UEN43" s="45"/>
      <c r="UEO43" s="45"/>
      <c r="UEP43" s="45"/>
      <c r="UEQ43" s="45"/>
      <c r="UER43" s="45"/>
      <c r="UES43" s="45"/>
      <c r="UET43" s="45"/>
      <c r="UEU43" s="45"/>
      <c r="UEV43" s="45"/>
      <c r="UEW43" s="45"/>
      <c r="UEX43" s="45"/>
      <c r="UEY43" s="45"/>
      <c r="UEZ43" s="45"/>
      <c r="UFA43" s="45"/>
      <c r="UFB43" s="45"/>
      <c r="UFC43" s="45"/>
      <c r="UFD43" s="45"/>
      <c r="UFE43" s="45"/>
      <c r="UFF43" s="45"/>
      <c r="UFG43" s="45"/>
      <c r="UFH43" s="45"/>
      <c r="UFI43" s="45"/>
      <c r="UFJ43" s="45"/>
      <c r="UFK43" s="45"/>
      <c r="UFL43" s="45"/>
      <c r="UFM43" s="45"/>
      <c r="UFN43" s="45"/>
      <c r="UFO43" s="45"/>
      <c r="UFP43" s="45"/>
      <c r="UFQ43" s="45"/>
      <c r="UFR43" s="45"/>
      <c r="UFS43" s="45"/>
      <c r="UFT43" s="45"/>
      <c r="UFU43" s="45"/>
      <c r="UFV43" s="45"/>
      <c r="UFW43" s="45"/>
      <c r="UFX43" s="45"/>
      <c r="UFY43" s="45"/>
      <c r="UFZ43" s="45"/>
      <c r="UGA43" s="45"/>
      <c r="UGB43" s="45"/>
      <c r="UGC43" s="45"/>
      <c r="UGD43" s="45"/>
      <c r="UGE43" s="45"/>
      <c r="UGF43" s="45"/>
      <c r="UGG43" s="45"/>
      <c r="UGH43" s="45"/>
      <c r="UGI43" s="45"/>
      <c r="UGJ43" s="45"/>
      <c r="UGK43" s="45"/>
      <c r="UGL43" s="45"/>
      <c r="UGM43" s="45"/>
      <c r="UGN43" s="45"/>
      <c r="UGO43" s="45"/>
      <c r="UGP43" s="45"/>
      <c r="UGQ43" s="45"/>
      <c r="UGR43" s="45"/>
      <c r="UGS43" s="45"/>
      <c r="UGT43" s="45"/>
      <c r="UGU43" s="45"/>
      <c r="UGV43" s="45"/>
      <c r="UGW43" s="45"/>
      <c r="UGX43" s="45"/>
      <c r="UGY43" s="45"/>
      <c r="UGZ43" s="45"/>
      <c r="UHA43" s="45"/>
      <c r="UHB43" s="45"/>
      <c r="UHC43" s="45"/>
      <c r="UHD43" s="45"/>
      <c r="UHE43" s="45"/>
      <c r="UHF43" s="45"/>
      <c r="UHG43" s="45"/>
      <c r="UHH43" s="45"/>
      <c r="UHI43" s="45"/>
      <c r="UHJ43" s="45"/>
      <c r="UHK43" s="45"/>
      <c r="UHL43" s="45"/>
      <c r="UHM43" s="45"/>
      <c r="UHN43" s="45"/>
      <c r="UHO43" s="45"/>
      <c r="UHP43" s="45"/>
      <c r="UHQ43" s="45"/>
      <c r="UHR43" s="45"/>
      <c r="UHS43" s="45"/>
      <c r="UHT43" s="45"/>
      <c r="UHU43" s="45"/>
      <c r="UHV43" s="45"/>
      <c r="UHW43" s="45"/>
      <c r="UHX43" s="45"/>
      <c r="UHY43" s="45"/>
      <c r="UHZ43" s="45"/>
      <c r="UIA43" s="45"/>
      <c r="UIB43" s="45"/>
      <c r="UIC43" s="45"/>
      <c r="UID43" s="45"/>
      <c r="UIE43" s="45"/>
      <c r="UIF43" s="45"/>
      <c r="UIG43" s="45"/>
      <c r="UIH43" s="45"/>
      <c r="UII43" s="45"/>
      <c r="UIJ43" s="45"/>
      <c r="UIK43" s="45"/>
      <c r="UIL43" s="45"/>
      <c r="UIM43" s="45"/>
      <c r="UIN43" s="45"/>
      <c r="UIO43" s="45"/>
      <c r="UIP43" s="45"/>
      <c r="UIQ43" s="45"/>
      <c r="UIR43" s="45"/>
      <c r="UIS43" s="45"/>
      <c r="UIT43" s="45"/>
      <c r="UIU43" s="45"/>
      <c r="UIV43" s="45"/>
      <c r="UIW43" s="45"/>
      <c r="UIX43" s="45"/>
      <c r="UIY43" s="45"/>
      <c r="UIZ43" s="45"/>
      <c r="UJA43" s="45"/>
      <c r="UJB43" s="45"/>
      <c r="UJC43" s="45"/>
      <c r="UJD43" s="45"/>
      <c r="UJE43" s="45"/>
      <c r="UJF43" s="45"/>
      <c r="UJG43" s="45"/>
      <c r="UJH43" s="45"/>
      <c r="UJI43" s="45"/>
      <c r="UJJ43" s="45"/>
      <c r="UJK43" s="45"/>
      <c r="UJL43" s="45"/>
      <c r="UJM43" s="45"/>
      <c r="UJN43" s="45"/>
      <c r="UJO43" s="45"/>
      <c r="UJP43" s="45"/>
      <c r="UJQ43" s="45"/>
      <c r="UJR43" s="45"/>
      <c r="UJS43" s="45"/>
      <c r="UJT43" s="45"/>
      <c r="UJU43" s="45"/>
      <c r="UJV43" s="45"/>
      <c r="UJW43" s="45"/>
      <c r="UJX43" s="45"/>
      <c r="UJY43" s="45"/>
      <c r="UJZ43" s="45"/>
      <c r="UKA43" s="45"/>
      <c r="UKB43" s="45"/>
      <c r="UKC43" s="45"/>
      <c r="UKD43" s="45"/>
      <c r="UKE43" s="45"/>
      <c r="UKF43" s="45"/>
      <c r="UKG43" s="45"/>
      <c r="UKH43" s="45"/>
      <c r="UKI43" s="45"/>
      <c r="UKJ43" s="45"/>
      <c r="UKK43" s="45"/>
      <c r="UKL43" s="45"/>
      <c r="UKM43" s="45"/>
      <c r="UKN43" s="45"/>
      <c r="UKO43" s="45"/>
      <c r="UKP43" s="45"/>
      <c r="UKQ43" s="45"/>
      <c r="UKR43" s="45"/>
      <c r="UKS43" s="45"/>
      <c r="UKT43" s="45"/>
      <c r="UKU43" s="45"/>
      <c r="UKV43" s="45"/>
      <c r="UKW43" s="45"/>
      <c r="UKX43" s="45"/>
      <c r="UKY43" s="45"/>
      <c r="UKZ43" s="45"/>
      <c r="ULA43" s="45"/>
      <c r="ULB43" s="45"/>
      <c r="ULC43" s="45"/>
      <c r="ULD43" s="45"/>
      <c r="ULE43" s="45"/>
      <c r="ULF43" s="45"/>
      <c r="ULG43" s="45"/>
      <c r="ULH43" s="45"/>
      <c r="ULI43" s="45"/>
      <c r="ULJ43" s="45"/>
      <c r="ULK43" s="45"/>
      <c r="ULL43" s="45"/>
      <c r="ULM43" s="45"/>
      <c r="ULN43" s="45"/>
      <c r="ULO43" s="45"/>
      <c r="ULP43" s="45"/>
      <c r="ULQ43" s="45"/>
      <c r="ULR43" s="45"/>
      <c r="ULS43" s="45"/>
      <c r="ULT43" s="45"/>
      <c r="ULU43" s="45"/>
      <c r="ULV43" s="45"/>
      <c r="ULW43" s="45"/>
      <c r="ULX43" s="45"/>
      <c r="ULY43" s="45"/>
      <c r="ULZ43" s="45"/>
      <c r="UMA43" s="45"/>
      <c r="UMB43" s="45"/>
      <c r="UMC43" s="45"/>
      <c r="UMD43" s="45"/>
      <c r="UME43" s="45"/>
      <c r="UMF43" s="45"/>
      <c r="UMG43" s="45"/>
      <c r="UMH43" s="45"/>
      <c r="UMI43" s="45"/>
      <c r="UMJ43" s="45"/>
      <c r="UMK43" s="45"/>
      <c r="UML43" s="45"/>
      <c r="UMM43" s="45"/>
      <c r="UMN43" s="45"/>
      <c r="UMO43" s="45"/>
      <c r="UMP43" s="45"/>
      <c r="UMQ43" s="45"/>
      <c r="UMR43" s="45"/>
      <c r="UMS43" s="45"/>
      <c r="UMT43" s="45"/>
      <c r="UMU43" s="45"/>
      <c r="UMV43" s="45"/>
      <c r="UMW43" s="45"/>
      <c r="UMX43" s="45"/>
      <c r="UMY43" s="45"/>
      <c r="UMZ43" s="45"/>
      <c r="UNA43" s="45"/>
      <c r="UNB43" s="45"/>
      <c r="UNC43" s="45"/>
      <c r="UND43" s="45"/>
      <c r="UNE43" s="45"/>
      <c r="UNF43" s="45"/>
      <c r="UNG43" s="45"/>
      <c r="UNH43" s="45"/>
      <c r="UNI43" s="45"/>
      <c r="UNJ43" s="45"/>
      <c r="UNK43" s="45"/>
      <c r="UNL43" s="45"/>
      <c r="UNM43" s="45"/>
      <c r="UNN43" s="45"/>
      <c r="UNO43" s="45"/>
      <c r="UNP43" s="45"/>
      <c r="UNQ43" s="45"/>
      <c r="UNR43" s="45"/>
      <c r="UNS43" s="45"/>
      <c r="UNT43" s="45"/>
      <c r="UNU43" s="45"/>
      <c r="UNV43" s="45"/>
      <c r="UNW43" s="45"/>
      <c r="UNX43" s="45"/>
      <c r="UNY43" s="45"/>
      <c r="UNZ43" s="45"/>
      <c r="UOA43" s="45"/>
      <c r="UOB43" s="45"/>
      <c r="UOC43" s="45"/>
      <c r="UOD43" s="45"/>
      <c r="UOE43" s="45"/>
      <c r="UOF43" s="45"/>
      <c r="UOG43" s="45"/>
      <c r="UOH43" s="45"/>
      <c r="UOI43" s="45"/>
      <c r="UOJ43" s="45"/>
      <c r="UOK43" s="45"/>
      <c r="UOL43" s="45"/>
      <c r="UOM43" s="45"/>
      <c r="UON43" s="45"/>
      <c r="UOO43" s="45"/>
      <c r="UOP43" s="45"/>
      <c r="UOQ43" s="45"/>
      <c r="UOR43" s="45"/>
      <c r="UOS43" s="45"/>
      <c r="UOT43" s="45"/>
      <c r="UOU43" s="45"/>
      <c r="UOV43" s="45"/>
      <c r="UOW43" s="45"/>
      <c r="UOX43" s="45"/>
      <c r="UOY43" s="45"/>
      <c r="UOZ43" s="45"/>
      <c r="UPA43" s="45"/>
      <c r="UPB43" s="45"/>
      <c r="UPC43" s="45"/>
      <c r="UPD43" s="45"/>
      <c r="UPE43" s="45"/>
      <c r="UPF43" s="45"/>
      <c r="UPG43" s="45"/>
      <c r="UPH43" s="45"/>
      <c r="UPI43" s="45"/>
      <c r="UPJ43" s="45"/>
      <c r="UPK43" s="45"/>
      <c r="UPL43" s="45"/>
      <c r="UPM43" s="45"/>
      <c r="UPN43" s="45"/>
      <c r="UPO43" s="45"/>
      <c r="UPP43" s="45"/>
      <c r="UPQ43" s="45"/>
      <c r="UPR43" s="45"/>
      <c r="UPS43" s="45"/>
      <c r="UPT43" s="45"/>
      <c r="UPU43" s="45"/>
      <c r="UPV43" s="45"/>
      <c r="UPW43" s="45"/>
      <c r="UPX43" s="45"/>
      <c r="UPY43" s="45"/>
      <c r="UPZ43" s="45"/>
      <c r="UQA43" s="45"/>
      <c r="UQB43" s="45"/>
      <c r="UQC43" s="45"/>
      <c r="UQD43" s="45"/>
      <c r="UQE43" s="45"/>
      <c r="UQF43" s="45"/>
      <c r="UQG43" s="45"/>
      <c r="UQH43" s="45"/>
      <c r="UQI43" s="45"/>
      <c r="UQJ43" s="45"/>
      <c r="UQK43" s="45"/>
      <c r="UQL43" s="45"/>
      <c r="UQM43" s="45"/>
      <c r="UQN43" s="45"/>
      <c r="UQO43" s="45"/>
      <c r="UQP43" s="45"/>
      <c r="UQQ43" s="45"/>
      <c r="UQR43" s="45"/>
      <c r="UQS43" s="45"/>
      <c r="UQT43" s="45"/>
      <c r="UQU43" s="45"/>
      <c r="UQV43" s="45"/>
      <c r="UQW43" s="45"/>
      <c r="UQX43" s="45"/>
      <c r="UQY43" s="45"/>
      <c r="UQZ43" s="45"/>
      <c r="URA43" s="45"/>
      <c r="URB43" s="45"/>
      <c r="URC43" s="45"/>
      <c r="URD43" s="45"/>
      <c r="URE43" s="45"/>
      <c r="URF43" s="45"/>
      <c r="URG43" s="45"/>
      <c r="URH43" s="45"/>
      <c r="URI43" s="45"/>
      <c r="URJ43" s="45"/>
      <c r="URK43" s="45"/>
      <c r="URL43" s="45"/>
      <c r="URM43" s="45"/>
      <c r="URN43" s="45"/>
      <c r="URO43" s="45"/>
      <c r="URP43" s="45"/>
      <c r="URQ43" s="45"/>
      <c r="URR43" s="45"/>
      <c r="URS43" s="45"/>
      <c r="URT43" s="45"/>
      <c r="URU43" s="45"/>
      <c r="URV43" s="45"/>
      <c r="URW43" s="45"/>
      <c r="URX43" s="45"/>
      <c r="URY43" s="45"/>
      <c r="URZ43" s="45"/>
      <c r="USA43" s="45"/>
      <c r="USB43" s="45"/>
      <c r="USC43" s="45"/>
      <c r="USD43" s="45"/>
      <c r="USE43" s="45"/>
      <c r="USF43" s="45"/>
      <c r="USG43" s="45"/>
      <c r="USH43" s="45"/>
      <c r="USI43" s="45"/>
      <c r="USJ43" s="45"/>
      <c r="USK43" s="45"/>
      <c r="USL43" s="45"/>
      <c r="USM43" s="45"/>
      <c r="USN43" s="45"/>
      <c r="USO43" s="45"/>
      <c r="USP43" s="45"/>
      <c r="USQ43" s="45"/>
      <c r="USR43" s="45"/>
      <c r="USS43" s="45"/>
      <c r="UST43" s="45"/>
      <c r="USU43" s="45"/>
      <c r="USV43" s="45"/>
      <c r="USW43" s="45"/>
      <c r="USX43" s="45"/>
      <c r="USY43" s="45"/>
      <c r="USZ43" s="45"/>
      <c r="UTA43" s="45"/>
      <c r="UTB43" s="45"/>
      <c r="UTC43" s="45"/>
      <c r="UTD43" s="45"/>
      <c r="UTE43" s="45"/>
      <c r="UTF43" s="45"/>
      <c r="UTG43" s="45"/>
      <c r="UTH43" s="45"/>
      <c r="UTI43" s="45"/>
      <c r="UTJ43" s="45"/>
      <c r="UTK43" s="45"/>
      <c r="UTL43" s="45"/>
      <c r="UTM43" s="45"/>
      <c r="UTN43" s="45"/>
      <c r="UTO43" s="45"/>
      <c r="UTP43" s="45"/>
      <c r="UTQ43" s="45"/>
      <c r="UTR43" s="45"/>
      <c r="UTS43" s="45"/>
      <c r="UTT43" s="45"/>
      <c r="UTU43" s="45"/>
      <c r="UTV43" s="45"/>
      <c r="UTW43" s="45"/>
      <c r="UTX43" s="45"/>
      <c r="UTY43" s="45"/>
      <c r="UTZ43" s="45"/>
      <c r="UUA43" s="45"/>
      <c r="UUB43" s="45"/>
      <c r="UUC43" s="45"/>
      <c r="UUD43" s="45"/>
      <c r="UUE43" s="45"/>
      <c r="UUF43" s="45"/>
      <c r="UUG43" s="45"/>
      <c r="UUH43" s="45"/>
      <c r="UUI43" s="45"/>
      <c r="UUJ43" s="45"/>
      <c r="UUK43" s="45"/>
      <c r="UUL43" s="45"/>
      <c r="UUM43" s="45"/>
      <c r="UUN43" s="45"/>
      <c r="UUO43" s="45"/>
      <c r="UUP43" s="45"/>
      <c r="UUQ43" s="45"/>
      <c r="UUR43" s="45"/>
      <c r="UUS43" s="45"/>
      <c r="UUT43" s="45"/>
      <c r="UUU43" s="45"/>
      <c r="UUV43" s="45"/>
      <c r="UUW43" s="45"/>
      <c r="UUX43" s="45"/>
      <c r="UUY43" s="45"/>
      <c r="UUZ43" s="45"/>
      <c r="UVA43" s="45"/>
      <c r="UVB43" s="45"/>
      <c r="UVC43" s="45"/>
      <c r="UVD43" s="45"/>
      <c r="UVE43" s="45"/>
      <c r="UVF43" s="45"/>
      <c r="UVG43" s="45"/>
      <c r="UVH43" s="45"/>
      <c r="UVI43" s="45"/>
      <c r="UVJ43" s="45"/>
      <c r="UVK43" s="45"/>
      <c r="UVL43" s="45"/>
      <c r="UVM43" s="45"/>
      <c r="UVN43" s="45"/>
      <c r="UVO43" s="45"/>
      <c r="UVP43" s="45"/>
      <c r="UVQ43" s="45"/>
      <c r="UVR43" s="45"/>
      <c r="UVS43" s="45"/>
      <c r="UVT43" s="45"/>
      <c r="UVU43" s="45"/>
      <c r="UVV43" s="45"/>
      <c r="UVW43" s="45"/>
      <c r="UVX43" s="45"/>
      <c r="UVY43" s="45"/>
      <c r="UVZ43" s="45"/>
      <c r="UWA43" s="45"/>
      <c r="UWB43" s="45"/>
      <c r="UWC43" s="45"/>
      <c r="UWD43" s="45"/>
      <c r="UWE43" s="45"/>
      <c r="UWF43" s="45"/>
      <c r="UWG43" s="45"/>
      <c r="UWH43" s="45"/>
      <c r="UWI43" s="45"/>
      <c r="UWJ43" s="45"/>
      <c r="UWK43" s="45"/>
      <c r="UWL43" s="45"/>
      <c r="UWM43" s="45"/>
      <c r="UWN43" s="45"/>
      <c r="UWO43" s="45"/>
      <c r="UWP43" s="45"/>
      <c r="UWQ43" s="45"/>
      <c r="UWR43" s="45"/>
      <c r="UWS43" s="45"/>
      <c r="UWT43" s="45"/>
      <c r="UWU43" s="45"/>
      <c r="UWV43" s="45"/>
      <c r="UWW43" s="45"/>
      <c r="UWX43" s="45"/>
      <c r="UWY43" s="45"/>
      <c r="UWZ43" s="45"/>
      <c r="UXA43" s="45"/>
      <c r="UXB43" s="45"/>
      <c r="UXC43" s="45"/>
      <c r="UXD43" s="45"/>
      <c r="UXE43" s="45"/>
      <c r="UXF43" s="45"/>
      <c r="UXG43" s="45"/>
      <c r="UXH43" s="45"/>
      <c r="UXI43" s="45"/>
      <c r="UXJ43" s="45"/>
      <c r="UXK43" s="45"/>
      <c r="UXL43" s="45"/>
      <c r="UXM43" s="45"/>
      <c r="UXN43" s="45"/>
      <c r="UXO43" s="45"/>
      <c r="UXP43" s="45"/>
      <c r="UXQ43" s="45"/>
      <c r="UXR43" s="45"/>
      <c r="UXS43" s="45"/>
      <c r="UXT43" s="45"/>
      <c r="UXU43" s="45"/>
      <c r="UXV43" s="45"/>
      <c r="UXW43" s="45"/>
      <c r="UXX43" s="45"/>
      <c r="UXY43" s="45"/>
      <c r="UXZ43" s="45"/>
      <c r="UYA43" s="45"/>
      <c r="UYB43" s="45"/>
      <c r="UYC43" s="45"/>
      <c r="UYD43" s="45"/>
      <c r="UYE43" s="45"/>
      <c r="UYF43" s="45"/>
      <c r="UYG43" s="45"/>
      <c r="UYH43" s="45"/>
      <c r="UYI43" s="45"/>
      <c r="UYJ43" s="45"/>
      <c r="UYK43" s="45"/>
      <c r="UYL43" s="45"/>
      <c r="UYM43" s="45"/>
      <c r="UYN43" s="45"/>
      <c r="UYO43" s="45"/>
      <c r="UYP43" s="45"/>
      <c r="UYQ43" s="45"/>
      <c r="UYR43" s="45"/>
      <c r="UYS43" s="45"/>
      <c r="UYT43" s="45"/>
      <c r="UYU43" s="45"/>
      <c r="UYV43" s="45"/>
      <c r="UYW43" s="45"/>
      <c r="UYX43" s="45"/>
      <c r="UYY43" s="45"/>
      <c r="UYZ43" s="45"/>
      <c r="UZA43" s="45"/>
      <c r="UZB43" s="45"/>
      <c r="UZC43" s="45"/>
      <c r="UZD43" s="45"/>
      <c r="UZE43" s="45"/>
      <c r="UZF43" s="45"/>
      <c r="UZG43" s="45"/>
      <c r="UZH43" s="45"/>
      <c r="UZI43" s="45"/>
      <c r="UZJ43" s="45"/>
      <c r="UZK43" s="45"/>
      <c r="UZL43" s="45"/>
      <c r="UZM43" s="45"/>
      <c r="UZN43" s="45"/>
      <c r="UZO43" s="45"/>
      <c r="UZP43" s="45"/>
      <c r="UZQ43" s="45"/>
      <c r="UZR43" s="45"/>
      <c r="UZS43" s="45"/>
      <c r="UZT43" s="45"/>
      <c r="UZU43" s="45"/>
      <c r="UZV43" s="45"/>
      <c r="UZW43" s="45"/>
      <c r="UZX43" s="45"/>
      <c r="UZY43" s="45"/>
      <c r="UZZ43" s="45"/>
      <c r="VAA43" s="45"/>
      <c r="VAB43" s="45"/>
      <c r="VAC43" s="45"/>
      <c r="VAD43" s="45"/>
      <c r="VAE43" s="45"/>
      <c r="VAF43" s="45"/>
      <c r="VAG43" s="45"/>
      <c r="VAH43" s="45"/>
      <c r="VAI43" s="45"/>
      <c r="VAJ43" s="45"/>
      <c r="VAK43" s="45"/>
      <c r="VAL43" s="45"/>
      <c r="VAM43" s="45"/>
      <c r="VAN43" s="45"/>
      <c r="VAO43" s="45"/>
      <c r="VAP43" s="45"/>
      <c r="VAQ43" s="45"/>
      <c r="VAR43" s="45"/>
      <c r="VAS43" s="45"/>
      <c r="VAT43" s="45"/>
      <c r="VAU43" s="45"/>
      <c r="VAV43" s="45"/>
      <c r="VAW43" s="45"/>
      <c r="VAX43" s="45"/>
      <c r="VAY43" s="45"/>
      <c r="VAZ43" s="45"/>
      <c r="VBA43" s="45"/>
      <c r="VBB43" s="45"/>
      <c r="VBC43" s="45"/>
      <c r="VBD43" s="45"/>
      <c r="VBE43" s="45"/>
      <c r="VBF43" s="45"/>
      <c r="VBG43" s="45"/>
      <c r="VBH43" s="45"/>
      <c r="VBI43" s="45"/>
      <c r="VBJ43" s="45"/>
      <c r="VBK43" s="45"/>
      <c r="VBL43" s="45"/>
      <c r="VBM43" s="45"/>
      <c r="VBN43" s="45"/>
      <c r="VBO43" s="45"/>
      <c r="VBP43" s="45"/>
      <c r="VBQ43" s="45"/>
      <c r="VBR43" s="45"/>
      <c r="VBS43" s="45"/>
      <c r="VBT43" s="45"/>
      <c r="VBU43" s="45"/>
      <c r="VBV43" s="45"/>
      <c r="VBW43" s="45"/>
      <c r="VBX43" s="45"/>
      <c r="VBY43" s="45"/>
      <c r="VBZ43" s="45"/>
      <c r="VCA43" s="45"/>
      <c r="VCB43" s="45"/>
      <c r="VCC43" s="45"/>
      <c r="VCD43" s="45"/>
      <c r="VCE43" s="45"/>
      <c r="VCF43" s="45"/>
      <c r="VCG43" s="45"/>
      <c r="VCH43" s="45"/>
      <c r="VCI43" s="45"/>
      <c r="VCJ43" s="45"/>
      <c r="VCK43" s="45"/>
      <c r="VCL43" s="45"/>
      <c r="VCM43" s="45"/>
      <c r="VCN43" s="45"/>
      <c r="VCO43" s="45"/>
      <c r="VCP43" s="45"/>
      <c r="VCQ43" s="45"/>
      <c r="VCR43" s="45"/>
      <c r="VCS43" s="45"/>
      <c r="VCT43" s="45"/>
      <c r="VCU43" s="45"/>
      <c r="VCV43" s="45"/>
      <c r="VCW43" s="45"/>
      <c r="VCX43" s="45"/>
      <c r="VCY43" s="45"/>
      <c r="VCZ43" s="45"/>
      <c r="VDA43" s="45"/>
      <c r="VDB43" s="45"/>
      <c r="VDC43" s="45"/>
      <c r="VDD43" s="45"/>
      <c r="VDE43" s="45"/>
      <c r="VDF43" s="45"/>
      <c r="VDG43" s="45"/>
      <c r="VDH43" s="45"/>
      <c r="VDI43" s="45"/>
      <c r="VDJ43" s="45"/>
      <c r="VDK43" s="45"/>
      <c r="VDL43" s="45"/>
      <c r="VDM43" s="45"/>
      <c r="VDN43" s="45"/>
      <c r="VDO43" s="45"/>
      <c r="VDP43" s="45"/>
      <c r="VDQ43" s="45"/>
      <c r="VDR43" s="45"/>
      <c r="VDS43" s="45"/>
      <c r="VDT43" s="45"/>
      <c r="VDU43" s="45"/>
      <c r="VDV43" s="45"/>
      <c r="VDW43" s="45"/>
      <c r="VDX43" s="45"/>
      <c r="VDY43" s="45"/>
      <c r="VDZ43" s="45"/>
      <c r="VEA43" s="45"/>
      <c r="VEB43" s="45"/>
      <c r="VEC43" s="45"/>
      <c r="VED43" s="45"/>
      <c r="VEE43" s="45"/>
      <c r="VEF43" s="45"/>
      <c r="VEG43" s="45"/>
      <c r="VEH43" s="45"/>
      <c r="VEI43" s="45"/>
      <c r="VEJ43" s="45"/>
      <c r="VEK43" s="45"/>
      <c r="VEL43" s="45"/>
      <c r="VEM43" s="45"/>
      <c r="VEN43" s="45"/>
      <c r="VEO43" s="45"/>
      <c r="VEP43" s="45"/>
      <c r="VEQ43" s="45"/>
      <c r="VER43" s="45"/>
      <c r="VES43" s="45"/>
      <c r="VET43" s="45"/>
      <c r="VEU43" s="45"/>
      <c r="VEV43" s="45"/>
      <c r="VEW43" s="45"/>
      <c r="VEX43" s="45"/>
      <c r="VEY43" s="45"/>
      <c r="VEZ43" s="45"/>
      <c r="VFA43" s="45"/>
      <c r="VFB43" s="45"/>
      <c r="VFC43" s="45"/>
      <c r="VFD43" s="45"/>
      <c r="VFE43" s="45"/>
      <c r="VFF43" s="45"/>
      <c r="VFG43" s="45"/>
      <c r="VFH43" s="45"/>
      <c r="VFI43" s="45"/>
      <c r="VFJ43" s="45"/>
      <c r="VFK43" s="45"/>
      <c r="VFL43" s="45"/>
      <c r="VFM43" s="45"/>
      <c r="VFN43" s="45"/>
      <c r="VFO43" s="45"/>
      <c r="VFP43" s="45"/>
      <c r="VFQ43" s="45"/>
      <c r="VFR43" s="45"/>
      <c r="VFS43" s="45"/>
      <c r="VFT43" s="45"/>
      <c r="VFU43" s="45"/>
      <c r="VFV43" s="45"/>
      <c r="VFW43" s="45"/>
      <c r="VFX43" s="45"/>
      <c r="VFY43" s="45"/>
      <c r="VFZ43" s="45"/>
      <c r="VGA43" s="45"/>
      <c r="VGB43" s="45"/>
      <c r="VGC43" s="45"/>
      <c r="VGD43" s="45"/>
      <c r="VGE43" s="45"/>
      <c r="VGF43" s="45"/>
      <c r="VGG43" s="45"/>
      <c r="VGH43" s="45"/>
      <c r="VGI43" s="45"/>
      <c r="VGJ43" s="45"/>
      <c r="VGK43" s="45"/>
      <c r="VGL43" s="45"/>
      <c r="VGM43" s="45"/>
      <c r="VGN43" s="45"/>
      <c r="VGO43" s="45"/>
      <c r="VGP43" s="45"/>
      <c r="VGQ43" s="45"/>
      <c r="VGR43" s="45"/>
      <c r="VGS43" s="45"/>
      <c r="VGT43" s="45"/>
      <c r="VGU43" s="45"/>
      <c r="VGV43" s="45"/>
      <c r="VGW43" s="45"/>
      <c r="VGX43" s="45"/>
      <c r="VGY43" s="45"/>
      <c r="VGZ43" s="45"/>
      <c r="VHA43" s="45"/>
      <c r="VHB43" s="45"/>
      <c r="VHC43" s="45"/>
      <c r="VHD43" s="45"/>
      <c r="VHE43" s="45"/>
      <c r="VHF43" s="45"/>
      <c r="VHG43" s="45"/>
      <c r="VHH43" s="45"/>
      <c r="VHI43" s="45"/>
      <c r="VHJ43" s="45"/>
      <c r="VHK43" s="45"/>
      <c r="VHL43" s="45"/>
      <c r="VHM43" s="45"/>
      <c r="VHN43" s="45"/>
      <c r="VHO43" s="45"/>
      <c r="VHP43" s="45"/>
      <c r="VHQ43" s="45"/>
      <c r="VHR43" s="45"/>
      <c r="VHS43" s="45"/>
      <c r="VHT43" s="45"/>
      <c r="VHU43" s="45"/>
      <c r="VHV43" s="45"/>
      <c r="VHW43" s="45"/>
      <c r="VHX43" s="45"/>
      <c r="VHY43" s="45"/>
      <c r="VHZ43" s="45"/>
      <c r="VIA43" s="45"/>
      <c r="VIB43" s="45"/>
      <c r="VIC43" s="45"/>
      <c r="VID43" s="45"/>
      <c r="VIE43" s="45"/>
      <c r="VIF43" s="45"/>
      <c r="VIG43" s="45"/>
      <c r="VIH43" s="45"/>
      <c r="VII43" s="45"/>
      <c r="VIJ43" s="45"/>
      <c r="VIK43" s="45"/>
      <c r="VIL43" s="45"/>
      <c r="VIM43" s="45"/>
      <c r="VIN43" s="45"/>
      <c r="VIO43" s="45"/>
      <c r="VIP43" s="45"/>
      <c r="VIQ43" s="45"/>
      <c r="VIR43" s="45"/>
      <c r="VIS43" s="45"/>
      <c r="VIT43" s="45"/>
      <c r="VIU43" s="45"/>
      <c r="VIV43" s="45"/>
      <c r="VIW43" s="45"/>
      <c r="VIX43" s="45"/>
      <c r="VIY43" s="45"/>
      <c r="VIZ43" s="45"/>
      <c r="VJA43" s="45"/>
      <c r="VJB43" s="45"/>
      <c r="VJC43" s="45"/>
      <c r="VJD43" s="45"/>
      <c r="VJE43" s="45"/>
      <c r="VJF43" s="45"/>
      <c r="VJG43" s="45"/>
      <c r="VJH43" s="45"/>
      <c r="VJI43" s="45"/>
      <c r="VJJ43" s="45"/>
      <c r="VJK43" s="45"/>
      <c r="VJL43" s="45"/>
      <c r="VJM43" s="45"/>
      <c r="VJN43" s="45"/>
      <c r="VJO43" s="45"/>
      <c r="VJP43" s="45"/>
      <c r="VJQ43" s="45"/>
      <c r="VJR43" s="45"/>
      <c r="VJS43" s="45"/>
      <c r="VJT43" s="45"/>
      <c r="VJU43" s="45"/>
      <c r="VJV43" s="45"/>
      <c r="VJW43" s="45"/>
      <c r="VJX43" s="45"/>
      <c r="VJY43" s="45"/>
      <c r="VJZ43" s="45"/>
      <c r="VKA43" s="45"/>
      <c r="VKB43" s="45"/>
      <c r="VKC43" s="45"/>
      <c r="VKD43" s="45"/>
      <c r="VKE43" s="45"/>
      <c r="VKF43" s="45"/>
      <c r="VKG43" s="45"/>
      <c r="VKH43" s="45"/>
      <c r="VKI43" s="45"/>
      <c r="VKJ43" s="45"/>
      <c r="VKK43" s="45"/>
      <c r="VKL43" s="45"/>
      <c r="VKM43" s="45"/>
      <c r="VKN43" s="45"/>
      <c r="VKO43" s="45"/>
      <c r="VKP43" s="45"/>
      <c r="VKQ43" s="45"/>
      <c r="VKR43" s="45"/>
      <c r="VKS43" s="45"/>
      <c r="VKT43" s="45"/>
      <c r="VKU43" s="45"/>
      <c r="VKV43" s="45"/>
      <c r="VKW43" s="45"/>
      <c r="VKX43" s="45"/>
      <c r="VKY43" s="45"/>
      <c r="VKZ43" s="45"/>
      <c r="VLA43" s="45"/>
      <c r="VLB43" s="45"/>
      <c r="VLC43" s="45"/>
      <c r="VLD43" s="45"/>
      <c r="VLE43" s="45"/>
      <c r="VLF43" s="45"/>
      <c r="VLG43" s="45"/>
      <c r="VLH43" s="45"/>
      <c r="VLI43" s="45"/>
      <c r="VLJ43" s="45"/>
      <c r="VLK43" s="45"/>
      <c r="VLL43" s="45"/>
      <c r="VLM43" s="45"/>
      <c r="VLN43" s="45"/>
      <c r="VLO43" s="45"/>
      <c r="VLP43" s="45"/>
      <c r="VLQ43" s="45"/>
      <c r="VLR43" s="45"/>
      <c r="VLS43" s="45"/>
      <c r="VLT43" s="45"/>
      <c r="VLU43" s="45"/>
      <c r="VLV43" s="45"/>
      <c r="VLW43" s="45"/>
      <c r="VLX43" s="45"/>
      <c r="VLY43" s="45"/>
      <c r="VLZ43" s="45"/>
      <c r="VMA43" s="45"/>
      <c r="VMB43" s="45"/>
      <c r="VMC43" s="45"/>
      <c r="VMD43" s="45"/>
      <c r="VME43" s="45"/>
      <c r="VMF43" s="45"/>
      <c r="VMG43" s="45"/>
      <c r="VMH43" s="45"/>
      <c r="VMI43" s="45"/>
      <c r="VMJ43" s="45"/>
      <c r="VMK43" s="45"/>
      <c r="VML43" s="45"/>
      <c r="VMM43" s="45"/>
      <c r="VMN43" s="45"/>
      <c r="VMO43" s="45"/>
      <c r="VMP43" s="45"/>
      <c r="VMQ43" s="45"/>
      <c r="VMR43" s="45"/>
      <c r="VMS43" s="45"/>
      <c r="VMT43" s="45"/>
      <c r="VMU43" s="45"/>
      <c r="VMV43" s="45"/>
      <c r="VMW43" s="45"/>
      <c r="VMX43" s="45"/>
      <c r="VMY43" s="45"/>
      <c r="VMZ43" s="45"/>
      <c r="VNA43" s="45"/>
      <c r="VNB43" s="45"/>
      <c r="VNC43" s="45"/>
      <c r="VND43" s="45"/>
      <c r="VNE43" s="45"/>
      <c r="VNF43" s="45"/>
      <c r="VNG43" s="45"/>
      <c r="VNH43" s="45"/>
      <c r="VNI43" s="45"/>
      <c r="VNJ43" s="45"/>
      <c r="VNK43" s="45"/>
      <c r="VNL43" s="45"/>
      <c r="VNM43" s="45"/>
      <c r="VNN43" s="45"/>
      <c r="VNO43" s="45"/>
      <c r="VNP43" s="45"/>
      <c r="VNQ43" s="45"/>
      <c r="VNR43" s="45"/>
      <c r="VNS43" s="45"/>
      <c r="VNT43" s="45"/>
      <c r="VNU43" s="45"/>
      <c r="VNV43" s="45"/>
      <c r="VNW43" s="45"/>
      <c r="VNX43" s="45"/>
      <c r="VNY43" s="45"/>
      <c r="VNZ43" s="45"/>
      <c r="VOA43" s="45"/>
      <c r="VOB43" s="45"/>
      <c r="VOC43" s="45"/>
      <c r="VOD43" s="45"/>
      <c r="VOE43" s="45"/>
      <c r="VOF43" s="45"/>
      <c r="VOG43" s="45"/>
      <c r="VOH43" s="45"/>
      <c r="VOI43" s="45"/>
      <c r="VOJ43" s="45"/>
      <c r="VOK43" s="45"/>
      <c r="VOL43" s="45"/>
      <c r="VOM43" s="45"/>
      <c r="VON43" s="45"/>
      <c r="VOO43" s="45"/>
      <c r="VOP43" s="45"/>
      <c r="VOQ43" s="45"/>
      <c r="VOR43" s="45"/>
      <c r="VOS43" s="45"/>
      <c r="VOT43" s="45"/>
      <c r="VOU43" s="45"/>
      <c r="VOV43" s="45"/>
      <c r="VOW43" s="45"/>
      <c r="VOX43" s="45"/>
      <c r="VOY43" s="45"/>
      <c r="VOZ43" s="45"/>
      <c r="VPA43" s="45"/>
      <c r="VPB43" s="45"/>
      <c r="VPC43" s="45"/>
      <c r="VPD43" s="45"/>
      <c r="VPE43" s="45"/>
      <c r="VPF43" s="45"/>
      <c r="VPG43" s="45"/>
      <c r="VPH43" s="45"/>
      <c r="VPI43" s="45"/>
      <c r="VPJ43" s="45"/>
      <c r="VPK43" s="45"/>
      <c r="VPL43" s="45"/>
      <c r="VPM43" s="45"/>
      <c r="VPN43" s="45"/>
      <c r="VPO43" s="45"/>
      <c r="VPP43" s="45"/>
      <c r="VPQ43" s="45"/>
      <c r="VPR43" s="45"/>
      <c r="VPS43" s="45"/>
      <c r="VPT43" s="45"/>
      <c r="VPU43" s="45"/>
      <c r="VPV43" s="45"/>
      <c r="VPW43" s="45"/>
      <c r="VPX43" s="45"/>
      <c r="VPY43" s="45"/>
      <c r="VPZ43" s="45"/>
      <c r="VQA43" s="45"/>
      <c r="VQB43" s="45"/>
      <c r="VQC43" s="45"/>
      <c r="VQD43" s="45"/>
      <c r="VQE43" s="45"/>
      <c r="VQF43" s="45"/>
      <c r="VQG43" s="45"/>
      <c r="VQH43" s="45"/>
      <c r="VQI43" s="45"/>
      <c r="VQJ43" s="45"/>
      <c r="VQK43" s="45"/>
      <c r="VQL43" s="45"/>
      <c r="VQM43" s="45"/>
      <c r="VQN43" s="45"/>
      <c r="VQO43" s="45"/>
      <c r="VQP43" s="45"/>
      <c r="VQQ43" s="45"/>
      <c r="VQR43" s="45"/>
      <c r="VQS43" s="45"/>
      <c r="VQT43" s="45"/>
      <c r="VQU43" s="45"/>
      <c r="VQV43" s="45"/>
      <c r="VQW43" s="45"/>
      <c r="VQX43" s="45"/>
      <c r="VQY43" s="45"/>
      <c r="VQZ43" s="45"/>
      <c r="VRA43" s="45"/>
      <c r="VRB43" s="45"/>
      <c r="VRC43" s="45"/>
      <c r="VRD43" s="45"/>
      <c r="VRE43" s="45"/>
      <c r="VRF43" s="45"/>
      <c r="VRG43" s="45"/>
      <c r="VRH43" s="45"/>
      <c r="VRI43" s="45"/>
      <c r="VRJ43" s="45"/>
      <c r="VRK43" s="45"/>
      <c r="VRL43" s="45"/>
      <c r="VRM43" s="45"/>
      <c r="VRN43" s="45"/>
      <c r="VRO43" s="45"/>
      <c r="VRP43" s="45"/>
      <c r="VRQ43" s="45"/>
      <c r="VRR43" s="45"/>
      <c r="VRS43" s="45"/>
      <c r="VRT43" s="45"/>
      <c r="VRU43" s="45"/>
      <c r="VRV43" s="45"/>
      <c r="VRW43" s="45"/>
      <c r="VRX43" s="45"/>
      <c r="VRY43" s="45"/>
      <c r="VRZ43" s="45"/>
      <c r="VSA43" s="45"/>
      <c r="VSB43" s="45"/>
      <c r="VSC43" s="45"/>
      <c r="VSD43" s="45"/>
      <c r="VSE43" s="45"/>
      <c r="VSF43" s="45"/>
      <c r="VSG43" s="45"/>
      <c r="VSH43" s="45"/>
      <c r="VSI43" s="45"/>
      <c r="VSJ43" s="45"/>
      <c r="VSK43" s="45"/>
      <c r="VSL43" s="45"/>
      <c r="VSM43" s="45"/>
      <c r="VSN43" s="45"/>
      <c r="VSO43" s="45"/>
      <c r="VSP43" s="45"/>
      <c r="VSQ43" s="45"/>
      <c r="VSR43" s="45"/>
      <c r="VSS43" s="45"/>
      <c r="VST43" s="45"/>
      <c r="VSU43" s="45"/>
      <c r="VSV43" s="45"/>
      <c r="VSW43" s="45"/>
      <c r="VSX43" s="45"/>
      <c r="VSY43" s="45"/>
      <c r="VSZ43" s="45"/>
      <c r="VTA43" s="45"/>
      <c r="VTB43" s="45"/>
    </row>
    <row r="44" spans="1:15394" s="52" customFormat="1" ht="16.149999999999999" customHeight="1" x14ac:dyDescent="0.2">
      <c r="A44" s="53"/>
      <c r="B44" s="53"/>
      <c r="C44" s="53"/>
      <c r="D44" s="53"/>
      <c r="E44" s="53"/>
      <c r="F44" s="53"/>
      <c r="G44" s="181"/>
      <c r="H44" s="51"/>
      <c r="I44" s="51"/>
      <c r="J44" s="162"/>
      <c r="K44" s="50"/>
      <c r="L44" s="50"/>
      <c r="M44" s="49"/>
      <c r="N44" s="143"/>
      <c r="O44" s="143"/>
      <c r="P44" s="156"/>
      <c r="Q44" s="151"/>
      <c r="R44" s="50"/>
      <c r="S44" s="50"/>
      <c r="T44" s="49"/>
      <c r="U44" s="159"/>
      <c r="V44" s="159"/>
      <c r="W44" s="159"/>
      <c r="X44" s="48"/>
      <c r="Y44" s="48"/>
      <c r="Z44" s="48"/>
      <c r="AA44" s="48"/>
      <c r="AB44" s="48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6"/>
      <c r="CH44" s="45"/>
      <c r="CI44" s="45"/>
      <c r="CJ44" s="45"/>
      <c r="CK44" s="45"/>
      <c r="CL44" s="45"/>
      <c r="CM44" s="45"/>
      <c r="CN44" s="45"/>
      <c r="CO44" s="45"/>
      <c r="CP44" s="45"/>
      <c r="CQ44" s="45"/>
      <c r="CR44" s="45"/>
      <c r="CS44" s="45"/>
      <c r="CT44" s="45"/>
      <c r="CU44" s="45"/>
      <c r="CV44" s="45"/>
      <c r="CW44" s="45"/>
      <c r="CX44" s="45"/>
      <c r="CY44" s="45"/>
      <c r="CZ44" s="45"/>
      <c r="DA44" s="45"/>
      <c r="DB44" s="45"/>
      <c r="DC44" s="45"/>
      <c r="DD44" s="45"/>
      <c r="DE44" s="45"/>
      <c r="DF44" s="45"/>
      <c r="DG44" s="45"/>
      <c r="DH44" s="45"/>
      <c r="DI44" s="45"/>
      <c r="DJ44" s="45"/>
      <c r="DK44" s="45"/>
      <c r="DL44" s="45"/>
      <c r="DM44" s="45"/>
      <c r="DN44" s="45"/>
      <c r="DO44" s="45"/>
      <c r="DP44" s="45"/>
      <c r="DQ44" s="45"/>
      <c r="DR44" s="45"/>
      <c r="DS44" s="45"/>
      <c r="DT44" s="45"/>
      <c r="DU44" s="45"/>
      <c r="DV44" s="45"/>
      <c r="DW44" s="45"/>
      <c r="DX44" s="45"/>
      <c r="DY44" s="45"/>
      <c r="DZ44" s="45"/>
      <c r="EA44" s="45"/>
      <c r="EB44" s="45"/>
      <c r="EC44" s="45"/>
      <c r="ED44" s="45"/>
      <c r="EE44" s="45"/>
      <c r="EF44" s="45"/>
      <c r="EG44" s="45"/>
      <c r="EH44" s="45"/>
      <c r="EI44" s="45"/>
      <c r="EJ44" s="45"/>
      <c r="EK44" s="45"/>
      <c r="EL44" s="45"/>
      <c r="EM44" s="45"/>
      <c r="EN44" s="45"/>
      <c r="EO44" s="45"/>
      <c r="EP44" s="45"/>
      <c r="EQ44" s="45"/>
      <c r="ER44" s="45"/>
      <c r="ES44" s="45"/>
      <c r="ET44" s="45"/>
      <c r="EU44" s="45"/>
      <c r="EV44" s="45"/>
      <c r="EW44" s="45"/>
      <c r="EX44" s="45"/>
      <c r="EY44" s="45"/>
      <c r="EZ44" s="45"/>
      <c r="FA44" s="45"/>
      <c r="FB44" s="45"/>
      <c r="FC44" s="45"/>
      <c r="FD44" s="45"/>
      <c r="FE44" s="45"/>
      <c r="FF44" s="45"/>
      <c r="FG44" s="45"/>
      <c r="FH44" s="45"/>
      <c r="FI44" s="45"/>
      <c r="FJ44" s="45"/>
      <c r="FK44" s="45"/>
      <c r="FL44" s="45"/>
      <c r="FM44" s="45"/>
      <c r="FN44" s="45"/>
      <c r="FO44" s="45"/>
      <c r="FP44" s="45"/>
      <c r="FQ44" s="45"/>
      <c r="FR44" s="45"/>
      <c r="FS44" s="45"/>
      <c r="FT44" s="45"/>
      <c r="FU44" s="45"/>
      <c r="FV44" s="45"/>
      <c r="FW44" s="45"/>
      <c r="FX44" s="45"/>
      <c r="FY44" s="45"/>
      <c r="FZ44" s="45"/>
      <c r="GA44" s="45"/>
      <c r="GB44" s="45"/>
      <c r="GC44" s="45"/>
      <c r="GD44" s="45"/>
      <c r="GE44" s="45"/>
      <c r="GF44" s="45"/>
      <c r="GG44" s="45"/>
      <c r="GH44" s="45"/>
      <c r="GI44" s="45"/>
      <c r="GJ44" s="45"/>
      <c r="GK44" s="45"/>
      <c r="GL44" s="45"/>
      <c r="GM44" s="45"/>
      <c r="GN44" s="45"/>
      <c r="GO44" s="45"/>
      <c r="GP44" s="45"/>
      <c r="GQ44" s="45"/>
      <c r="GR44" s="45"/>
      <c r="GS44" s="45"/>
      <c r="GT44" s="45"/>
      <c r="GU44" s="45"/>
      <c r="GV44" s="45"/>
      <c r="GW44" s="45"/>
      <c r="GX44" s="45"/>
      <c r="GY44" s="45"/>
      <c r="GZ44" s="45"/>
      <c r="HA44" s="45"/>
      <c r="HB44" s="45"/>
      <c r="HC44" s="45"/>
      <c r="HD44" s="45"/>
      <c r="HE44" s="45"/>
      <c r="HF44" s="45"/>
      <c r="HG44" s="45"/>
      <c r="HH44" s="45"/>
      <c r="HI44" s="45"/>
      <c r="HJ44" s="45"/>
      <c r="HK44" s="45"/>
      <c r="HL44" s="45"/>
      <c r="HM44" s="45"/>
      <c r="HN44" s="45"/>
      <c r="HO44" s="45"/>
      <c r="HP44" s="45"/>
      <c r="HQ44" s="45"/>
      <c r="HR44" s="45"/>
      <c r="HS44" s="45"/>
      <c r="HT44" s="45"/>
      <c r="HU44" s="45"/>
      <c r="HV44" s="45"/>
      <c r="HW44" s="45"/>
      <c r="HX44" s="45"/>
      <c r="HY44" s="45"/>
      <c r="HZ44" s="45"/>
      <c r="IA44" s="45"/>
      <c r="IB44" s="45"/>
      <c r="IC44" s="45"/>
      <c r="ID44" s="45"/>
      <c r="IE44" s="45"/>
      <c r="IF44" s="45"/>
      <c r="IG44" s="45"/>
      <c r="IH44" s="45"/>
      <c r="II44" s="45"/>
      <c r="IJ44" s="45"/>
      <c r="IK44" s="45"/>
      <c r="IL44" s="45"/>
      <c r="IM44" s="45"/>
      <c r="IN44" s="45"/>
      <c r="IO44" s="45"/>
      <c r="IP44" s="45"/>
      <c r="IQ44" s="45"/>
      <c r="IR44" s="45"/>
      <c r="IS44" s="45"/>
      <c r="IT44" s="45"/>
      <c r="IU44" s="45"/>
      <c r="IV44" s="45"/>
      <c r="IW44" s="45"/>
      <c r="IX44" s="45"/>
      <c r="IY44" s="45"/>
      <c r="IZ44" s="45"/>
      <c r="JA44" s="45"/>
      <c r="JB44" s="45"/>
      <c r="JC44" s="45"/>
      <c r="JD44" s="45"/>
      <c r="JE44" s="45"/>
      <c r="JF44" s="45"/>
      <c r="JG44" s="45"/>
      <c r="JH44" s="45"/>
      <c r="JI44" s="45"/>
      <c r="JJ44" s="45"/>
      <c r="JK44" s="45"/>
      <c r="JL44" s="45"/>
      <c r="JM44" s="45"/>
      <c r="JN44" s="45"/>
      <c r="JO44" s="45"/>
      <c r="JP44" s="45"/>
      <c r="JQ44" s="45"/>
      <c r="JR44" s="45"/>
      <c r="JS44" s="45"/>
      <c r="JT44" s="45"/>
      <c r="JU44" s="45"/>
      <c r="JV44" s="45"/>
      <c r="JW44" s="45"/>
      <c r="JX44" s="45"/>
      <c r="JY44" s="45"/>
      <c r="JZ44" s="45"/>
      <c r="KA44" s="45"/>
      <c r="KB44" s="45"/>
      <c r="KC44" s="45"/>
      <c r="KD44" s="45"/>
      <c r="KE44" s="45"/>
      <c r="KF44" s="45"/>
      <c r="KG44" s="45"/>
      <c r="KH44" s="45"/>
      <c r="KI44" s="45"/>
      <c r="KJ44" s="45"/>
      <c r="KK44" s="45"/>
      <c r="KL44" s="45"/>
      <c r="KM44" s="45"/>
      <c r="KN44" s="45"/>
      <c r="KO44" s="45"/>
      <c r="KP44" s="45"/>
      <c r="KQ44" s="45"/>
      <c r="KR44" s="45"/>
      <c r="KS44" s="45"/>
      <c r="KT44" s="45"/>
      <c r="KU44" s="45"/>
      <c r="KV44" s="45"/>
      <c r="KW44" s="45"/>
      <c r="KX44" s="45"/>
      <c r="KY44" s="45"/>
      <c r="KZ44" s="45"/>
      <c r="LA44" s="45"/>
      <c r="LB44" s="45"/>
      <c r="LC44" s="45"/>
      <c r="LD44" s="45"/>
      <c r="LE44" s="45"/>
      <c r="LF44" s="45"/>
      <c r="LG44" s="45"/>
      <c r="LH44" s="45"/>
      <c r="LI44" s="45"/>
      <c r="LJ44" s="45"/>
      <c r="LK44" s="45"/>
      <c r="LL44" s="45"/>
      <c r="LM44" s="45"/>
      <c r="LN44" s="45"/>
      <c r="LO44" s="45"/>
      <c r="LP44" s="45"/>
      <c r="LQ44" s="45"/>
      <c r="LR44" s="45"/>
      <c r="LS44" s="45"/>
      <c r="LT44" s="45"/>
      <c r="LU44" s="45"/>
      <c r="LV44" s="45"/>
      <c r="LW44" s="45"/>
      <c r="LX44" s="45"/>
      <c r="LY44" s="45"/>
      <c r="LZ44" s="45"/>
      <c r="MA44" s="45"/>
      <c r="MB44" s="45"/>
      <c r="MC44" s="45"/>
      <c r="MD44" s="45"/>
      <c r="ME44" s="45"/>
      <c r="MF44" s="45"/>
      <c r="MG44" s="45"/>
      <c r="MH44" s="45"/>
      <c r="MI44" s="45"/>
      <c r="MJ44" s="45"/>
      <c r="MK44" s="45"/>
      <c r="ML44" s="45"/>
      <c r="MM44" s="45"/>
      <c r="MN44" s="45"/>
      <c r="MO44" s="45"/>
      <c r="MP44" s="45"/>
      <c r="MQ44" s="45"/>
      <c r="MR44" s="45"/>
      <c r="MS44" s="45"/>
      <c r="MT44" s="45"/>
      <c r="MU44" s="45"/>
      <c r="MV44" s="45"/>
      <c r="MW44" s="45"/>
      <c r="MX44" s="45"/>
      <c r="MY44" s="45"/>
      <c r="MZ44" s="45"/>
      <c r="NA44" s="45"/>
      <c r="NB44" s="45"/>
      <c r="NC44" s="45"/>
      <c r="ND44" s="45"/>
      <c r="NE44" s="45"/>
      <c r="NF44" s="45"/>
      <c r="NG44" s="45"/>
      <c r="NH44" s="45"/>
      <c r="NI44" s="45"/>
      <c r="NJ44" s="45"/>
      <c r="NK44" s="45"/>
      <c r="NL44" s="45"/>
      <c r="NM44" s="45"/>
      <c r="NN44" s="45"/>
      <c r="NO44" s="45"/>
      <c r="NP44" s="45"/>
      <c r="NQ44" s="45"/>
      <c r="NR44" s="45"/>
      <c r="NS44" s="45"/>
      <c r="NT44" s="45"/>
      <c r="NU44" s="45"/>
      <c r="NV44" s="45"/>
      <c r="NW44" s="45"/>
      <c r="NX44" s="45"/>
      <c r="NY44" s="45"/>
      <c r="NZ44" s="45"/>
      <c r="OA44" s="45"/>
      <c r="OB44" s="45"/>
      <c r="OC44" s="45"/>
      <c r="OD44" s="45"/>
      <c r="OE44" s="45"/>
      <c r="OF44" s="45"/>
      <c r="OG44" s="45"/>
      <c r="OH44" s="45"/>
      <c r="OI44" s="45"/>
      <c r="OJ44" s="45"/>
      <c r="OK44" s="45"/>
      <c r="OL44" s="45"/>
      <c r="OM44" s="45"/>
      <c r="ON44" s="45"/>
      <c r="OO44" s="45"/>
      <c r="OP44" s="45"/>
      <c r="OQ44" s="45"/>
      <c r="OR44" s="45"/>
      <c r="OS44" s="45"/>
      <c r="OT44" s="45"/>
      <c r="OU44" s="45"/>
      <c r="OV44" s="45"/>
      <c r="OW44" s="45"/>
      <c r="OX44" s="45"/>
      <c r="OY44" s="45"/>
      <c r="OZ44" s="45"/>
      <c r="PA44" s="45"/>
      <c r="PB44" s="45"/>
      <c r="PC44" s="45"/>
      <c r="PD44" s="45"/>
      <c r="PE44" s="45"/>
      <c r="PF44" s="45"/>
      <c r="PG44" s="45"/>
      <c r="PH44" s="45"/>
      <c r="PI44" s="45"/>
      <c r="PJ44" s="45"/>
      <c r="PK44" s="45"/>
      <c r="PL44" s="45"/>
      <c r="PM44" s="45"/>
      <c r="PN44" s="45"/>
      <c r="PO44" s="45"/>
      <c r="PP44" s="45"/>
      <c r="PQ44" s="45"/>
      <c r="PR44" s="45"/>
      <c r="PS44" s="45"/>
      <c r="PT44" s="45"/>
      <c r="PU44" s="45"/>
      <c r="PV44" s="45"/>
      <c r="PW44" s="45"/>
      <c r="PX44" s="45"/>
      <c r="PY44" s="45"/>
      <c r="PZ44" s="45"/>
      <c r="QA44" s="45"/>
      <c r="QB44" s="45"/>
      <c r="QC44" s="45"/>
      <c r="QD44" s="45"/>
      <c r="QE44" s="45"/>
      <c r="QF44" s="45"/>
      <c r="QG44" s="45"/>
      <c r="QH44" s="45"/>
      <c r="QI44" s="45"/>
      <c r="QJ44" s="45"/>
      <c r="QK44" s="45"/>
      <c r="QL44" s="45"/>
      <c r="QM44" s="45"/>
      <c r="QN44" s="45"/>
      <c r="QO44" s="45"/>
      <c r="QP44" s="45"/>
      <c r="QQ44" s="45"/>
      <c r="QR44" s="45"/>
      <c r="QS44" s="45"/>
      <c r="QT44" s="45"/>
      <c r="QU44" s="45"/>
      <c r="QV44" s="45"/>
      <c r="QW44" s="45"/>
      <c r="QX44" s="45"/>
      <c r="QY44" s="45"/>
      <c r="QZ44" s="45"/>
      <c r="RA44" s="45"/>
      <c r="RB44" s="45"/>
      <c r="RC44" s="45"/>
      <c r="RD44" s="45"/>
      <c r="RE44" s="45"/>
      <c r="RF44" s="45"/>
      <c r="RG44" s="45"/>
      <c r="RH44" s="45"/>
      <c r="RI44" s="45"/>
      <c r="RJ44" s="45"/>
      <c r="RK44" s="45"/>
      <c r="RL44" s="45"/>
      <c r="RM44" s="45"/>
      <c r="RN44" s="45"/>
      <c r="RO44" s="45"/>
      <c r="RP44" s="45"/>
      <c r="RQ44" s="45"/>
      <c r="RR44" s="45"/>
      <c r="RS44" s="45"/>
      <c r="RT44" s="45"/>
      <c r="RU44" s="45"/>
      <c r="RV44" s="45"/>
      <c r="RW44" s="45"/>
      <c r="RX44" s="45"/>
      <c r="RY44" s="45"/>
      <c r="RZ44" s="45"/>
      <c r="SA44" s="45"/>
      <c r="SB44" s="45"/>
      <c r="SC44" s="45"/>
      <c r="SD44" s="45"/>
      <c r="SE44" s="45"/>
      <c r="SF44" s="45"/>
      <c r="SG44" s="45"/>
      <c r="SH44" s="45"/>
      <c r="SI44" s="45"/>
      <c r="SJ44" s="45"/>
      <c r="SK44" s="45"/>
      <c r="SL44" s="45"/>
      <c r="SM44" s="45"/>
      <c r="SN44" s="45"/>
      <c r="SO44" s="45"/>
      <c r="SP44" s="45"/>
      <c r="SQ44" s="45"/>
      <c r="SR44" s="45"/>
      <c r="SS44" s="45"/>
      <c r="ST44" s="45"/>
      <c r="SU44" s="45"/>
      <c r="SV44" s="45"/>
      <c r="SW44" s="45"/>
      <c r="SX44" s="45"/>
      <c r="SY44" s="45"/>
      <c r="SZ44" s="45"/>
      <c r="TA44" s="45"/>
      <c r="TB44" s="45"/>
      <c r="TC44" s="45"/>
      <c r="TD44" s="45"/>
      <c r="TE44" s="45"/>
      <c r="TF44" s="45"/>
      <c r="TG44" s="45"/>
      <c r="TH44" s="45"/>
      <c r="TI44" s="45"/>
      <c r="TJ44" s="45"/>
      <c r="TK44" s="45"/>
      <c r="TL44" s="45"/>
      <c r="TM44" s="45"/>
      <c r="TN44" s="45"/>
      <c r="TO44" s="45"/>
      <c r="TP44" s="45"/>
      <c r="TQ44" s="45"/>
      <c r="TR44" s="45"/>
      <c r="TS44" s="45"/>
      <c r="TT44" s="45"/>
      <c r="TU44" s="45"/>
      <c r="TV44" s="45"/>
      <c r="TW44" s="45"/>
      <c r="TX44" s="45"/>
      <c r="TY44" s="45"/>
      <c r="TZ44" s="45"/>
      <c r="UA44" s="45"/>
      <c r="UB44" s="45"/>
      <c r="UC44" s="45"/>
      <c r="UD44" s="45"/>
      <c r="UE44" s="45"/>
      <c r="UF44" s="45"/>
      <c r="UG44" s="45"/>
      <c r="UH44" s="45"/>
      <c r="UI44" s="45"/>
      <c r="UJ44" s="45"/>
      <c r="UK44" s="45"/>
      <c r="UL44" s="45"/>
      <c r="UM44" s="45"/>
      <c r="UN44" s="45"/>
      <c r="UO44" s="45"/>
      <c r="UP44" s="45"/>
      <c r="UQ44" s="45"/>
      <c r="UR44" s="45"/>
      <c r="US44" s="45"/>
      <c r="UT44" s="45"/>
      <c r="UU44" s="45"/>
      <c r="UV44" s="45"/>
      <c r="UW44" s="45"/>
      <c r="UX44" s="45"/>
      <c r="UY44" s="45"/>
      <c r="UZ44" s="45"/>
      <c r="VA44" s="45"/>
      <c r="VB44" s="45"/>
      <c r="VC44" s="45"/>
      <c r="VD44" s="45"/>
      <c r="VE44" s="45"/>
      <c r="VF44" s="45"/>
      <c r="VG44" s="45"/>
      <c r="VH44" s="45"/>
      <c r="VI44" s="45"/>
      <c r="VJ44" s="45"/>
      <c r="VK44" s="45"/>
      <c r="VL44" s="45"/>
      <c r="VM44" s="45"/>
      <c r="VN44" s="45"/>
      <c r="VO44" s="45"/>
      <c r="VP44" s="45"/>
      <c r="VQ44" s="45"/>
      <c r="VR44" s="45"/>
      <c r="VS44" s="45"/>
      <c r="VT44" s="45"/>
      <c r="VU44" s="45"/>
      <c r="VV44" s="45"/>
      <c r="VW44" s="45"/>
      <c r="VX44" s="45"/>
      <c r="VY44" s="45"/>
      <c r="VZ44" s="45"/>
      <c r="WA44" s="45"/>
      <c r="WB44" s="45"/>
      <c r="WC44" s="45"/>
      <c r="WD44" s="45"/>
      <c r="WE44" s="45"/>
      <c r="WF44" s="45"/>
      <c r="WG44" s="45"/>
      <c r="WH44" s="45"/>
      <c r="WI44" s="45"/>
      <c r="WJ44" s="45"/>
      <c r="WK44" s="45"/>
      <c r="WL44" s="45"/>
      <c r="WM44" s="45"/>
      <c r="WN44" s="45"/>
      <c r="WO44" s="45"/>
      <c r="WP44" s="45"/>
      <c r="WQ44" s="45"/>
      <c r="WR44" s="45"/>
      <c r="WS44" s="45"/>
      <c r="WT44" s="45"/>
      <c r="WU44" s="45"/>
      <c r="WV44" s="45"/>
      <c r="WW44" s="45"/>
      <c r="WX44" s="45"/>
      <c r="WY44" s="45"/>
      <c r="WZ44" s="45"/>
      <c r="XA44" s="45"/>
      <c r="XB44" s="45"/>
      <c r="XC44" s="45"/>
      <c r="XD44" s="45"/>
      <c r="XE44" s="45"/>
      <c r="XF44" s="45"/>
      <c r="XG44" s="45"/>
      <c r="XH44" s="45"/>
      <c r="XI44" s="45"/>
      <c r="XJ44" s="45"/>
      <c r="XK44" s="45"/>
      <c r="XL44" s="45"/>
      <c r="XM44" s="45"/>
      <c r="XN44" s="45"/>
      <c r="XO44" s="45"/>
      <c r="XP44" s="45"/>
      <c r="XQ44" s="45"/>
      <c r="XR44" s="45"/>
      <c r="XS44" s="45"/>
      <c r="XT44" s="45"/>
      <c r="XU44" s="45"/>
      <c r="XV44" s="45"/>
      <c r="XW44" s="45"/>
      <c r="XX44" s="45"/>
      <c r="XY44" s="45"/>
      <c r="XZ44" s="45"/>
      <c r="YA44" s="45"/>
      <c r="YB44" s="45"/>
      <c r="YC44" s="45"/>
      <c r="YD44" s="45"/>
      <c r="YE44" s="45"/>
      <c r="YF44" s="45"/>
      <c r="YG44" s="45"/>
      <c r="YH44" s="45"/>
      <c r="YI44" s="45"/>
      <c r="YJ44" s="45"/>
      <c r="YK44" s="45"/>
      <c r="YL44" s="45"/>
      <c r="YM44" s="45"/>
      <c r="YN44" s="45"/>
      <c r="YO44" s="45"/>
      <c r="YP44" s="45"/>
      <c r="YQ44" s="45"/>
      <c r="YR44" s="45"/>
      <c r="YS44" s="45"/>
      <c r="YT44" s="45"/>
      <c r="YU44" s="45"/>
      <c r="YV44" s="45"/>
      <c r="YW44" s="45"/>
      <c r="YX44" s="45"/>
      <c r="YY44" s="45"/>
      <c r="YZ44" s="45"/>
      <c r="ZA44" s="45"/>
      <c r="ZB44" s="45"/>
      <c r="ZC44" s="45"/>
      <c r="ZD44" s="45"/>
      <c r="ZE44" s="45"/>
      <c r="ZF44" s="45"/>
      <c r="ZG44" s="45"/>
      <c r="ZH44" s="45"/>
      <c r="ZI44" s="45"/>
      <c r="ZJ44" s="45"/>
      <c r="ZK44" s="45"/>
      <c r="ZL44" s="45"/>
      <c r="ZM44" s="45"/>
      <c r="ZN44" s="45"/>
      <c r="ZO44" s="45"/>
      <c r="ZP44" s="45"/>
      <c r="ZQ44" s="45"/>
      <c r="ZR44" s="45"/>
      <c r="ZS44" s="45"/>
      <c r="ZT44" s="45"/>
      <c r="ZU44" s="45"/>
      <c r="ZV44" s="45"/>
      <c r="ZW44" s="45"/>
      <c r="ZX44" s="45"/>
      <c r="ZY44" s="45"/>
      <c r="ZZ44" s="45"/>
      <c r="AAA44" s="45"/>
      <c r="AAB44" s="45"/>
      <c r="AAC44" s="45"/>
      <c r="AAD44" s="45"/>
      <c r="AAE44" s="45"/>
      <c r="AAF44" s="45"/>
      <c r="AAG44" s="45"/>
      <c r="AAH44" s="45"/>
      <c r="AAI44" s="45"/>
      <c r="AAJ44" s="45"/>
      <c r="AAK44" s="45"/>
      <c r="AAL44" s="45"/>
      <c r="AAM44" s="45"/>
      <c r="AAN44" s="45"/>
      <c r="AAO44" s="45"/>
      <c r="AAP44" s="45"/>
      <c r="AAQ44" s="45"/>
      <c r="AAR44" s="45"/>
      <c r="AAS44" s="45"/>
      <c r="AAT44" s="45"/>
      <c r="AAU44" s="45"/>
      <c r="AAV44" s="45"/>
      <c r="AAW44" s="45"/>
      <c r="AAX44" s="45"/>
      <c r="AAY44" s="45"/>
      <c r="AAZ44" s="45"/>
      <c r="ABA44" s="45"/>
      <c r="ABB44" s="45"/>
      <c r="ABC44" s="45"/>
      <c r="ABD44" s="45"/>
      <c r="ABE44" s="45"/>
      <c r="ABF44" s="45"/>
      <c r="ABG44" s="45"/>
      <c r="ABH44" s="45"/>
      <c r="ABI44" s="45"/>
      <c r="ABJ44" s="45"/>
      <c r="ABK44" s="45"/>
      <c r="ABL44" s="45"/>
      <c r="ABM44" s="45"/>
      <c r="ABN44" s="45"/>
      <c r="ABO44" s="45"/>
      <c r="ABP44" s="45"/>
      <c r="ABQ44" s="45"/>
      <c r="ABR44" s="45"/>
      <c r="ABS44" s="45"/>
      <c r="ABT44" s="45"/>
      <c r="ABU44" s="45"/>
      <c r="ABV44" s="45"/>
      <c r="ABW44" s="45"/>
      <c r="ABX44" s="45"/>
      <c r="ABY44" s="45"/>
      <c r="ABZ44" s="45"/>
      <c r="ACA44" s="45"/>
      <c r="ACB44" s="45"/>
      <c r="ACC44" s="45"/>
      <c r="ACD44" s="45"/>
      <c r="ACE44" s="45"/>
      <c r="ACF44" s="45"/>
      <c r="ACG44" s="45"/>
      <c r="ACH44" s="45"/>
      <c r="ACI44" s="45"/>
      <c r="ACJ44" s="45"/>
      <c r="ACK44" s="45"/>
      <c r="ACL44" s="45"/>
      <c r="ACM44" s="45"/>
      <c r="ACN44" s="45"/>
      <c r="ACO44" s="45"/>
      <c r="ACP44" s="45"/>
      <c r="ACQ44" s="45"/>
      <c r="ACR44" s="45"/>
      <c r="ACS44" s="45"/>
      <c r="ACT44" s="45"/>
      <c r="ACU44" s="45"/>
      <c r="ACV44" s="45"/>
      <c r="ACW44" s="45"/>
      <c r="ACX44" s="45"/>
      <c r="ACY44" s="45"/>
      <c r="ACZ44" s="45"/>
      <c r="ADA44" s="45"/>
      <c r="ADB44" s="45"/>
      <c r="ADC44" s="45"/>
      <c r="ADD44" s="45"/>
      <c r="ADE44" s="45"/>
      <c r="ADF44" s="45"/>
      <c r="ADG44" s="45"/>
      <c r="ADH44" s="45"/>
      <c r="ADI44" s="45"/>
      <c r="ADJ44" s="45"/>
      <c r="ADK44" s="45"/>
      <c r="ADL44" s="45"/>
      <c r="ADM44" s="45"/>
      <c r="ADN44" s="45"/>
      <c r="ADO44" s="45"/>
      <c r="ADP44" s="45"/>
      <c r="ADQ44" s="45"/>
      <c r="ADR44" s="45"/>
      <c r="ADS44" s="45"/>
      <c r="ADT44" s="45"/>
      <c r="ADU44" s="45"/>
      <c r="ADV44" s="45"/>
      <c r="ADW44" s="45"/>
      <c r="ADX44" s="45"/>
      <c r="ADY44" s="45"/>
      <c r="ADZ44" s="45"/>
      <c r="AEA44" s="45"/>
      <c r="AEB44" s="45"/>
      <c r="AEC44" s="45"/>
      <c r="AED44" s="45"/>
      <c r="AEE44" s="45"/>
      <c r="AEF44" s="45"/>
      <c r="AEG44" s="45"/>
      <c r="AEH44" s="45"/>
      <c r="AEI44" s="45"/>
      <c r="AEJ44" s="45"/>
      <c r="AEK44" s="45"/>
      <c r="AEL44" s="45"/>
      <c r="AEM44" s="45"/>
      <c r="AEN44" s="45"/>
      <c r="AEO44" s="45"/>
      <c r="AEP44" s="45"/>
      <c r="AEQ44" s="45"/>
      <c r="AER44" s="45"/>
      <c r="AES44" s="45"/>
      <c r="AET44" s="45"/>
      <c r="AEU44" s="45"/>
      <c r="AEV44" s="45"/>
      <c r="AEW44" s="45"/>
      <c r="AEX44" s="45"/>
      <c r="AEY44" s="45"/>
      <c r="AEZ44" s="45"/>
      <c r="AFA44" s="45"/>
      <c r="AFB44" s="45"/>
      <c r="AFC44" s="45"/>
      <c r="AFD44" s="45"/>
      <c r="AFE44" s="45"/>
      <c r="AFF44" s="45"/>
      <c r="AFG44" s="45"/>
      <c r="AFH44" s="45"/>
      <c r="AFI44" s="45"/>
      <c r="AFJ44" s="45"/>
      <c r="AFK44" s="45"/>
      <c r="AFL44" s="45"/>
      <c r="AFM44" s="45"/>
      <c r="AFN44" s="45"/>
      <c r="AFO44" s="45"/>
      <c r="AFP44" s="45"/>
      <c r="AFQ44" s="45"/>
      <c r="AFR44" s="45"/>
      <c r="AFS44" s="45"/>
      <c r="AFT44" s="45"/>
      <c r="AFU44" s="45"/>
      <c r="AFV44" s="45"/>
      <c r="AFW44" s="45"/>
      <c r="AFX44" s="45"/>
      <c r="AFY44" s="45"/>
      <c r="AFZ44" s="45"/>
      <c r="AGA44" s="45"/>
      <c r="AGB44" s="45"/>
      <c r="AGC44" s="45"/>
      <c r="AGD44" s="45"/>
      <c r="AGE44" s="45"/>
      <c r="AGF44" s="45"/>
      <c r="AGG44" s="45"/>
      <c r="AGH44" s="45"/>
      <c r="AGI44" s="45"/>
      <c r="AGJ44" s="45"/>
      <c r="AGK44" s="45"/>
      <c r="AGL44" s="45"/>
      <c r="AGM44" s="45"/>
      <c r="AGN44" s="45"/>
      <c r="AGO44" s="45"/>
      <c r="AGP44" s="45"/>
      <c r="AGQ44" s="45"/>
      <c r="AGR44" s="45"/>
      <c r="AGS44" s="45"/>
      <c r="AGT44" s="45"/>
      <c r="AGU44" s="45"/>
      <c r="AGV44" s="45"/>
      <c r="AGW44" s="45"/>
      <c r="AGX44" s="45"/>
      <c r="AGY44" s="45"/>
      <c r="AGZ44" s="45"/>
      <c r="AHA44" s="45"/>
      <c r="AHB44" s="45"/>
      <c r="AHC44" s="45"/>
      <c r="AHD44" s="45"/>
      <c r="AHE44" s="45"/>
      <c r="AHF44" s="45"/>
      <c r="AHG44" s="45"/>
      <c r="AHH44" s="45"/>
      <c r="AHI44" s="45"/>
      <c r="AHJ44" s="45"/>
      <c r="AHK44" s="45"/>
      <c r="AHL44" s="45"/>
      <c r="AHM44" s="45"/>
      <c r="AHN44" s="45"/>
      <c r="AHO44" s="45"/>
      <c r="AHP44" s="45"/>
      <c r="AHQ44" s="45"/>
      <c r="AHR44" s="45"/>
      <c r="AHS44" s="45"/>
      <c r="AHT44" s="45"/>
      <c r="AHU44" s="45"/>
      <c r="AHV44" s="45"/>
      <c r="AHW44" s="45"/>
      <c r="AHX44" s="45"/>
      <c r="AHY44" s="45"/>
      <c r="AHZ44" s="45"/>
      <c r="AIA44" s="45"/>
      <c r="AIB44" s="45"/>
      <c r="AIC44" s="45"/>
      <c r="AID44" s="45"/>
      <c r="AIE44" s="45"/>
      <c r="AIF44" s="45"/>
      <c r="AIG44" s="45"/>
      <c r="AIH44" s="45"/>
      <c r="AII44" s="45"/>
      <c r="AIJ44" s="45"/>
      <c r="AIK44" s="45"/>
      <c r="AIL44" s="45"/>
      <c r="AIM44" s="45"/>
      <c r="AIN44" s="45"/>
      <c r="AIO44" s="45"/>
      <c r="AIP44" s="45"/>
      <c r="AIQ44" s="45"/>
      <c r="AIR44" s="45"/>
      <c r="AIS44" s="45"/>
      <c r="AIT44" s="45"/>
      <c r="AIU44" s="45"/>
      <c r="AIV44" s="45"/>
      <c r="AIW44" s="45"/>
      <c r="AIX44" s="45"/>
      <c r="AIY44" s="45"/>
      <c r="AIZ44" s="45"/>
      <c r="AJA44" s="45"/>
      <c r="AJB44" s="45"/>
      <c r="AJC44" s="45"/>
      <c r="AJD44" s="45"/>
      <c r="AJE44" s="45"/>
      <c r="AJF44" s="45"/>
      <c r="AJG44" s="45"/>
      <c r="AJH44" s="45"/>
      <c r="AJI44" s="45"/>
      <c r="AJJ44" s="45"/>
      <c r="AJK44" s="45"/>
      <c r="AJL44" s="45"/>
      <c r="AJM44" s="45"/>
      <c r="AJN44" s="45"/>
      <c r="AJO44" s="45"/>
      <c r="AJP44" s="45"/>
      <c r="AJQ44" s="45"/>
      <c r="AJR44" s="45"/>
      <c r="AJS44" s="45"/>
      <c r="AJT44" s="45"/>
      <c r="AJU44" s="45"/>
      <c r="AJV44" s="45"/>
      <c r="AJW44" s="45"/>
      <c r="AJX44" s="45"/>
      <c r="AJY44" s="45"/>
      <c r="AJZ44" s="45"/>
      <c r="AKA44" s="45"/>
      <c r="AKB44" s="45"/>
      <c r="AKC44" s="45"/>
      <c r="AKD44" s="45"/>
      <c r="AKE44" s="45"/>
      <c r="AKF44" s="45"/>
      <c r="AKG44" s="45"/>
      <c r="AKH44" s="45"/>
      <c r="AKI44" s="45"/>
      <c r="AKJ44" s="45"/>
      <c r="AKK44" s="45"/>
      <c r="AKL44" s="45"/>
      <c r="AKM44" s="45"/>
      <c r="AKN44" s="45"/>
      <c r="AKO44" s="45"/>
      <c r="AKP44" s="45"/>
      <c r="AKQ44" s="45"/>
      <c r="AKR44" s="45"/>
      <c r="AKS44" s="45"/>
      <c r="AKT44" s="45"/>
      <c r="AKU44" s="45"/>
      <c r="AKV44" s="45"/>
      <c r="AKW44" s="45"/>
      <c r="AKX44" s="45"/>
      <c r="AKY44" s="45"/>
      <c r="AKZ44" s="45"/>
      <c r="ALA44" s="45"/>
      <c r="ALB44" s="45"/>
      <c r="ALC44" s="45"/>
      <c r="ALD44" s="45"/>
      <c r="ALE44" s="45"/>
      <c r="ALF44" s="45"/>
      <c r="ALG44" s="45"/>
      <c r="ALH44" s="45"/>
      <c r="ALI44" s="45"/>
      <c r="ALJ44" s="45"/>
      <c r="ALK44" s="45"/>
      <c r="ALL44" s="45"/>
      <c r="ALM44" s="45"/>
      <c r="ALN44" s="45"/>
      <c r="ALO44" s="45"/>
      <c r="ALP44" s="45"/>
      <c r="ALQ44" s="45"/>
      <c r="ALR44" s="45"/>
      <c r="ALS44" s="45"/>
      <c r="ALT44" s="45"/>
      <c r="ALU44" s="45"/>
      <c r="ALV44" s="45"/>
      <c r="ALW44" s="45"/>
      <c r="ALX44" s="45"/>
      <c r="ALY44" s="45"/>
      <c r="ALZ44" s="45"/>
      <c r="AMA44" s="45"/>
      <c r="AMB44" s="45"/>
      <c r="AMC44" s="45"/>
      <c r="AMD44" s="45"/>
      <c r="AME44" s="45"/>
      <c r="AMF44" s="45"/>
      <c r="AMG44" s="45"/>
      <c r="AMH44" s="45"/>
      <c r="AMI44" s="45"/>
      <c r="AMJ44" s="45"/>
      <c r="AMK44" s="45"/>
      <c r="AML44" s="45"/>
      <c r="AMM44" s="45"/>
      <c r="AMN44" s="45"/>
      <c r="AMO44" s="45"/>
      <c r="AMP44" s="45"/>
      <c r="AMQ44" s="45"/>
      <c r="AMR44" s="45"/>
      <c r="AMS44" s="45"/>
      <c r="AMT44" s="45"/>
      <c r="AMU44" s="45"/>
      <c r="AMV44" s="45"/>
      <c r="AMW44" s="45"/>
      <c r="AMX44" s="45"/>
      <c r="AMY44" s="45"/>
      <c r="AMZ44" s="45"/>
      <c r="ANA44" s="45"/>
      <c r="ANB44" s="45"/>
      <c r="ANC44" s="45"/>
      <c r="AND44" s="45"/>
      <c r="ANE44" s="45"/>
      <c r="ANF44" s="45"/>
      <c r="ANG44" s="45"/>
      <c r="ANH44" s="45"/>
      <c r="ANI44" s="45"/>
      <c r="ANJ44" s="45"/>
      <c r="ANK44" s="45"/>
      <c r="ANL44" s="45"/>
      <c r="ANM44" s="45"/>
      <c r="ANN44" s="45"/>
      <c r="ANO44" s="45"/>
      <c r="ANP44" s="45"/>
      <c r="ANQ44" s="45"/>
      <c r="ANR44" s="45"/>
      <c r="ANS44" s="45"/>
      <c r="ANT44" s="45"/>
      <c r="ANU44" s="45"/>
      <c r="ANV44" s="45"/>
      <c r="ANW44" s="45"/>
      <c r="ANX44" s="45"/>
      <c r="ANY44" s="45"/>
      <c r="ANZ44" s="45"/>
      <c r="AOA44" s="45"/>
      <c r="AOB44" s="45"/>
      <c r="AOC44" s="45"/>
      <c r="AOD44" s="45"/>
      <c r="AOE44" s="45"/>
      <c r="AOF44" s="45"/>
      <c r="AOG44" s="45"/>
      <c r="AOH44" s="45"/>
      <c r="AOI44" s="45"/>
      <c r="AOJ44" s="45"/>
      <c r="AOK44" s="45"/>
      <c r="AOL44" s="45"/>
      <c r="AOM44" s="45"/>
      <c r="AON44" s="45"/>
      <c r="AOO44" s="45"/>
      <c r="AOP44" s="45"/>
      <c r="AOQ44" s="45"/>
      <c r="AOR44" s="45"/>
      <c r="AOS44" s="45"/>
      <c r="AOT44" s="45"/>
      <c r="AOU44" s="45"/>
      <c r="AOV44" s="45"/>
      <c r="AOW44" s="45"/>
      <c r="AOX44" s="45"/>
      <c r="AOY44" s="45"/>
      <c r="AOZ44" s="45"/>
      <c r="APA44" s="45"/>
      <c r="APB44" s="45"/>
      <c r="APC44" s="45"/>
      <c r="APD44" s="45"/>
      <c r="APE44" s="45"/>
      <c r="APF44" s="45"/>
      <c r="APG44" s="45"/>
      <c r="APH44" s="45"/>
      <c r="API44" s="45"/>
      <c r="APJ44" s="45"/>
      <c r="APK44" s="45"/>
      <c r="APL44" s="45"/>
      <c r="APM44" s="45"/>
      <c r="APN44" s="45"/>
      <c r="APO44" s="45"/>
      <c r="APP44" s="45"/>
      <c r="APQ44" s="45"/>
      <c r="APR44" s="45"/>
      <c r="APS44" s="45"/>
      <c r="APT44" s="45"/>
      <c r="APU44" s="45"/>
      <c r="APV44" s="45"/>
      <c r="APW44" s="45"/>
      <c r="APX44" s="45"/>
      <c r="APY44" s="45"/>
      <c r="APZ44" s="45"/>
      <c r="AQA44" s="45"/>
      <c r="AQB44" s="45"/>
      <c r="AQC44" s="45"/>
      <c r="AQD44" s="45"/>
      <c r="AQE44" s="45"/>
      <c r="AQF44" s="45"/>
      <c r="AQG44" s="45"/>
      <c r="AQH44" s="45"/>
      <c r="AQI44" s="45"/>
      <c r="AQJ44" s="45"/>
      <c r="AQK44" s="45"/>
      <c r="AQL44" s="45"/>
      <c r="AQM44" s="45"/>
      <c r="AQN44" s="45"/>
      <c r="AQO44" s="45"/>
      <c r="AQP44" s="45"/>
      <c r="AQQ44" s="45"/>
      <c r="AQR44" s="45"/>
      <c r="AQS44" s="45"/>
      <c r="AQT44" s="45"/>
      <c r="AQU44" s="45"/>
      <c r="AQV44" s="45"/>
      <c r="AQW44" s="45"/>
      <c r="AQX44" s="45"/>
      <c r="AQY44" s="45"/>
      <c r="AQZ44" s="45"/>
      <c r="ARA44" s="45"/>
      <c r="ARB44" s="45"/>
      <c r="ARC44" s="45"/>
      <c r="ARD44" s="45"/>
      <c r="ARE44" s="45"/>
      <c r="ARF44" s="45"/>
      <c r="ARG44" s="45"/>
      <c r="ARH44" s="45"/>
      <c r="ARI44" s="45"/>
      <c r="ARJ44" s="45"/>
      <c r="ARK44" s="45"/>
      <c r="ARL44" s="45"/>
      <c r="ARM44" s="45"/>
      <c r="ARN44" s="45"/>
      <c r="ARO44" s="45"/>
      <c r="ARP44" s="45"/>
      <c r="ARQ44" s="45"/>
      <c r="ARR44" s="45"/>
      <c r="ARS44" s="45"/>
      <c r="ART44" s="45"/>
      <c r="ARU44" s="45"/>
      <c r="ARV44" s="45"/>
      <c r="ARW44" s="45"/>
      <c r="ARX44" s="45"/>
      <c r="ARY44" s="45"/>
      <c r="ARZ44" s="45"/>
      <c r="ASA44" s="45"/>
      <c r="ASB44" s="45"/>
      <c r="ASC44" s="45"/>
      <c r="ASD44" s="45"/>
      <c r="ASE44" s="45"/>
      <c r="ASF44" s="45"/>
      <c r="ASG44" s="45"/>
      <c r="ASH44" s="45"/>
      <c r="ASI44" s="45"/>
      <c r="ASJ44" s="45"/>
      <c r="ASK44" s="45"/>
      <c r="ASL44" s="45"/>
      <c r="ASM44" s="45"/>
      <c r="ASN44" s="45"/>
      <c r="ASO44" s="45"/>
      <c r="ASP44" s="45"/>
      <c r="ASQ44" s="45"/>
      <c r="ASR44" s="45"/>
      <c r="ASS44" s="45"/>
      <c r="AST44" s="45"/>
      <c r="ASU44" s="45"/>
      <c r="ASV44" s="45"/>
      <c r="ASW44" s="45"/>
      <c r="ASX44" s="45"/>
      <c r="ASY44" s="45"/>
      <c r="ASZ44" s="45"/>
      <c r="ATA44" s="45"/>
      <c r="ATB44" s="45"/>
      <c r="ATC44" s="45"/>
      <c r="ATD44" s="45"/>
      <c r="ATE44" s="45"/>
      <c r="ATF44" s="45"/>
      <c r="ATG44" s="45"/>
      <c r="ATH44" s="45"/>
      <c r="ATI44" s="45"/>
      <c r="ATJ44" s="45"/>
      <c r="ATK44" s="45"/>
      <c r="ATL44" s="45"/>
      <c r="ATM44" s="45"/>
      <c r="ATN44" s="45"/>
      <c r="ATO44" s="45"/>
      <c r="ATP44" s="45"/>
      <c r="ATQ44" s="45"/>
      <c r="ATR44" s="45"/>
      <c r="ATS44" s="45"/>
      <c r="ATT44" s="45"/>
      <c r="ATU44" s="45"/>
      <c r="ATV44" s="45"/>
      <c r="ATW44" s="45"/>
      <c r="ATX44" s="45"/>
      <c r="ATY44" s="45"/>
      <c r="ATZ44" s="45"/>
      <c r="AUA44" s="45"/>
      <c r="AUB44" s="45"/>
      <c r="AUC44" s="45"/>
      <c r="AUD44" s="45"/>
      <c r="AUE44" s="45"/>
      <c r="AUF44" s="45"/>
      <c r="AUG44" s="45"/>
      <c r="AUH44" s="45"/>
      <c r="AUI44" s="45"/>
      <c r="AUJ44" s="45"/>
      <c r="AUK44" s="45"/>
      <c r="AUL44" s="45"/>
      <c r="AUM44" s="45"/>
      <c r="AUN44" s="45"/>
      <c r="AUO44" s="45"/>
      <c r="AUP44" s="45"/>
      <c r="AUQ44" s="45"/>
      <c r="AUR44" s="45"/>
      <c r="AUS44" s="45"/>
      <c r="AUT44" s="45"/>
      <c r="AUU44" s="45"/>
      <c r="AUV44" s="45"/>
      <c r="AUW44" s="45"/>
      <c r="AUX44" s="45"/>
      <c r="AUY44" s="45"/>
      <c r="AUZ44" s="45"/>
      <c r="AVA44" s="45"/>
      <c r="AVB44" s="45"/>
      <c r="AVC44" s="45"/>
      <c r="AVD44" s="45"/>
      <c r="AVE44" s="45"/>
      <c r="AVF44" s="45"/>
      <c r="AVG44" s="45"/>
      <c r="AVH44" s="45"/>
      <c r="AVI44" s="45"/>
      <c r="AVJ44" s="45"/>
      <c r="AVK44" s="45"/>
      <c r="AVL44" s="45"/>
      <c r="AVM44" s="45"/>
      <c r="AVN44" s="45"/>
      <c r="AVO44" s="45"/>
      <c r="AVP44" s="45"/>
      <c r="AVQ44" s="45"/>
      <c r="AVR44" s="45"/>
      <c r="AVS44" s="45"/>
      <c r="AVT44" s="45"/>
      <c r="AVU44" s="45"/>
      <c r="AVV44" s="45"/>
      <c r="AVW44" s="45"/>
      <c r="AVX44" s="45"/>
      <c r="AVY44" s="45"/>
      <c r="AVZ44" s="45"/>
      <c r="AWA44" s="45"/>
      <c r="AWB44" s="45"/>
      <c r="AWC44" s="45"/>
      <c r="AWD44" s="45"/>
      <c r="AWE44" s="45"/>
      <c r="AWF44" s="45"/>
      <c r="AWG44" s="45"/>
      <c r="AWH44" s="45"/>
      <c r="AWI44" s="45"/>
      <c r="AWJ44" s="45"/>
      <c r="AWK44" s="45"/>
      <c r="AWL44" s="45"/>
      <c r="AWM44" s="45"/>
      <c r="AWN44" s="45"/>
      <c r="AWO44" s="45"/>
      <c r="AWP44" s="45"/>
      <c r="AWQ44" s="45"/>
      <c r="AWR44" s="45"/>
      <c r="AWS44" s="45"/>
      <c r="AWT44" s="45"/>
      <c r="AWU44" s="45"/>
      <c r="AWV44" s="45"/>
      <c r="AWW44" s="45"/>
      <c r="AWX44" s="45"/>
      <c r="AWY44" s="45"/>
      <c r="AWZ44" s="45"/>
      <c r="AXA44" s="45"/>
      <c r="AXB44" s="45"/>
      <c r="AXC44" s="45"/>
      <c r="AXD44" s="45"/>
      <c r="AXE44" s="45"/>
      <c r="AXF44" s="45"/>
      <c r="AXG44" s="45"/>
      <c r="AXH44" s="45"/>
      <c r="AXI44" s="45"/>
      <c r="AXJ44" s="45"/>
      <c r="AXK44" s="45"/>
      <c r="AXL44" s="45"/>
      <c r="AXM44" s="45"/>
      <c r="AXN44" s="45"/>
      <c r="AXO44" s="45"/>
      <c r="AXP44" s="45"/>
      <c r="AXQ44" s="45"/>
      <c r="AXR44" s="45"/>
      <c r="AXS44" s="45"/>
      <c r="AXT44" s="45"/>
      <c r="AXU44" s="45"/>
      <c r="AXV44" s="45"/>
      <c r="AXW44" s="45"/>
      <c r="AXX44" s="45"/>
      <c r="AXY44" s="45"/>
      <c r="AXZ44" s="45"/>
      <c r="AYA44" s="45"/>
      <c r="AYB44" s="45"/>
      <c r="AYC44" s="45"/>
      <c r="AYD44" s="45"/>
      <c r="AYE44" s="45"/>
      <c r="AYF44" s="45"/>
      <c r="AYG44" s="45"/>
      <c r="AYH44" s="45"/>
      <c r="AYI44" s="45"/>
      <c r="AYJ44" s="45"/>
      <c r="AYK44" s="45"/>
      <c r="AYL44" s="45"/>
      <c r="AYM44" s="45"/>
      <c r="AYN44" s="45"/>
      <c r="AYO44" s="45"/>
      <c r="AYP44" s="45"/>
      <c r="AYQ44" s="45"/>
      <c r="AYR44" s="45"/>
      <c r="AYS44" s="45"/>
      <c r="AYT44" s="45"/>
      <c r="AYU44" s="45"/>
      <c r="AYV44" s="45"/>
      <c r="AYW44" s="45"/>
      <c r="AYX44" s="45"/>
      <c r="AYY44" s="45"/>
      <c r="AYZ44" s="45"/>
      <c r="AZA44" s="45"/>
      <c r="AZB44" s="45"/>
      <c r="AZC44" s="45"/>
      <c r="AZD44" s="45"/>
      <c r="AZE44" s="45"/>
      <c r="AZF44" s="45"/>
      <c r="AZG44" s="45"/>
      <c r="AZH44" s="45"/>
      <c r="AZI44" s="45"/>
      <c r="AZJ44" s="45"/>
      <c r="AZK44" s="45"/>
      <c r="AZL44" s="45"/>
      <c r="AZM44" s="45"/>
      <c r="AZN44" s="45"/>
      <c r="AZO44" s="45"/>
      <c r="AZP44" s="45"/>
      <c r="AZQ44" s="45"/>
      <c r="AZR44" s="45"/>
      <c r="AZS44" s="45"/>
      <c r="AZT44" s="45"/>
      <c r="AZU44" s="45"/>
      <c r="AZV44" s="45"/>
      <c r="AZW44" s="45"/>
      <c r="AZX44" s="45"/>
      <c r="AZY44" s="45"/>
      <c r="AZZ44" s="45"/>
      <c r="BAA44" s="45"/>
      <c r="BAB44" s="45"/>
      <c r="BAC44" s="45"/>
      <c r="BAD44" s="45"/>
      <c r="BAE44" s="45"/>
      <c r="BAF44" s="45"/>
      <c r="BAG44" s="45"/>
      <c r="BAH44" s="45"/>
      <c r="BAI44" s="45"/>
      <c r="BAJ44" s="45"/>
      <c r="BAK44" s="45"/>
      <c r="BAL44" s="45"/>
      <c r="BAM44" s="45"/>
      <c r="BAN44" s="45"/>
      <c r="BAO44" s="45"/>
      <c r="BAP44" s="45"/>
      <c r="BAQ44" s="45"/>
      <c r="BAR44" s="45"/>
      <c r="BAS44" s="45"/>
      <c r="BAT44" s="45"/>
      <c r="BAU44" s="45"/>
      <c r="BAV44" s="45"/>
      <c r="BAW44" s="45"/>
      <c r="BAX44" s="45"/>
      <c r="BAY44" s="45"/>
      <c r="BAZ44" s="45"/>
      <c r="BBA44" s="45"/>
      <c r="BBB44" s="45"/>
      <c r="BBC44" s="45"/>
      <c r="BBD44" s="45"/>
      <c r="BBE44" s="45"/>
      <c r="BBF44" s="45"/>
      <c r="BBG44" s="45"/>
      <c r="BBH44" s="45"/>
      <c r="BBI44" s="45"/>
      <c r="BBJ44" s="45"/>
      <c r="BBK44" s="45"/>
      <c r="BBL44" s="45"/>
      <c r="BBM44" s="45"/>
      <c r="BBN44" s="45"/>
      <c r="BBO44" s="45"/>
      <c r="BBP44" s="45"/>
      <c r="BBQ44" s="45"/>
      <c r="BBR44" s="45"/>
      <c r="BBS44" s="45"/>
      <c r="BBT44" s="45"/>
      <c r="BBU44" s="45"/>
      <c r="BBV44" s="45"/>
      <c r="BBW44" s="45"/>
      <c r="BBX44" s="45"/>
      <c r="BBY44" s="45"/>
      <c r="BBZ44" s="45"/>
      <c r="BCA44" s="45"/>
      <c r="BCB44" s="45"/>
      <c r="BCC44" s="45"/>
      <c r="BCD44" s="45"/>
      <c r="BCE44" s="45"/>
      <c r="BCF44" s="45"/>
      <c r="BCG44" s="45"/>
      <c r="BCH44" s="45"/>
      <c r="BCI44" s="45"/>
      <c r="BCJ44" s="45"/>
      <c r="BCK44" s="45"/>
      <c r="BCL44" s="45"/>
      <c r="BCM44" s="45"/>
      <c r="BCN44" s="45"/>
      <c r="BCO44" s="45"/>
      <c r="BCP44" s="45"/>
      <c r="BCQ44" s="45"/>
      <c r="BCR44" s="45"/>
      <c r="BCS44" s="45"/>
      <c r="BCT44" s="45"/>
      <c r="BCU44" s="45"/>
      <c r="BCV44" s="45"/>
      <c r="BCW44" s="45"/>
      <c r="BCX44" s="45"/>
      <c r="BCY44" s="45"/>
      <c r="BCZ44" s="45"/>
      <c r="BDA44" s="45"/>
      <c r="BDB44" s="45"/>
      <c r="BDC44" s="45"/>
      <c r="BDD44" s="45"/>
      <c r="BDE44" s="45"/>
      <c r="BDF44" s="45"/>
      <c r="BDG44" s="45"/>
      <c r="BDH44" s="45"/>
      <c r="BDI44" s="45"/>
      <c r="BDJ44" s="45"/>
      <c r="BDK44" s="45"/>
      <c r="BDL44" s="45"/>
      <c r="BDM44" s="45"/>
      <c r="BDN44" s="45"/>
      <c r="BDO44" s="45"/>
      <c r="BDP44" s="45"/>
      <c r="BDQ44" s="45"/>
      <c r="BDR44" s="45"/>
      <c r="BDS44" s="45"/>
      <c r="BDT44" s="45"/>
      <c r="BDU44" s="45"/>
      <c r="BDV44" s="45"/>
      <c r="BDW44" s="45"/>
      <c r="BDX44" s="45"/>
      <c r="BDY44" s="45"/>
      <c r="BDZ44" s="45"/>
      <c r="BEA44" s="45"/>
      <c r="BEB44" s="45"/>
      <c r="BEC44" s="45"/>
      <c r="BED44" s="45"/>
      <c r="BEE44" s="45"/>
      <c r="BEF44" s="45"/>
      <c r="BEG44" s="45"/>
      <c r="BEH44" s="45"/>
      <c r="BEI44" s="45"/>
      <c r="BEJ44" s="45"/>
      <c r="BEK44" s="45"/>
      <c r="BEL44" s="45"/>
      <c r="BEM44" s="45"/>
      <c r="BEN44" s="45"/>
      <c r="BEO44" s="45"/>
      <c r="BEP44" s="45"/>
      <c r="BEQ44" s="45"/>
      <c r="BER44" s="45"/>
      <c r="BES44" s="45"/>
      <c r="BET44" s="45"/>
      <c r="BEU44" s="45"/>
      <c r="BEV44" s="45"/>
      <c r="BEW44" s="45"/>
      <c r="BEX44" s="45"/>
      <c r="BEY44" s="45"/>
      <c r="BEZ44" s="45"/>
      <c r="BFA44" s="45"/>
      <c r="BFB44" s="45"/>
      <c r="BFC44" s="45"/>
      <c r="BFD44" s="45"/>
      <c r="BFE44" s="45"/>
      <c r="BFF44" s="45"/>
      <c r="BFG44" s="45"/>
      <c r="BFH44" s="45"/>
      <c r="BFI44" s="45"/>
      <c r="BFJ44" s="45"/>
      <c r="BFK44" s="45"/>
      <c r="BFL44" s="45"/>
      <c r="BFM44" s="45"/>
      <c r="BFN44" s="45"/>
      <c r="BFO44" s="45"/>
      <c r="BFP44" s="45"/>
      <c r="BFQ44" s="45"/>
      <c r="BFR44" s="45"/>
      <c r="BFS44" s="45"/>
      <c r="BFT44" s="45"/>
      <c r="BFU44" s="45"/>
      <c r="BFV44" s="45"/>
      <c r="BFW44" s="45"/>
      <c r="BFX44" s="45"/>
      <c r="BFY44" s="45"/>
      <c r="BFZ44" s="45"/>
      <c r="BGA44" s="45"/>
      <c r="BGB44" s="45"/>
      <c r="BGC44" s="45"/>
      <c r="BGD44" s="45"/>
      <c r="BGE44" s="45"/>
      <c r="BGF44" s="45"/>
      <c r="BGG44" s="45"/>
      <c r="BGH44" s="45"/>
      <c r="BGI44" s="45"/>
      <c r="BGJ44" s="45"/>
      <c r="BGK44" s="45"/>
      <c r="BGL44" s="45"/>
      <c r="BGM44" s="45"/>
      <c r="BGN44" s="45"/>
      <c r="BGO44" s="45"/>
      <c r="BGP44" s="45"/>
      <c r="BGQ44" s="45"/>
      <c r="BGR44" s="45"/>
      <c r="BGS44" s="45"/>
      <c r="BGT44" s="45"/>
      <c r="BGU44" s="45"/>
      <c r="BGV44" s="45"/>
      <c r="BGW44" s="45"/>
      <c r="BGX44" s="45"/>
      <c r="BGY44" s="45"/>
      <c r="BGZ44" s="45"/>
      <c r="BHA44" s="45"/>
      <c r="BHB44" s="45"/>
      <c r="BHC44" s="45"/>
      <c r="BHD44" s="45"/>
      <c r="BHE44" s="45"/>
      <c r="BHF44" s="45"/>
      <c r="BHG44" s="45"/>
      <c r="BHH44" s="45"/>
      <c r="BHI44" s="45"/>
      <c r="BHJ44" s="45"/>
      <c r="BHK44" s="45"/>
      <c r="BHL44" s="45"/>
      <c r="BHM44" s="45"/>
      <c r="BHN44" s="45"/>
      <c r="BHO44" s="45"/>
      <c r="BHP44" s="45"/>
      <c r="BHQ44" s="45"/>
      <c r="BHR44" s="45"/>
      <c r="BHS44" s="45"/>
      <c r="BHT44" s="45"/>
      <c r="BHU44" s="45"/>
      <c r="BHV44" s="45"/>
      <c r="BHW44" s="45"/>
      <c r="BHX44" s="45"/>
      <c r="BHY44" s="45"/>
      <c r="BHZ44" s="45"/>
      <c r="BIA44" s="45"/>
      <c r="BIB44" s="45"/>
      <c r="BIC44" s="45"/>
      <c r="BID44" s="45"/>
      <c r="BIE44" s="45"/>
      <c r="BIF44" s="45"/>
      <c r="BIG44" s="45"/>
      <c r="BIH44" s="45"/>
      <c r="BII44" s="45"/>
      <c r="BIJ44" s="45"/>
      <c r="BIK44" s="45"/>
      <c r="BIL44" s="45"/>
      <c r="BIM44" s="45"/>
      <c r="BIN44" s="45"/>
      <c r="BIO44" s="45"/>
      <c r="BIP44" s="45"/>
      <c r="BIQ44" s="45"/>
      <c r="BIR44" s="45"/>
      <c r="BIS44" s="45"/>
      <c r="BIT44" s="45"/>
      <c r="BIU44" s="45"/>
      <c r="BIV44" s="45"/>
      <c r="BIW44" s="45"/>
      <c r="BIX44" s="45"/>
      <c r="BIY44" s="45"/>
      <c r="BIZ44" s="45"/>
      <c r="BJA44" s="45"/>
      <c r="BJB44" s="45"/>
      <c r="BJC44" s="45"/>
      <c r="BJD44" s="45"/>
      <c r="BJE44" s="45"/>
      <c r="BJF44" s="45"/>
      <c r="BJG44" s="45"/>
      <c r="BJH44" s="45"/>
      <c r="BJI44" s="45"/>
      <c r="BJJ44" s="45"/>
      <c r="BJK44" s="45"/>
      <c r="BJL44" s="45"/>
      <c r="BJM44" s="45"/>
      <c r="BJN44" s="45"/>
      <c r="BJO44" s="45"/>
      <c r="BJP44" s="45"/>
      <c r="BJQ44" s="45"/>
      <c r="BJR44" s="45"/>
      <c r="BJS44" s="45"/>
      <c r="BJT44" s="45"/>
      <c r="BJU44" s="45"/>
      <c r="BJV44" s="45"/>
      <c r="BJW44" s="45"/>
      <c r="BJX44" s="45"/>
      <c r="BJY44" s="45"/>
      <c r="BJZ44" s="45"/>
      <c r="BKA44" s="45"/>
      <c r="BKB44" s="45"/>
      <c r="BKC44" s="45"/>
      <c r="BKD44" s="45"/>
      <c r="BKE44" s="45"/>
      <c r="BKF44" s="45"/>
      <c r="BKG44" s="45"/>
      <c r="BKH44" s="45"/>
      <c r="BKI44" s="45"/>
      <c r="BKJ44" s="45"/>
      <c r="BKK44" s="45"/>
      <c r="BKL44" s="45"/>
      <c r="BKM44" s="45"/>
      <c r="BKN44" s="45"/>
      <c r="BKO44" s="45"/>
      <c r="BKP44" s="45"/>
      <c r="BKQ44" s="45"/>
      <c r="BKR44" s="45"/>
      <c r="BKS44" s="45"/>
      <c r="BKT44" s="45"/>
      <c r="BKU44" s="45"/>
      <c r="BKV44" s="45"/>
      <c r="BKW44" s="45"/>
      <c r="BKX44" s="45"/>
      <c r="BKY44" s="45"/>
      <c r="BKZ44" s="45"/>
      <c r="BLA44" s="45"/>
      <c r="BLB44" s="45"/>
      <c r="BLC44" s="45"/>
      <c r="BLD44" s="45"/>
      <c r="BLE44" s="45"/>
      <c r="BLF44" s="45"/>
      <c r="BLG44" s="45"/>
      <c r="BLH44" s="45"/>
      <c r="BLI44" s="45"/>
      <c r="BLJ44" s="45"/>
      <c r="BLK44" s="45"/>
      <c r="BLL44" s="45"/>
      <c r="BLM44" s="45"/>
      <c r="BLN44" s="45"/>
      <c r="BLO44" s="45"/>
      <c r="BLP44" s="45"/>
      <c r="BLQ44" s="45"/>
      <c r="BLR44" s="45"/>
      <c r="BLS44" s="45"/>
      <c r="BLT44" s="45"/>
      <c r="BLU44" s="45"/>
      <c r="BLV44" s="45"/>
      <c r="BLW44" s="45"/>
      <c r="BLX44" s="45"/>
      <c r="BLY44" s="45"/>
      <c r="BLZ44" s="45"/>
      <c r="BMA44" s="45"/>
      <c r="BMB44" s="45"/>
      <c r="BMC44" s="45"/>
      <c r="BMD44" s="45"/>
      <c r="BME44" s="45"/>
      <c r="BMF44" s="45"/>
      <c r="BMG44" s="45"/>
      <c r="BMH44" s="45"/>
      <c r="BMI44" s="45"/>
      <c r="BMJ44" s="45"/>
      <c r="BMK44" s="45"/>
      <c r="BML44" s="45"/>
      <c r="BMM44" s="45"/>
      <c r="BMN44" s="45"/>
      <c r="BMO44" s="45"/>
      <c r="BMP44" s="45"/>
      <c r="BMQ44" s="45"/>
      <c r="BMR44" s="45"/>
      <c r="BMS44" s="45"/>
      <c r="BMT44" s="45"/>
      <c r="BMU44" s="45"/>
      <c r="BMV44" s="45"/>
      <c r="BMW44" s="45"/>
      <c r="BMX44" s="45"/>
      <c r="BMY44" s="45"/>
      <c r="BMZ44" s="45"/>
      <c r="BNA44" s="45"/>
      <c r="BNB44" s="45"/>
      <c r="BNC44" s="45"/>
      <c r="BND44" s="45"/>
      <c r="BNE44" s="45"/>
      <c r="BNF44" s="45"/>
      <c r="BNG44" s="45"/>
      <c r="BNH44" s="45"/>
      <c r="BNI44" s="45"/>
      <c r="BNJ44" s="45"/>
      <c r="BNK44" s="45"/>
      <c r="BNL44" s="45"/>
      <c r="BNM44" s="45"/>
      <c r="BNN44" s="45"/>
      <c r="BNO44" s="45"/>
      <c r="BNP44" s="45"/>
      <c r="BNQ44" s="45"/>
      <c r="BNR44" s="45"/>
      <c r="BNS44" s="45"/>
      <c r="BNT44" s="45"/>
      <c r="BNU44" s="45"/>
      <c r="BNV44" s="45"/>
      <c r="BNW44" s="45"/>
      <c r="BNX44" s="45"/>
      <c r="BNY44" s="45"/>
      <c r="BNZ44" s="45"/>
      <c r="BOA44" s="45"/>
      <c r="BOB44" s="45"/>
      <c r="BOC44" s="45"/>
      <c r="BOD44" s="45"/>
      <c r="BOE44" s="45"/>
      <c r="BOF44" s="45"/>
      <c r="BOG44" s="45"/>
      <c r="BOH44" s="45"/>
      <c r="BOI44" s="45"/>
      <c r="BOJ44" s="45"/>
      <c r="BOK44" s="45"/>
      <c r="BOL44" s="45"/>
      <c r="BOM44" s="45"/>
      <c r="BON44" s="45"/>
      <c r="BOO44" s="45"/>
      <c r="BOP44" s="45"/>
      <c r="BOQ44" s="45"/>
      <c r="BOR44" s="45"/>
      <c r="BOS44" s="45"/>
      <c r="BOT44" s="45"/>
      <c r="BOU44" s="45"/>
      <c r="BOV44" s="45"/>
      <c r="BOW44" s="45"/>
      <c r="BOX44" s="45"/>
      <c r="BOY44" s="45"/>
      <c r="BOZ44" s="45"/>
      <c r="BPA44" s="45"/>
      <c r="BPB44" s="45"/>
      <c r="BPC44" s="45"/>
      <c r="BPD44" s="45"/>
      <c r="BPE44" s="45"/>
      <c r="BPF44" s="45"/>
      <c r="BPG44" s="45"/>
      <c r="BPH44" s="45"/>
      <c r="BPI44" s="45"/>
      <c r="BPJ44" s="45"/>
      <c r="BPK44" s="45"/>
      <c r="BPL44" s="45"/>
      <c r="BPM44" s="45"/>
      <c r="BPN44" s="45"/>
      <c r="BPO44" s="45"/>
      <c r="BPP44" s="45"/>
      <c r="BPQ44" s="45"/>
      <c r="BPR44" s="45"/>
      <c r="BPS44" s="45"/>
      <c r="BPT44" s="45"/>
      <c r="BPU44" s="45"/>
      <c r="BPV44" s="45"/>
      <c r="BPW44" s="45"/>
      <c r="BPX44" s="45"/>
      <c r="BPY44" s="45"/>
      <c r="BPZ44" s="45"/>
      <c r="BQA44" s="45"/>
      <c r="BQB44" s="45"/>
      <c r="BQC44" s="45"/>
      <c r="BQD44" s="45"/>
      <c r="BQE44" s="45"/>
      <c r="BQF44" s="45"/>
      <c r="BQG44" s="45"/>
      <c r="BQH44" s="45"/>
      <c r="BQI44" s="45"/>
      <c r="BQJ44" s="45"/>
      <c r="BQK44" s="45"/>
      <c r="BQL44" s="45"/>
      <c r="BQM44" s="45"/>
      <c r="BQN44" s="45"/>
      <c r="BQO44" s="45"/>
      <c r="BQP44" s="45"/>
      <c r="BQQ44" s="45"/>
      <c r="BQR44" s="45"/>
      <c r="BQS44" s="45"/>
      <c r="BQT44" s="45"/>
      <c r="BQU44" s="45"/>
      <c r="BQV44" s="45"/>
      <c r="BQW44" s="45"/>
      <c r="BQX44" s="45"/>
      <c r="BQY44" s="45"/>
      <c r="BQZ44" s="45"/>
      <c r="BRA44" s="45"/>
      <c r="BRB44" s="45"/>
      <c r="BRC44" s="45"/>
      <c r="BRD44" s="45"/>
      <c r="BRE44" s="45"/>
      <c r="BRF44" s="45"/>
      <c r="BRG44" s="45"/>
      <c r="BRH44" s="45"/>
      <c r="BRI44" s="45"/>
      <c r="BRJ44" s="45"/>
      <c r="BRK44" s="45"/>
      <c r="BRL44" s="45"/>
      <c r="BRM44" s="45"/>
      <c r="BRN44" s="45"/>
      <c r="BRO44" s="45"/>
      <c r="BRP44" s="45"/>
      <c r="BRQ44" s="45"/>
      <c r="BRR44" s="45"/>
      <c r="BRS44" s="45"/>
      <c r="BRT44" s="45"/>
      <c r="BRU44" s="45"/>
      <c r="BRV44" s="45"/>
      <c r="BRW44" s="45"/>
      <c r="BRX44" s="45"/>
      <c r="BRY44" s="45"/>
      <c r="BRZ44" s="45"/>
      <c r="BSA44" s="45"/>
      <c r="BSB44" s="45"/>
      <c r="BSC44" s="45"/>
      <c r="BSD44" s="45"/>
      <c r="BSE44" s="45"/>
      <c r="BSF44" s="45"/>
      <c r="BSG44" s="45"/>
      <c r="BSH44" s="45"/>
      <c r="BSI44" s="45"/>
      <c r="BSJ44" s="45"/>
      <c r="BSK44" s="45"/>
      <c r="BSL44" s="45"/>
      <c r="BSM44" s="45"/>
      <c r="BSN44" s="45"/>
      <c r="BSO44" s="45"/>
      <c r="BSP44" s="45"/>
      <c r="BSQ44" s="45"/>
      <c r="BSR44" s="45"/>
      <c r="BSS44" s="45"/>
      <c r="BST44" s="45"/>
      <c r="BSU44" s="45"/>
      <c r="BSV44" s="45"/>
      <c r="BSW44" s="45"/>
      <c r="BSX44" s="45"/>
      <c r="BSY44" s="45"/>
      <c r="BSZ44" s="45"/>
      <c r="BTA44" s="45"/>
      <c r="BTB44" s="45"/>
      <c r="BTC44" s="45"/>
      <c r="BTD44" s="45"/>
      <c r="BTE44" s="45"/>
      <c r="BTF44" s="45"/>
      <c r="BTG44" s="45"/>
      <c r="BTH44" s="45"/>
      <c r="BTI44" s="45"/>
      <c r="BTJ44" s="45"/>
      <c r="BTK44" s="45"/>
      <c r="BTL44" s="45"/>
      <c r="BTM44" s="45"/>
      <c r="BTN44" s="45"/>
      <c r="BTO44" s="45"/>
      <c r="BTP44" s="45"/>
      <c r="BTQ44" s="45"/>
      <c r="BTR44" s="45"/>
      <c r="BTS44" s="45"/>
      <c r="BTT44" s="45"/>
      <c r="BTU44" s="45"/>
      <c r="BTV44" s="45"/>
      <c r="BTW44" s="45"/>
      <c r="BTX44" s="45"/>
      <c r="BTY44" s="45"/>
      <c r="BTZ44" s="45"/>
      <c r="BUA44" s="45"/>
      <c r="BUB44" s="45"/>
      <c r="BUC44" s="45"/>
      <c r="BUD44" s="45"/>
      <c r="BUE44" s="45"/>
      <c r="BUF44" s="45"/>
      <c r="BUG44" s="45"/>
      <c r="BUH44" s="45"/>
      <c r="BUI44" s="45"/>
      <c r="BUJ44" s="45"/>
      <c r="BUK44" s="45"/>
      <c r="BUL44" s="45"/>
      <c r="BUM44" s="45"/>
      <c r="BUN44" s="45"/>
      <c r="BUO44" s="45"/>
      <c r="BUP44" s="45"/>
      <c r="BUQ44" s="45"/>
      <c r="BUR44" s="45"/>
      <c r="BUS44" s="45"/>
      <c r="BUT44" s="45"/>
      <c r="BUU44" s="45"/>
      <c r="BUV44" s="45"/>
      <c r="BUW44" s="45"/>
      <c r="BUX44" s="45"/>
      <c r="BUY44" s="45"/>
      <c r="BUZ44" s="45"/>
      <c r="BVA44" s="45"/>
      <c r="BVB44" s="45"/>
      <c r="BVC44" s="45"/>
      <c r="BVD44" s="45"/>
      <c r="BVE44" s="45"/>
      <c r="BVF44" s="45"/>
      <c r="BVG44" s="45"/>
      <c r="BVH44" s="45"/>
      <c r="BVI44" s="45"/>
      <c r="BVJ44" s="45"/>
      <c r="BVK44" s="45"/>
      <c r="BVL44" s="45"/>
      <c r="BVM44" s="45"/>
      <c r="BVN44" s="45"/>
      <c r="BVO44" s="45"/>
      <c r="BVP44" s="45"/>
      <c r="BVQ44" s="45"/>
      <c r="BVR44" s="45"/>
      <c r="BVS44" s="45"/>
      <c r="BVT44" s="45"/>
      <c r="BVU44" s="45"/>
      <c r="BVV44" s="45"/>
      <c r="BVW44" s="45"/>
      <c r="BVX44" s="45"/>
      <c r="BVY44" s="45"/>
      <c r="BVZ44" s="45"/>
      <c r="BWA44" s="45"/>
      <c r="BWB44" s="45"/>
      <c r="BWC44" s="45"/>
      <c r="BWD44" s="45"/>
      <c r="BWE44" s="45"/>
      <c r="BWF44" s="45"/>
      <c r="BWG44" s="45"/>
      <c r="BWH44" s="45"/>
      <c r="BWI44" s="45"/>
      <c r="BWJ44" s="45"/>
      <c r="BWK44" s="45"/>
      <c r="BWL44" s="45"/>
      <c r="BWM44" s="45"/>
      <c r="BWN44" s="45"/>
      <c r="BWO44" s="45"/>
      <c r="BWP44" s="45"/>
      <c r="BWQ44" s="45"/>
      <c r="BWR44" s="45"/>
      <c r="BWS44" s="45"/>
      <c r="BWT44" s="45"/>
      <c r="BWU44" s="45"/>
      <c r="BWV44" s="45"/>
      <c r="BWW44" s="45"/>
      <c r="BWX44" s="45"/>
      <c r="BWY44" s="45"/>
      <c r="BWZ44" s="45"/>
      <c r="BXA44" s="45"/>
      <c r="BXB44" s="45"/>
      <c r="BXC44" s="45"/>
      <c r="BXD44" s="45"/>
      <c r="BXE44" s="45"/>
      <c r="BXF44" s="45"/>
      <c r="BXG44" s="45"/>
      <c r="BXH44" s="45"/>
      <c r="BXI44" s="45"/>
      <c r="BXJ44" s="45"/>
      <c r="BXK44" s="45"/>
      <c r="BXL44" s="45"/>
      <c r="BXM44" s="45"/>
      <c r="BXN44" s="45"/>
      <c r="BXO44" s="45"/>
      <c r="BXP44" s="45"/>
      <c r="BXQ44" s="45"/>
      <c r="BXR44" s="45"/>
      <c r="BXS44" s="45"/>
      <c r="BXT44" s="45"/>
      <c r="BXU44" s="45"/>
      <c r="BXV44" s="45"/>
      <c r="BXW44" s="45"/>
      <c r="BXX44" s="45"/>
      <c r="BXY44" s="45"/>
      <c r="BXZ44" s="45"/>
      <c r="BYA44" s="45"/>
      <c r="BYB44" s="45"/>
      <c r="BYC44" s="45"/>
      <c r="BYD44" s="45"/>
      <c r="BYE44" s="45"/>
      <c r="BYF44" s="45"/>
      <c r="BYG44" s="45"/>
      <c r="BYH44" s="45"/>
      <c r="BYI44" s="45"/>
      <c r="BYJ44" s="45"/>
      <c r="BYK44" s="45"/>
      <c r="BYL44" s="45"/>
      <c r="BYM44" s="45"/>
      <c r="BYN44" s="45"/>
      <c r="BYO44" s="45"/>
      <c r="BYP44" s="45"/>
      <c r="BYQ44" s="45"/>
      <c r="BYR44" s="45"/>
      <c r="BYS44" s="45"/>
      <c r="BYT44" s="45"/>
      <c r="BYU44" s="45"/>
      <c r="BYV44" s="45"/>
      <c r="BYW44" s="45"/>
      <c r="BYX44" s="45"/>
      <c r="BYY44" s="45"/>
      <c r="BYZ44" s="45"/>
      <c r="BZA44" s="45"/>
      <c r="BZB44" s="45"/>
      <c r="BZC44" s="45"/>
      <c r="BZD44" s="45"/>
      <c r="BZE44" s="45"/>
      <c r="BZF44" s="45"/>
      <c r="BZG44" s="45"/>
      <c r="BZH44" s="45"/>
      <c r="BZI44" s="45"/>
      <c r="BZJ44" s="45"/>
      <c r="BZK44" s="45"/>
      <c r="BZL44" s="45"/>
      <c r="BZM44" s="45"/>
      <c r="BZN44" s="45"/>
      <c r="BZO44" s="45"/>
      <c r="BZP44" s="45"/>
      <c r="BZQ44" s="45"/>
      <c r="BZR44" s="45"/>
      <c r="BZS44" s="45"/>
      <c r="BZT44" s="45"/>
      <c r="BZU44" s="45"/>
      <c r="BZV44" s="45"/>
      <c r="BZW44" s="45"/>
      <c r="BZX44" s="45"/>
      <c r="BZY44" s="45"/>
      <c r="BZZ44" s="45"/>
      <c r="CAA44" s="45"/>
      <c r="CAB44" s="45"/>
      <c r="CAC44" s="45"/>
      <c r="CAD44" s="45"/>
      <c r="CAE44" s="45"/>
      <c r="CAF44" s="45"/>
      <c r="CAG44" s="45"/>
      <c r="CAH44" s="45"/>
      <c r="CAI44" s="45"/>
      <c r="CAJ44" s="45"/>
      <c r="CAK44" s="45"/>
      <c r="CAL44" s="45"/>
      <c r="CAM44" s="45"/>
      <c r="CAN44" s="45"/>
      <c r="CAO44" s="45"/>
      <c r="CAP44" s="45"/>
      <c r="CAQ44" s="45"/>
      <c r="CAR44" s="45"/>
      <c r="CAS44" s="45"/>
      <c r="CAT44" s="45"/>
      <c r="CAU44" s="45"/>
      <c r="CAV44" s="45"/>
      <c r="CAW44" s="45"/>
      <c r="CAX44" s="45"/>
      <c r="CAY44" s="45"/>
      <c r="CAZ44" s="45"/>
      <c r="CBA44" s="45"/>
      <c r="CBB44" s="45"/>
      <c r="CBC44" s="45"/>
      <c r="CBD44" s="45"/>
      <c r="CBE44" s="45"/>
      <c r="CBF44" s="45"/>
      <c r="CBG44" s="45"/>
      <c r="CBH44" s="45"/>
      <c r="CBI44" s="45"/>
      <c r="CBJ44" s="45"/>
      <c r="CBK44" s="45"/>
      <c r="CBL44" s="45"/>
      <c r="CBM44" s="45"/>
      <c r="CBN44" s="45"/>
      <c r="CBO44" s="45"/>
      <c r="CBP44" s="45"/>
      <c r="CBQ44" s="45"/>
      <c r="CBR44" s="45"/>
      <c r="CBS44" s="45"/>
      <c r="CBT44" s="45"/>
      <c r="CBU44" s="45"/>
      <c r="CBV44" s="45"/>
      <c r="CBW44" s="45"/>
      <c r="CBX44" s="45"/>
      <c r="CBY44" s="45"/>
      <c r="CBZ44" s="45"/>
      <c r="CCA44" s="45"/>
      <c r="CCB44" s="45"/>
      <c r="CCC44" s="45"/>
      <c r="CCD44" s="45"/>
      <c r="CCE44" s="45"/>
      <c r="CCF44" s="45"/>
      <c r="CCG44" s="45"/>
      <c r="CCH44" s="45"/>
      <c r="CCI44" s="45"/>
      <c r="CCJ44" s="45"/>
      <c r="CCK44" s="45"/>
      <c r="CCL44" s="45"/>
      <c r="CCM44" s="45"/>
      <c r="CCN44" s="45"/>
      <c r="CCO44" s="45"/>
      <c r="CCP44" s="45"/>
      <c r="CCQ44" s="45"/>
      <c r="CCR44" s="45"/>
      <c r="CCS44" s="45"/>
      <c r="CCT44" s="45"/>
      <c r="CCU44" s="45"/>
      <c r="CCV44" s="45"/>
      <c r="CCW44" s="45"/>
      <c r="CCX44" s="45"/>
      <c r="CCY44" s="45"/>
      <c r="CCZ44" s="45"/>
      <c r="CDA44" s="45"/>
      <c r="CDB44" s="45"/>
      <c r="CDC44" s="45"/>
      <c r="CDD44" s="45"/>
      <c r="CDE44" s="45"/>
      <c r="CDF44" s="45"/>
      <c r="CDG44" s="45"/>
      <c r="CDH44" s="45"/>
      <c r="CDI44" s="45"/>
      <c r="CDJ44" s="45"/>
      <c r="CDK44" s="45"/>
      <c r="CDL44" s="45"/>
      <c r="CDM44" s="45"/>
      <c r="CDN44" s="45"/>
      <c r="CDO44" s="45"/>
      <c r="CDP44" s="45"/>
      <c r="CDQ44" s="45"/>
      <c r="CDR44" s="45"/>
      <c r="CDS44" s="45"/>
      <c r="CDT44" s="45"/>
      <c r="CDU44" s="45"/>
      <c r="CDV44" s="45"/>
      <c r="CDW44" s="45"/>
      <c r="CDX44" s="45"/>
      <c r="CDY44" s="45"/>
      <c r="CDZ44" s="45"/>
      <c r="CEA44" s="45"/>
      <c r="CEB44" s="45"/>
      <c r="CEC44" s="45"/>
      <c r="CED44" s="45"/>
      <c r="CEE44" s="45"/>
      <c r="CEF44" s="45"/>
      <c r="CEG44" s="45"/>
      <c r="CEH44" s="45"/>
      <c r="CEI44" s="45"/>
      <c r="CEJ44" s="45"/>
      <c r="CEK44" s="45"/>
      <c r="CEL44" s="45"/>
      <c r="CEM44" s="45"/>
      <c r="CEN44" s="45"/>
      <c r="CEO44" s="45"/>
      <c r="CEP44" s="45"/>
      <c r="CEQ44" s="45"/>
      <c r="CER44" s="45"/>
      <c r="CES44" s="45"/>
      <c r="CET44" s="45"/>
      <c r="CEU44" s="45"/>
      <c r="CEV44" s="45"/>
      <c r="CEW44" s="45"/>
      <c r="CEX44" s="45"/>
      <c r="CEY44" s="45"/>
      <c r="CEZ44" s="45"/>
      <c r="CFA44" s="45"/>
      <c r="CFB44" s="45"/>
      <c r="CFC44" s="45"/>
      <c r="CFD44" s="45"/>
      <c r="CFE44" s="45"/>
      <c r="CFF44" s="45"/>
      <c r="CFG44" s="45"/>
      <c r="CFH44" s="45"/>
      <c r="CFI44" s="45"/>
      <c r="CFJ44" s="45"/>
      <c r="CFK44" s="45"/>
      <c r="CFL44" s="45"/>
      <c r="CFM44" s="45"/>
      <c r="CFN44" s="45"/>
      <c r="CFO44" s="45"/>
      <c r="CFP44" s="45"/>
      <c r="CFQ44" s="45"/>
      <c r="CFR44" s="45"/>
      <c r="CFS44" s="45"/>
      <c r="CFT44" s="45"/>
      <c r="CFU44" s="45"/>
      <c r="CFV44" s="45"/>
      <c r="CFW44" s="45"/>
      <c r="CFX44" s="45"/>
      <c r="CFY44" s="45"/>
      <c r="CFZ44" s="45"/>
      <c r="CGA44" s="45"/>
      <c r="CGB44" s="45"/>
      <c r="CGC44" s="45"/>
      <c r="CGD44" s="45"/>
      <c r="CGE44" s="45"/>
      <c r="CGF44" s="45"/>
      <c r="CGG44" s="45"/>
      <c r="CGH44" s="45"/>
      <c r="CGI44" s="45"/>
      <c r="CGJ44" s="45"/>
      <c r="CGK44" s="45"/>
      <c r="CGL44" s="45"/>
      <c r="CGM44" s="45"/>
      <c r="CGN44" s="45"/>
      <c r="CGO44" s="45"/>
      <c r="CGP44" s="45"/>
      <c r="CGQ44" s="45"/>
      <c r="CGR44" s="45"/>
      <c r="CGS44" s="45"/>
      <c r="CGT44" s="45"/>
      <c r="CGU44" s="45"/>
      <c r="CGV44" s="45"/>
      <c r="CGW44" s="45"/>
      <c r="CGX44" s="45"/>
      <c r="CGY44" s="45"/>
      <c r="CGZ44" s="45"/>
      <c r="CHA44" s="45"/>
      <c r="CHB44" s="45"/>
      <c r="CHC44" s="45"/>
      <c r="CHD44" s="45"/>
      <c r="CHE44" s="45"/>
      <c r="CHF44" s="45"/>
      <c r="CHG44" s="45"/>
      <c r="CHH44" s="45"/>
      <c r="CHI44" s="45"/>
      <c r="CHJ44" s="45"/>
      <c r="CHK44" s="45"/>
      <c r="CHL44" s="45"/>
      <c r="CHM44" s="45"/>
      <c r="CHN44" s="45"/>
      <c r="CHO44" s="45"/>
      <c r="CHP44" s="45"/>
      <c r="CHQ44" s="45"/>
      <c r="CHR44" s="45"/>
      <c r="CHS44" s="45"/>
      <c r="CHT44" s="45"/>
      <c r="CHU44" s="45"/>
      <c r="CHV44" s="45"/>
      <c r="CHW44" s="45"/>
      <c r="CHX44" s="45"/>
      <c r="CHY44" s="45"/>
      <c r="CHZ44" s="45"/>
      <c r="CIA44" s="45"/>
      <c r="CIB44" s="45"/>
      <c r="CIC44" s="45"/>
      <c r="CID44" s="45"/>
      <c r="CIE44" s="45"/>
      <c r="CIF44" s="45"/>
      <c r="CIG44" s="45"/>
      <c r="CIH44" s="45"/>
      <c r="CII44" s="45"/>
      <c r="CIJ44" s="45"/>
      <c r="CIK44" s="45"/>
      <c r="CIL44" s="45"/>
      <c r="CIM44" s="45"/>
      <c r="CIN44" s="45"/>
      <c r="CIO44" s="45"/>
      <c r="CIP44" s="45"/>
      <c r="CIQ44" s="45"/>
      <c r="CIR44" s="45"/>
      <c r="CIS44" s="45"/>
      <c r="CIT44" s="45"/>
      <c r="CIU44" s="45"/>
      <c r="CIV44" s="45"/>
      <c r="CIW44" s="45"/>
      <c r="CIX44" s="45"/>
      <c r="CIY44" s="45"/>
      <c r="CIZ44" s="45"/>
      <c r="CJA44" s="45"/>
      <c r="CJB44" s="45"/>
      <c r="CJC44" s="45"/>
      <c r="CJD44" s="45"/>
      <c r="CJE44" s="45"/>
      <c r="CJF44" s="45"/>
      <c r="CJG44" s="45"/>
      <c r="CJH44" s="45"/>
      <c r="CJI44" s="45"/>
      <c r="CJJ44" s="45"/>
      <c r="CJK44" s="45"/>
      <c r="CJL44" s="45"/>
      <c r="CJM44" s="45"/>
      <c r="CJN44" s="45"/>
      <c r="CJO44" s="45"/>
      <c r="CJP44" s="45"/>
      <c r="CJQ44" s="45"/>
      <c r="CJR44" s="45"/>
      <c r="CJS44" s="45"/>
      <c r="CJT44" s="45"/>
      <c r="CJU44" s="45"/>
      <c r="CJV44" s="45"/>
      <c r="CJW44" s="45"/>
      <c r="CJX44" s="45"/>
      <c r="CJY44" s="45"/>
      <c r="CJZ44" s="45"/>
      <c r="CKA44" s="45"/>
      <c r="CKB44" s="45"/>
      <c r="CKC44" s="45"/>
      <c r="CKD44" s="45"/>
      <c r="CKE44" s="45"/>
      <c r="CKF44" s="45"/>
      <c r="CKG44" s="45"/>
      <c r="CKH44" s="45"/>
      <c r="CKI44" s="45"/>
      <c r="CKJ44" s="45"/>
      <c r="CKK44" s="45"/>
      <c r="CKL44" s="45"/>
      <c r="CKM44" s="45"/>
      <c r="CKN44" s="45"/>
      <c r="CKO44" s="45"/>
      <c r="CKP44" s="45"/>
      <c r="CKQ44" s="45"/>
      <c r="CKR44" s="45"/>
      <c r="CKS44" s="45"/>
      <c r="CKT44" s="45"/>
      <c r="CKU44" s="45"/>
      <c r="CKV44" s="45"/>
      <c r="CKW44" s="45"/>
      <c r="CKX44" s="45"/>
      <c r="CKY44" s="45"/>
      <c r="CKZ44" s="45"/>
      <c r="CLA44" s="45"/>
      <c r="CLB44" s="45"/>
      <c r="CLC44" s="45"/>
      <c r="CLD44" s="45"/>
      <c r="CLE44" s="45"/>
      <c r="CLF44" s="45"/>
      <c r="CLG44" s="45"/>
      <c r="CLH44" s="45"/>
      <c r="CLI44" s="45"/>
      <c r="CLJ44" s="45"/>
      <c r="CLK44" s="45"/>
      <c r="CLL44" s="45"/>
      <c r="CLM44" s="45"/>
      <c r="CLN44" s="45"/>
      <c r="CLO44" s="45"/>
      <c r="CLP44" s="45"/>
      <c r="CLQ44" s="45"/>
      <c r="CLR44" s="45"/>
      <c r="CLS44" s="45"/>
      <c r="CLT44" s="45"/>
      <c r="CLU44" s="45"/>
      <c r="CLV44" s="45"/>
      <c r="CLW44" s="45"/>
      <c r="CLX44" s="45"/>
      <c r="CLY44" s="45"/>
      <c r="CLZ44" s="45"/>
      <c r="CMA44" s="45"/>
      <c r="CMB44" s="45"/>
      <c r="CMC44" s="45"/>
      <c r="CMD44" s="45"/>
      <c r="CME44" s="45"/>
      <c r="CMF44" s="45"/>
      <c r="CMG44" s="45"/>
      <c r="CMH44" s="45"/>
      <c r="CMI44" s="45"/>
      <c r="CMJ44" s="45"/>
      <c r="CMK44" s="45"/>
      <c r="CML44" s="45"/>
      <c r="CMM44" s="45"/>
      <c r="CMN44" s="45"/>
      <c r="CMO44" s="45"/>
      <c r="CMP44" s="45"/>
      <c r="CMQ44" s="45"/>
      <c r="CMR44" s="45"/>
      <c r="CMS44" s="45"/>
      <c r="CMT44" s="45"/>
      <c r="CMU44" s="45"/>
      <c r="CMV44" s="45"/>
      <c r="CMW44" s="45"/>
      <c r="CMX44" s="45"/>
      <c r="CMY44" s="45"/>
      <c r="CMZ44" s="45"/>
      <c r="CNA44" s="45"/>
      <c r="CNB44" s="45"/>
      <c r="CNC44" s="45"/>
      <c r="CND44" s="45"/>
      <c r="CNE44" s="45"/>
      <c r="CNF44" s="45"/>
      <c r="CNG44" s="45"/>
      <c r="CNH44" s="45"/>
      <c r="CNI44" s="45"/>
      <c r="CNJ44" s="45"/>
      <c r="CNK44" s="45"/>
      <c r="CNL44" s="45"/>
      <c r="CNM44" s="45"/>
      <c r="CNN44" s="45"/>
      <c r="CNO44" s="45"/>
      <c r="CNP44" s="45"/>
      <c r="CNQ44" s="45"/>
      <c r="CNR44" s="45"/>
      <c r="CNS44" s="45"/>
      <c r="CNT44" s="45"/>
      <c r="CNU44" s="45"/>
      <c r="CNV44" s="45"/>
      <c r="CNW44" s="45"/>
      <c r="CNX44" s="45"/>
      <c r="CNY44" s="45"/>
      <c r="CNZ44" s="45"/>
      <c r="COA44" s="45"/>
      <c r="COB44" s="45"/>
      <c r="COC44" s="45"/>
      <c r="COD44" s="45"/>
      <c r="COE44" s="45"/>
      <c r="COF44" s="45"/>
      <c r="COG44" s="45"/>
      <c r="COH44" s="45"/>
      <c r="COI44" s="45"/>
      <c r="COJ44" s="45"/>
      <c r="COK44" s="45"/>
      <c r="COL44" s="45"/>
      <c r="COM44" s="45"/>
      <c r="CON44" s="45"/>
      <c r="COO44" s="45"/>
      <c r="COP44" s="45"/>
      <c r="COQ44" s="45"/>
      <c r="COR44" s="45"/>
      <c r="COS44" s="45"/>
      <c r="COT44" s="45"/>
      <c r="COU44" s="45"/>
      <c r="COV44" s="45"/>
      <c r="COW44" s="45"/>
      <c r="COX44" s="45"/>
      <c r="COY44" s="45"/>
      <c r="COZ44" s="45"/>
      <c r="CPA44" s="45"/>
      <c r="CPB44" s="45"/>
      <c r="CPC44" s="45"/>
      <c r="CPD44" s="45"/>
      <c r="CPE44" s="45"/>
      <c r="CPF44" s="45"/>
      <c r="CPG44" s="45"/>
      <c r="CPH44" s="45"/>
      <c r="CPI44" s="45"/>
      <c r="CPJ44" s="45"/>
      <c r="CPK44" s="45"/>
      <c r="CPL44" s="45"/>
      <c r="CPM44" s="45"/>
      <c r="CPN44" s="45"/>
      <c r="CPO44" s="45"/>
      <c r="CPP44" s="45"/>
      <c r="CPQ44" s="45"/>
      <c r="CPR44" s="45"/>
      <c r="CPS44" s="45"/>
      <c r="CPT44" s="45"/>
      <c r="CPU44" s="45"/>
      <c r="CPV44" s="45"/>
      <c r="CPW44" s="45"/>
      <c r="CPX44" s="45"/>
      <c r="CPY44" s="45"/>
      <c r="CPZ44" s="45"/>
      <c r="CQA44" s="45"/>
      <c r="CQB44" s="45"/>
      <c r="CQC44" s="45"/>
      <c r="CQD44" s="45"/>
      <c r="CQE44" s="45"/>
      <c r="CQF44" s="45"/>
      <c r="CQG44" s="45"/>
      <c r="CQH44" s="45"/>
      <c r="CQI44" s="45"/>
      <c r="CQJ44" s="45"/>
      <c r="CQK44" s="45"/>
      <c r="CQL44" s="45"/>
      <c r="CQM44" s="45"/>
      <c r="CQN44" s="45"/>
      <c r="CQO44" s="45"/>
      <c r="CQP44" s="45"/>
      <c r="CQQ44" s="45"/>
      <c r="CQR44" s="45"/>
      <c r="CQS44" s="45"/>
      <c r="CQT44" s="45"/>
      <c r="CQU44" s="45"/>
      <c r="CQV44" s="45"/>
      <c r="CQW44" s="45"/>
      <c r="CQX44" s="45"/>
      <c r="CQY44" s="45"/>
      <c r="CQZ44" s="45"/>
      <c r="CRA44" s="45"/>
      <c r="CRB44" s="45"/>
      <c r="CRC44" s="45"/>
      <c r="CRD44" s="45"/>
      <c r="CRE44" s="45"/>
      <c r="CRF44" s="45"/>
      <c r="CRG44" s="45"/>
      <c r="CRH44" s="45"/>
      <c r="CRI44" s="45"/>
      <c r="CRJ44" s="45"/>
      <c r="CRK44" s="45"/>
      <c r="CRL44" s="45"/>
      <c r="CRM44" s="45"/>
      <c r="CRN44" s="45"/>
      <c r="CRO44" s="45"/>
      <c r="CRP44" s="45"/>
      <c r="CRQ44" s="45"/>
      <c r="CRR44" s="45"/>
      <c r="CRS44" s="45"/>
      <c r="CRT44" s="45"/>
      <c r="CRU44" s="45"/>
      <c r="CRV44" s="45"/>
      <c r="CRW44" s="45"/>
      <c r="CRX44" s="45"/>
      <c r="CRY44" s="45"/>
      <c r="CRZ44" s="45"/>
      <c r="CSA44" s="45"/>
      <c r="CSB44" s="45"/>
      <c r="CSC44" s="45"/>
      <c r="CSD44" s="45"/>
      <c r="CSE44" s="45"/>
      <c r="CSF44" s="45"/>
      <c r="CSG44" s="45"/>
      <c r="CSH44" s="45"/>
      <c r="CSI44" s="45"/>
      <c r="CSJ44" s="45"/>
      <c r="CSK44" s="45"/>
      <c r="CSL44" s="45"/>
      <c r="CSM44" s="45"/>
      <c r="CSN44" s="45"/>
      <c r="CSO44" s="45"/>
      <c r="CSP44" s="45"/>
      <c r="CSQ44" s="45"/>
      <c r="CSR44" s="45"/>
      <c r="CSS44" s="45"/>
      <c r="CST44" s="45"/>
      <c r="CSU44" s="45"/>
      <c r="CSV44" s="45"/>
      <c r="CSW44" s="45"/>
      <c r="CSX44" s="45"/>
      <c r="CSY44" s="45"/>
      <c r="CSZ44" s="45"/>
      <c r="CTA44" s="45"/>
      <c r="CTB44" s="45"/>
      <c r="CTC44" s="45"/>
      <c r="CTD44" s="45"/>
      <c r="CTE44" s="45"/>
      <c r="CTF44" s="45"/>
      <c r="CTG44" s="45"/>
      <c r="CTH44" s="45"/>
      <c r="CTI44" s="45"/>
      <c r="CTJ44" s="45"/>
      <c r="CTK44" s="45"/>
      <c r="CTL44" s="45"/>
      <c r="CTM44" s="45"/>
      <c r="CTN44" s="45"/>
      <c r="CTO44" s="45"/>
      <c r="CTP44" s="45"/>
      <c r="CTQ44" s="45"/>
      <c r="CTR44" s="45"/>
      <c r="CTS44" s="45"/>
      <c r="CTT44" s="45"/>
      <c r="CTU44" s="45"/>
      <c r="CTV44" s="45"/>
      <c r="CTW44" s="45"/>
      <c r="CTX44" s="45"/>
      <c r="CTY44" s="45"/>
      <c r="CTZ44" s="45"/>
      <c r="CUA44" s="45"/>
      <c r="CUB44" s="45"/>
      <c r="CUC44" s="45"/>
      <c r="CUD44" s="45"/>
      <c r="CUE44" s="45"/>
      <c r="CUF44" s="45"/>
      <c r="CUG44" s="45"/>
      <c r="CUH44" s="45"/>
      <c r="CUI44" s="45"/>
      <c r="CUJ44" s="45"/>
      <c r="CUK44" s="45"/>
      <c r="CUL44" s="45"/>
      <c r="CUM44" s="45"/>
      <c r="CUN44" s="45"/>
      <c r="CUO44" s="45"/>
      <c r="CUP44" s="45"/>
      <c r="CUQ44" s="45"/>
      <c r="CUR44" s="45"/>
      <c r="CUS44" s="45"/>
      <c r="CUT44" s="45"/>
      <c r="CUU44" s="45"/>
      <c r="CUV44" s="45"/>
      <c r="CUW44" s="45"/>
      <c r="CUX44" s="45"/>
      <c r="CUY44" s="45"/>
      <c r="CUZ44" s="45"/>
      <c r="CVA44" s="45"/>
      <c r="CVB44" s="45"/>
      <c r="CVC44" s="45"/>
      <c r="CVD44" s="45"/>
      <c r="CVE44" s="45"/>
      <c r="CVF44" s="45"/>
      <c r="CVG44" s="45"/>
      <c r="CVH44" s="45"/>
      <c r="CVI44" s="45"/>
      <c r="CVJ44" s="45"/>
      <c r="CVK44" s="45"/>
      <c r="CVL44" s="45"/>
      <c r="CVM44" s="45"/>
      <c r="CVN44" s="45"/>
      <c r="CVO44" s="45"/>
      <c r="CVP44" s="45"/>
      <c r="CVQ44" s="45"/>
      <c r="CVR44" s="45"/>
      <c r="CVS44" s="45"/>
      <c r="CVT44" s="45"/>
      <c r="CVU44" s="45"/>
      <c r="CVV44" s="45"/>
      <c r="CVW44" s="45"/>
      <c r="CVX44" s="45"/>
      <c r="CVY44" s="45"/>
      <c r="CVZ44" s="45"/>
      <c r="CWA44" s="45"/>
      <c r="CWB44" s="45"/>
      <c r="CWC44" s="45"/>
      <c r="CWD44" s="45"/>
      <c r="CWE44" s="45"/>
      <c r="CWF44" s="45"/>
      <c r="CWG44" s="45"/>
      <c r="CWH44" s="45"/>
      <c r="CWI44" s="45"/>
      <c r="CWJ44" s="45"/>
      <c r="CWK44" s="45"/>
      <c r="CWL44" s="45"/>
      <c r="CWM44" s="45"/>
      <c r="CWN44" s="45"/>
      <c r="CWO44" s="45"/>
      <c r="CWP44" s="45"/>
      <c r="CWQ44" s="45"/>
      <c r="CWR44" s="45"/>
      <c r="CWS44" s="45"/>
      <c r="CWT44" s="45"/>
      <c r="CWU44" s="45"/>
      <c r="CWV44" s="45"/>
      <c r="CWW44" s="45"/>
      <c r="CWX44" s="45"/>
      <c r="CWY44" s="45"/>
      <c r="CWZ44" s="45"/>
      <c r="CXA44" s="45"/>
      <c r="CXB44" s="45"/>
      <c r="CXC44" s="45"/>
      <c r="CXD44" s="45"/>
      <c r="CXE44" s="45"/>
      <c r="CXF44" s="45"/>
      <c r="CXG44" s="45"/>
      <c r="CXH44" s="45"/>
      <c r="CXI44" s="45"/>
      <c r="CXJ44" s="45"/>
      <c r="CXK44" s="45"/>
      <c r="CXL44" s="45"/>
      <c r="CXM44" s="45"/>
      <c r="CXN44" s="45"/>
      <c r="CXO44" s="45"/>
      <c r="CXP44" s="45"/>
      <c r="CXQ44" s="45"/>
      <c r="CXR44" s="45"/>
      <c r="CXS44" s="45"/>
      <c r="CXT44" s="45"/>
      <c r="CXU44" s="45"/>
      <c r="CXV44" s="45"/>
      <c r="CXW44" s="45"/>
      <c r="CXX44" s="45"/>
      <c r="CXY44" s="45"/>
      <c r="CXZ44" s="45"/>
      <c r="CYA44" s="45"/>
      <c r="CYB44" s="45"/>
      <c r="CYC44" s="45"/>
      <c r="CYD44" s="45"/>
      <c r="CYE44" s="45"/>
      <c r="CYF44" s="45"/>
      <c r="CYG44" s="45"/>
      <c r="CYH44" s="45"/>
      <c r="CYI44" s="45"/>
      <c r="CYJ44" s="45"/>
      <c r="CYK44" s="45"/>
      <c r="CYL44" s="45"/>
      <c r="CYM44" s="45"/>
      <c r="CYN44" s="45"/>
      <c r="CYO44" s="45"/>
      <c r="CYP44" s="45"/>
      <c r="CYQ44" s="45"/>
      <c r="CYR44" s="45"/>
      <c r="CYS44" s="45"/>
      <c r="CYT44" s="45"/>
      <c r="CYU44" s="45"/>
      <c r="CYV44" s="45"/>
      <c r="CYW44" s="45"/>
      <c r="CYX44" s="45"/>
      <c r="CYY44" s="45"/>
      <c r="CYZ44" s="45"/>
      <c r="CZA44" s="45"/>
      <c r="CZB44" s="45"/>
      <c r="CZC44" s="45"/>
      <c r="CZD44" s="45"/>
      <c r="CZE44" s="45"/>
      <c r="CZF44" s="45"/>
      <c r="CZG44" s="45"/>
      <c r="CZH44" s="45"/>
      <c r="CZI44" s="45"/>
      <c r="CZJ44" s="45"/>
      <c r="CZK44" s="45"/>
      <c r="CZL44" s="45"/>
      <c r="CZM44" s="45"/>
      <c r="CZN44" s="45"/>
      <c r="CZO44" s="45"/>
      <c r="CZP44" s="45"/>
      <c r="CZQ44" s="45"/>
      <c r="CZR44" s="45"/>
      <c r="CZS44" s="45"/>
      <c r="CZT44" s="45"/>
      <c r="CZU44" s="45"/>
      <c r="CZV44" s="45"/>
      <c r="CZW44" s="45"/>
      <c r="CZX44" s="45"/>
      <c r="CZY44" s="45"/>
      <c r="CZZ44" s="45"/>
      <c r="DAA44" s="45"/>
      <c r="DAB44" s="45"/>
      <c r="DAC44" s="45"/>
      <c r="DAD44" s="45"/>
      <c r="DAE44" s="45"/>
      <c r="DAF44" s="45"/>
      <c r="DAG44" s="45"/>
      <c r="DAH44" s="45"/>
      <c r="DAI44" s="45"/>
      <c r="DAJ44" s="45"/>
      <c r="DAK44" s="45"/>
      <c r="DAL44" s="45"/>
      <c r="DAM44" s="45"/>
      <c r="DAN44" s="45"/>
      <c r="DAO44" s="45"/>
      <c r="DAP44" s="45"/>
      <c r="DAQ44" s="45"/>
      <c r="DAR44" s="45"/>
      <c r="DAS44" s="45"/>
      <c r="DAT44" s="45"/>
      <c r="DAU44" s="45"/>
      <c r="DAV44" s="45"/>
      <c r="DAW44" s="45"/>
      <c r="DAX44" s="45"/>
      <c r="DAY44" s="45"/>
      <c r="DAZ44" s="45"/>
      <c r="DBA44" s="45"/>
      <c r="DBB44" s="45"/>
      <c r="DBC44" s="45"/>
      <c r="DBD44" s="45"/>
      <c r="DBE44" s="45"/>
      <c r="DBF44" s="45"/>
      <c r="DBG44" s="45"/>
      <c r="DBH44" s="45"/>
      <c r="DBI44" s="45"/>
      <c r="DBJ44" s="45"/>
      <c r="DBK44" s="45"/>
      <c r="DBL44" s="45"/>
      <c r="DBM44" s="45"/>
      <c r="DBN44" s="45"/>
      <c r="DBO44" s="45"/>
      <c r="DBP44" s="45"/>
      <c r="DBQ44" s="45"/>
      <c r="DBR44" s="45"/>
      <c r="DBS44" s="45"/>
      <c r="DBT44" s="45"/>
      <c r="DBU44" s="45"/>
      <c r="DBV44" s="45"/>
      <c r="DBW44" s="45"/>
      <c r="DBX44" s="45"/>
      <c r="DBY44" s="45"/>
      <c r="DBZ44" s="45"/>
      <c r="DCA44" s="45"/>
      <c r="DCB44" s="45"/>
      <c r="DCC44" s="45"/>
      <c r="DCD44" s="45"/>
      <c r="DCE44" s="45"/>
      <c r="DCF44" s="45"/>
      <c r="DCG44" s="45"/>
      <c r="DCH44" s="45"/>
      <c r="DCI44" s="45"/>
      <c r="DCJ44" s="45"/>
      <c r="DCK44" s="45"/>
      <c r="DCL44" s="45"/>
      <c r="DCM44" s="45"/>
      <c r="DCN44" s="45"/>
      <c r="DCO44" s="45"/>
      <c r="DCP44" s="45"/>
      <c r="DCQ44" s="45"/>
      <c r="DCR44" s="45"/>
      <c r="DCS44" s="45"/>
      <c r="DCT44" s="45"/>
      <c r="DCU44" s="45"/>
      <c r="DCV44" s="45"/>
      <c r="DCW44" s="45"/>
      <c r="DCX44" s="45"/>
      <c r="DCY44" s="45"/>
      <c r="DCZ44" s="45"/>
      <c r="DDA44" s="45"/>
      <c r="DDB44" s="45"/>
      <c r="DDC44" s="45"/>
      <c r="DDD44" s="45"/>
      <c r="DDE44" s="45"/>
      <c r="DDF44" s="45"/>
      <c r="DDG44" s="45"/>
      <c r="DDH44" s="45"/>
      <c r="DDI44" s="45"/>
      <c r="DDJ44" s="45"/>
      <c r="DDK44" s="45"/>
      <c r="DDL44" s="45"/>
      <c r="DDM44" s="45"/>
      <c r="DDN44" s="45"/>
      <c r="DDO44" s="45"/>
      <c r="DDP44" s="45"/>
      <c r="DDQ44" s="45"/>
      <c r="DDR44" s="45"/>
      <c r="DDS44" s="45"/>
      <c r="DDT44" s="45"/>
      <c r="DDU44" s="45"/>
      <c r="DDV44" s="45"/>
      <c r="DDW44" s="45"/>
      <c r="DDX44" s="45"/>
      <c r="DDY44" s="45"/>
      <c r="DDZ44" s="45"/>
      <c r="DEA44" s="45"/>
      <c r="DEB44" s="45"/>
      <c r="DEC44" s="45"/>
      <c r="DED44" s="45"/>
      <c r="DEE44" s="45"/>
      <c r="DEF44" s="45"/>
      <c r="DEG44" s="45"/>
      <c r="DEH44" s="45"/>
      <c r="DEI44" s="45"/>
      <c r="DEJ44" s="45"/>
      <c r="DEK44" s="45"/>
      <c r="DEL44" s="45"/>
      <c r="DEM44" s="45"/>
      <c r="DEN44" s="45"/>
      <c r="DEO44" s="45"/>
      <c r="DEP44" s="45"/>
      <c r="DEQ44" s="45"/>
      <c r="DER44" s="45"/>
      <c r="DES44" s="45"/>
      <c r="DET44" s="45"/>
      <c r="DEU44" s="45"/>
      <c r="DEV44" s="45"/>
      <c r="DEW44" s="45"/>
      <c r="DEX44" s="45"/>
      <c r="DEY44" s="45"/>
      <c r="DEZ44" s="45"/>
      <c r="DFA44" s="45"/>
      <c r="DFB44" s="45"/>
      <c r="DFC44" s="45"/>
      <c r="DFD44" s="45"/>
      <c r="DFE44" s="45"/>
      <c r="DFF44" s="45"/>
      <c r="DFG44" s="45"/>
      <c r="DFH44" s="45"/>
      <c r="DFI44" s="45"/>
      <c r="DFJ44" s="45"/>
      <c r="DFK44" s="45"/>
      <c r="DFL44" s="45"/>
      <c r="DFM44" s="45"/>
      <c r="DFN44" s="45"/>
      <c r="DFO44" s="45"/>
      <c r="DFP44" s="45"/>
      <c r="DFQ44" s="45"/>
      <c r="DFR44" s="45"/>
      <c r="DFS44" s="45"/>
      <c r="DFT44" s="45"/>
      <c r="DFU44" s="45"/>
      <c r="DFV44" s="45"/>
      <c r="DFW44" s="45"/>
      <c r="DFX44" s="45"/>
      <c r="DFY44" s="45"/>
      <c r="DFZ44" s="45"/>
      <c r="DGA44" s="45"/>
      <c r="DGB44" s="45"/>
      <c r="DGC44" s="45"/>
      <c r="DGD44" s="45"/>
      <c r="DGE44" s="45"/>
      <c r="DGF44" s="45"/>
      <c r="DGG44" s="45"/>
      <c r="DGH44" s="45"/>
      <c r="DGI44" s="45"/>
      <c r="DGJ44" s="45"/>
      <c r="DGK44" s="45"/>
      <c r="DGL44" s="45"/>
      <c r="DGM44" s="45"/>
      <c r="DGN44" s="45"/>
      <c r="DGO44" s="45"/>
      <c r="DGP44" s="45"/>
      <c r="DGQ44" s="45"/>
      <c r="DGR44" s="45"/>
      <c r="DGS44" s="45"/>
      <c r="DGT44" s="45"/>
      <c r="DGU44" s="45"/>
      <c r="DGV44" s="45"/>
      <c r="DGW44" s="45"/>
      <c r="DGX44" s="45"/>
      <c r="DGY44" s="45"/>
      <c r="DGZ44" s="45"/>
      <c r="DHA44" s="45"/>
      <c r="DHB44" s="45"/>
      <c r="DHC44" s="45"/>
      <c r="DHD44" s="45"/>
      <c r="DHE44" s="45"/>
      <c r="DHF44" s="45"/>
      <c r="DHG44" s="45"/>
      <c r="DHH44" s="45"/>
      <c r="DHI44" s="45"/>
      <c r="DHJ44" s="45"/>
      <c r="DHK44" s="45"/>
      <c r="DHL44" s="45"/>
      <c r="DHM44" s="45"/>
      <c r="DHN44" s="45"/>
      <c r="DHO44" s="45"/>
      <c r="DHP44" s="45"/>
      <c r="DHQ44" s="45"/>
      <c r="DHR44" s="45"/>
      <c r="DHS44" s="45"/>
      <c r="DHT44" s="45"/>
      <c r="DHU44" s="45"/>
      <c r="DHV44" s="45"/>
      <c r="DHW44" s="45"/>
      <c r="DHX44" s="45"/>
      <c r="DHY44" s="45"/>
      <c r="DHZ44" s="45"/>
      <c r="DIA44" s="45"/>
      <c r="DIB44" s="45"/>
      <c r="DIC44" s="45"/>
      <c r="DID44" s="45"/>
      <c r="DIE44" s="45"/>
      <c r="DIF44" s="45"/>
      <c r="DIG44" s="45"/>
      <c r="DIH44" s="45"/>
      <c r="DII44" s="45"/>
      <c r="DIJ44" s="45"/>
      <c r="DIK44" s="45"/>
      <c r="DIL44" s="45"/>
      <c r="DIM44" s="45"/>
      <c r="DIN44" s="45"/>
      <c r="DIO44" s="45"/>
      <c r="DIP44" s="45"/>
      <c r="DIQ44" s="45"/>
      <c r="DIR44" s="45"/>
      <c r="DIS44" s="45"/>
      <c r="DIT44" s="45"/>
      <c r="DIU44" s="45"/>
      <c r="DIV44" s="45"/>
      <c r="DIW44" s="45"/>
      <c r="DIX44" s="45"/>
      <c r="DIY44" s="45"/>
      <c r="DIZ44" s="45"/>
      <c r="DJA44" s="45"/>
      <c r="DJB44" s="45"/>
      <c r="DJC44" s="45"/>
      <c r="DJD44" s="45"/>
      <c r="DJE44" s="45"/>
      <c r="DJF44" s="45"/>
      <c r="DJG44" s="45"/>
      <c r="DJH44" s="45"/>
      <c r="DJI44" s="45"/>
      <c r="DJJ44" s="45"/>
      <c r="DJK44" s="45"/>
      <c r="DJL44" s="45"/>
      <c r="DJM44" s="45"/>
      <c r="DJN44" s="45"/>
      <c r="DJO44" s="45"/>
      <c r="DJP44" s="45"/>
      <c r="DJQ44" s="45"/>
      <c r="DJR44" s="45"/>
      <c r="DJS44" s="45"/>
      <c r="DJT44" s="45"/>
      <c r="DJU44" s="45"/>
      <c r="DJV44" s="45"/>
      <c r="DJW44" s="45"/>
      <c r="DJX44" s="45"/>
      <c r="DJY44" s="45"/>
      <c r="DJZ44" s="45"/>
      <c r="DKA44" s="45"/>
      <c r="DKB44" s="45"/>
      <c r="DKC44" s="45"/>
      <c r="DKD44" s="45"/>
      <c r="DKE44" s="45"/>
      <c r="DKF44" s="45"/>
      <c r="DKG44" s="45"/>
      <c r="DKH44" s="45"/>
      <c r="DKI44" s="45"/>
      <c r="DKJ44" s="45"/>
      <c r="DKK44" s="45"/>
      <c r="DKL44" s="45"/>
      <c r="DKM44" s="45"/>
      <c r="DKN44" s="45"/>
      <c r="DKO44" s="45"/>
      <c r="DKP44" s="45"/>
      <c r="DKQ44" s="45"/>
      <c r="DKR44" s="45"/>
      <c r="DKS44" s="45"/>
      <c r="DKT44" s="45"/>
      <c r="DKU44" s="45"/>
      <c r="DKV44" s="45"/>
      <c r="DKW44" s="45"/>
      <c r="DKX44" s="45"/>
      <c r="DKY44" s="45"/>
      <c r="DKZ44" s="45"/>
      <c r="DLA44" s="45"/>
      <c r="DLB44" s="45"/>
      <c r="DLC44" s="45"/>
      <c r="DLD44" s="45"/>
      <c r="DLE44" s="45"/>
      <c r="DLF44" s="45"/>
      <c r="DLG44" s="45"/>
      <c r="DLH44" s="45"/>
      <c r="DLI44" s="45"/>
      <c r="DLJ44" s="45"/>
      <c r="DLK44" s="45"/>
      <c r="DLL44" s="45"/>
      <c r="DLM44" s="45"/>
      <c r="DLN44" s="45"/>
      <c r="DLO44" s="45"/>
      <c r="DLP44" s="45"/>
      <c r="DLQ44" s="45"/>
      <c r="DLR44" s="45"/>
      <c r="DLS44" s="45"/>
      <c r="DLT44" s="45"/>
      <c r="DLU44" s="45"/>
      <c r="DLV44" s="45"/>
      <c r="DLW44" s="45"/>
      <c r="DLX44" s="45"/>
      <c r="DLY44" s="45"/>
      <c r="DLZ44" s="45"/>
      <c r="DMA44" s="45"/>
      <c r="DMB44" s="45"/>
      <c r="DMC44" s="45"/>
      <c r="DMD44" s="45"/>
      <c r="DME44" s="45"/>
      <c r="DMF44" s="45"/>
      <c r="DMG44" s="45"/>
      <c r="DMH44" s="45"/>
      <c r="DMI44" s="45"/>
      <c r="DMJ44" s="45"/>
      <c r="DMK44" s="45"/>
      <c r="DML44" s="45"/>
      <c r="DMM44" s="45"/>
      <c r="DMN44" s="45"/>
      <c r="DMO44" s="45"/>
      <c r="DMP44" s="45"/>
      <c r="DMQ44" s="45"/>
      <c r="DMR44" s="45"/>
      <c r="DMS44" s="45"/>
      <c r="DMT44" s="45"/>
      <c r="DMU44" s="45"/>
      <c r="DMV44" s="45"/>
      <c r="DMW44" s="45"/>
      <c r="DMX44" s="45"/>
      <c r="DMY44" s="45"/>
      <c r="DMZ44" s="45"/>
      <c r="DNA44" s="45"/>
      <c r="DNB44" s="45"/>
      <c r="DNC44" s="45"/>
      <c r="DND44" s="45"/>
      <c r="DNE44" s="45"/>
      <c r="DNF44" s="45"/>
      <c r="DNG44" s="45"/>
      <c r="DNH44" s="45"/>
      <c r="DNI44" s="45"/>
      <c r="DNJ44" s="45"/>
      <c r="DNK44" s="45"/>
      <c r="DNL44" s="45"/>
      <c r="DNM44" s="45"/>
      <c r="DNN44" s="45"/>
      <c r="DNO44" s="45"/>
      <c r="DNP44" s="45"/>
      <c r="DNQ44" s="45"/>
      <c r="DNR44" s="45"/>
      <c r="DNS44" s="45"/>
      <c r="DNT44" s="45"/>
      <c r="DNU44" s="45"/>
      <c r="DNV44" s="45"/>
      <c r="DNW44" s="45"/>
      <c r="DNX44" s="45"/>
      <c r="DNY44" s="45"/>
      <c r="DNZ44" s="45"/>
      <c r="DOA44" s="45"/>
      <c r="DOB44" s="45"/>
      <c r="DOC44" s="45"/>
      <c r="DOD44" s="45"/>
      <c r="DOE44" s="45"/>
      <c r="DOF44" s="45"/>
      <c r="DOG44" s="45"/>
      <c r="DOH44" s="45"/>
      <c r="DOI44" s="45"/>
      <c r="DOJ44" s="45"/>
      <c r="DOK44" s="45"/>
      <c r="DOL44" s="45"/>
      <c r="DOM44" s="45"/>
      <c r="DON44" s="45"/>
      <c r="DOO44" s="45"/>
      <c r="DOP44" s="45"/>
      <c r="DOQ44" s="45"/>
      <c r="DOR44" s="45"/>
      <c r="DOS44" s="45"/>
      <c r="DOT44" s="45"/>
      <c r="DOU44" s="45"/>
      <c r="DOV44" s="45"/>
      <c r="DOW44" s="45"/>
      <c r="DOX44" s="45"/>
      <c r="DOY44" s="45"/>
      <c r="DOZ44" s="45"/>
      <c r="DPA44" s="45"/>
      <c r="DPB44" s="45"/>
      <c r="DPC44" s="45"/>
      <c r="DPD44" s="45"/>
      <c r="DPE44" s="45"/>
      <c r="DPF44" s="45"/>
      <c r="DPG44" s="45"/>
      <c r="DPH44" s="45"/>
      <c r="DPI44" s="45"/>
      <c r="DPJ44" s="45"/>
      <c r="DPK44" s="45"/>
      <c r="DPL44" s="45"/>
      <c r="DPM44" s="45"/>
      <c r="DPN44" s="45"/>
      <c r="DPO44" s="45"/>
      <c r="DPP44" s="45"/>
      <c r="DPQ44" s="45"/>
      <c r="DPR44" s="45"/>
      <c r="DPS44" s="45"/>
      <c r="DPT44" s="45"/>
      <c r="DPU44" s="45"/>
      <c r="DPV44" s="45"/>
      <c r="DPW44" s="45"/>
      <c r="DPX44" s="45"/>
      <c r="DPY44" s="45"/>
      <c r="DPZ44" s="45"/>
      <c r="DQA44" s="45"/>
      <c r="DQB44" s="45"/>
      <c r="DQC44" s="45"/>
      <c r="DQD44" s="45"/>
      <c r="DQE44" s="45"/>
      <c r="DQF44" s="45"/>
      <c r="DQG44" s="45"/>
      <c r="DQH44" s="45"/>
      <c r="DQI44" s="45"/>
      <c r="DQJ44" s="45"/>
      <c r="DQK44" s="45"/>
      <c r="DQL44" s="45"/>
      <c r="DQM44" s="45"/>
      <c r="DQN44" s="45"/>
      <c r="DQO44" s="45"/>
      <c r="DQP44" s="45"/>
      <c r="DQQ44" s="45"/>
      <c r="DQR44" s="45"/>
      <c r="DQS44" s="45"/>
      <c r="DQT44" s="45"/>
      <c r="DQU44" s="45"/>
      <c r="DQV44" s="45"/>
      <c r="DQW44" s="45"/>
      <c r="DQX44" s="45"/>
      <c r="DQY44" s="45"/>
      <c r="DQZ44" s="45"/>
      <c r="DRA44" s="45"/>
      <c r="DRB44" s="45"/>
      <c r="DRC44" s="45"/>
      <c r="DRD44" s="45"/>
      <c r="DRE44" s="45"/>
      <c r="DRF44" s="45"/>
      <c r="DRG44" s="45"/>
      <c r="DRH44" s="45"/>
      <c r="DRI44" s="45"/>
      <c r="DRJ44" s="45"/>
      <c r="DRK44" s="45"/>
      <c r="DRL44" s="45"/>
      <c r="DRM44" s="45"/>
      <c r="DRN44" s="45"/>
      <c r="DRO44" s="45"/>
      <c r="DRP44" s="45"/>
      <c r="DRQ44" s="45"/>
      <c r="DRR44" s="45"/>
      <c r="DRS44" s="45"/>
      <c r="DRT44" s="45"/>
      <c r="DRU44" s="45"/>
      <c r="DRV44" s="45"/>
      <c r="DRW44" s="45"/>
      <c r="DRX44" s="45"/>
      <c r="DRY44" s="45"/>
      <c r="DRZ44" s="45"/>
      <c r="DSA44" s="45"/>
      <c r="DSB44" s="45"/>
      <c r="DSC44" s="45"/>
      <c r="DSD44" s="45"/>
      <c r="DSE44" s="45"/>
      <c r="DSF44" s="45"/>
      <c r="DSG44" s="45"/>
      <c r="DSH44" s="45"/>
      <c r="DSI44" s="45"/>
      <c r="DSJ44" s="45"/>
      <c r="DSK44" s="45"/>
      <c r="DSL44" s="45"/>
      <c r="DSM44" s="45"/>
      <c r="DSN44" s="45"/>
      <c r="DSO44" s="45"/>
      <c r="DSP44" s="45"/>
      <c r="DSQ44" s="45"/>
      <c r="DSR44" s="45"/>
      <c r="DSS44" s="45"/>
      <c r="DST44" s="45"/>
      <c r="DSU44" s="45"/>
      <c r="DSV44" s="45"/>
      <c r="DSW44" s="45"/>
      <c r="DSX44" s="45"/>
      <c r="DSY44" s="45"/>
      <c r="DSZ44" s="45"/>
      <c r="DTA44" s="45"/>
      <c r="DTB44" s="45"/>
      <c r="DTC44" s="45"/>
      <c r="DTD44" s="45"/>
      <c r="DTE44" s="45"/>
      <c r="DTF44" s="45"/>
      <c r="DTG44" s="45"/>
      <c r="DTH44" s="45"/>
      <c r="DTI44" s="45"/>
      <c r="DTJ44" s="45"/>
      <c r="DTK44" s="45"/>
      <c r="DTL44" s="45"/>
      <c r="DTM44" s="45"/>
      <c r="DTN44" s="45"/>
      <c r="DTO44" s="45"/>
      <c r="DTP44" s="45"/>
      <c r="DTQ44" s="45"/>
      <c r="DTR44" s="45"/>
      <c r="DTS44" s="45"/>
      <c r="DTT44" s="45"/>
      <c r="DTU44" s="45"/>
      <c r="DTV44" s="45"/>
      <c r="DTW44" s="45"/>
      <c r="DTX44" s="45"/>
      <c r="DTY44" s="45"/>
      <c r="DTZ44" s="45"/>
      <c r="DUA44" s="45"/>
      <c r="DUB44" s="45"/>
      <c r="DUC44" s="45"/>
      <c r="DUD44" s="45"/>
      <c r="DUE44" s="45"/>
      <c r="DUF44" s="45"/>
      <c r="DUG44" s="45"/>
      <c r="DUH44" s="45"/>
      <c r="DUI44" s="45"/>
      <c r="DUJ44" s="45"/>
      <c r="DUK44" s="45"/>
      <c r="DUL44" s="45"/>
      <c r="DUM44" s="45"/>
      <c r="DUN44" s="45"/>
      <c r="DUO44" s="45"/>
      <c r="DUP44" s="45"/>
      <c r="DUQ44" s="45"/>
      <c r="DUR44" s="45"/>
      <c r="DUS44" s="45"/>
      <c r="DUT44" s="45"/>
      <c r="DUU44" s="45"/>
      <c r="DUV44" s="45"/>
      <c r="DUW44" s="45"/>
      <c r="DUX44" s="45"/>
      <c r="DUY44" s="45"/>
      <c r="DUZ44" s="45"/>
      <c r="DVA44" s="45"/>
      <c r="DVB44" s="45"/>
      <c r="DVC44" s="45"/>
      <c r="DVD44" s="45"/>
      <c r="DVE44" s="45"/>
      <c r="DVF44" s="45"/>
      <c r="DVG44" s="45"/>
      <c r="DVH44" s="45"/>
      <c r="DVI44" s="45"/>
      <c r="DVJ44" s="45"/>
      <c r="DVK44" s="45"/>
      <c r="DVL44" s="45"/>
      <c r="DVM44" s="45"/>
      <c r="DVN44" s="45"/>
      <c r="DVO44" s="45"/>
      <c r="DVP44" s="45"/>
      <c r="DVQ44" s="45"/>
      <c r="DVR44" s="45"/>
      <c r="DVS44" s="45"/>
      <c r="DVT44" s="45"/>
      <c r="DVU44" s="45"/>
      <c r="DVV44" s="45"/>
      <c r="DVW44" s="45"/>
      <c r="DVX44" s="45"/>
      <c r="DVY44" s="45"/>
      <c r="DVZ44" s="45"/>
      <c r="DWA44" s="45"/>
      <c r="DWB44" s="45"/>
      <c r="DWC44" s="45"/>
      <c r="DWD44" s="45"/>
      <c r="DWE44" s="45"/>
      <c r="DWF44" s="45"/>
      <c r="DWG44" s="45"/>
      <c r="DWH44" s="45"/>
      <c r="DWI44" s="45"/>
      <c r="DWJ44" s="45"/>
      <c r="DWK44" s="45"/>
      <c r="DWL44" s="45"/>
      <c r="DWM44" s="45"/>
      <c r="DWN44" s="45"/>
      <c r="DWO44" s="45"/>
      <c r="DWP44" s="45"/>
      <c r="DWQ44" s="45"/>
      <c r="DWR44" s="45"/>
      <c r="DWS44" s="45"/>
      <c r="DWT44" s="45"/>
      <c r="DWU44" s="45"/>
      <c r="DWV44" s="45"/>
      <c r="DWW44" s="45"/>
      <c r="DWX44" s="45"/>
      <c r="DWY44" s="45"/>
      <c r="DWZ44" s="45"/>
      <c r="DXA44" s="45"/>
      <c r="DXB44" s="45"/>
      <c r="DXC44" s="45"/>
      <c r="DXD44" s="45"/>
      <c r="DXE44" s="45"/>
      <c r="DXF44" s="45"/>
      <c r="DXG44" s="45"/>
      <c r="DXH44" s="45"/>
      <c r="DXI44" s="45"/>
      <c r="DXJ44" s="45"/>
      <c r="DXK44" s="45"/>
      <c r="DXL44" s="45"/>
      <c r="DXM44" s="45"/>
      <c r="DXN44" s="45"/>
      <c r="DXO44" s="45"/>
      <c r="DXP44" s="45"/>
      <c r="DXQ44" s="45"/>
      <c r="DXR44" s="45"/>
      <c r="DXS44" s="45"/>
      <c r="DXT44" s="45"/>
      <c r="DXU44" s="45"/>
      <c r="DXV44" s="45"/>
      <c r="DXW44" s="45"/>
      <c r="DXX44" s="45"/>
      <c r="DXY44" s="45"/>
      <c r="DXZ44" s="45"/>
      <c r="DYA44" s="45"/>
      <c r="DYB44" s="45"/>
      <c r="DYC44" s="45"/>
      <c r="DYD44" s="45"/>
      <c r="DYE44" s="45"/>
      <c r="DYF44" s="45"/>
      <c r="DYG44" s="45"/>
      <c r="DYH44" s="45"/>
      <c r="DYI44" s="45"/>
      <c r="DYJ44" s="45"/>
      <c r="DYK44" s="45"/>
      <c r="DYL44" s="45"/>
      <c r="DYM44" s="45"/>
      <c r="DYN44" s="45"/>
      <c r="DYO44" s="45"/>
      <c r="DYP44" s="45"/>
      <c r="DYQ44" s="45"/>
      <c r="DYR44" s="45"/>
      <c r="DYS44" s="45"/>
      <c r="DYT44" s="45"/>
      <c r="DYU44" s="45"/>
      <c r="DYV44" s="45"/>
      <c r="DYW44" s="45"/>
      <c r="DYX44" s="45"/>
      <c r="DYY44" s="45"/>
      <c r="DYZ44" s="45"/>
      <c r="DZA44" s="45"/>
      <c r="DZB44" s="45"/>
      <c r="DZC44" s="45"/>
      <c r="DZD44" s="45"/>
      <c r="DZE44" s="45"/>
      <c r="DZF44" s="45"/>
      <c r="DZG44" s="45"/>
      <c r="DZH44" s="45"/>
      <c r="DZI44" s="45"/>
      <c r="DZJ44" s="45"/>
      <c r="DZK44" s="45"/>
      <c r="DZL44" s="45"/>
      <c r="DZM44" s="45"/>
      <c r="DZN44" s="45"/>
      <c r="DZO44" s="45"/>
      <c r="DZP44" s="45"/>
      <c r="DZQ44" s="45"/>
      <c r="DZR44" s="45"/>
      <c r="DZS44" s="45"/>
      <c r="DZT44" s="45"/>
      <c r="DZU44" s="45"/>
      <c r="DZV44" s="45"/>
      <c r="DZW44" s="45"/>
      <c r="DZX44" s="45"/>
      <c r="DZY44" s="45"/>
      <c r="DZZ44" s="45"/>
      <c r="EAA44" s="45"/>
      <c r="EAB44" s="45"/>
      <c r="EAC44" s="45"/>
      <c r="EAD44" s="45"/>
      <c r="EAE44" s="45"/>
      <c r="EAF44" s="45"/>
      <c r="EAG44" s="45"/>
      <c r="EAH44" s="45"/>
      <c r="EAI44" s="45"/>
      <c r="EAJ44" s="45"/>
      <c r="EAK44" s="45"/>
      <c r="EAL44" s="45"/>
      <c r="EAM44" s="45"/>
      <c r="EAN44" s="45"/>
      <c r="EAO44" s="45"/>
      <c r="EAP44" s="45"/>
      <c r="EAQ44" s="45"/>
      <c r="EAR44" s="45"/>
      <c r="EAS44" s="45"/>
      <c r="EAT44" s="45"/>
      <c r="EAU44" s="45"/>
      <c r="EAV44" s="45"/>
      <c r="EAW44" s="45"/>
      <c r="EAX44" s="45"/>
      <c r="EAY44" s="45"/>
      <c r="EAZ44" s="45"/>
      <c r="EBA44" s="45"/>
      <c r="EBB44" s="45"/>
      <c r="EBC44" s="45"/>
      <c r="EBD44" s="45"/>
      <c r="EBE44" s="45"/>
      <c r="EBF44" s="45"/>
      <c r="EBG44" s="45"/>
      <c r="EBH44" s="45"/>
      <c r="EBI44" s="45"/>
      <c r="EBJ44" s="45"/>
      <c r="EBK44" s="45"/>
      <c r="EBL44" s="45"/>
      <c r="EBM44" s="45"/>
      <c r="EBN44" s="45"/>
      <c r="EBO44" s="45"/>
      <c r="EBP44" s="45"/>
      <c r="EBQ44" s="45"/>
      <c r="EBR44" s="45"/>
      <c r="EBS44" s="45"/>
      <c r="EBT44" s="45"/>
      <c r="EBU44" s="45"/>
      <c r="EBV44" s="45"/>
      <c r="EBW44" s="45"/>
      <c r="EBX44" s="45"/>
      <c r="EBY44" s="45"/>
      <c r="EBZ44" s="45"/>
      <c r="ECA44" s="45"/>
      <c r="ECB44" s="45"/>
      <c r="ECC44" s="45"/>
      <c r="ECD44" s="45"/>
      <c r="ECE44" s="45"/>
      <c r="ECF44" s="45"/>
      <c r="ECG44" s="45"/>
      <c r="ECH44" s="45"/>
      <c r="ECI44" s="45"/>
      <c r="ECJ44" s="45"/>
      <c r="ECK44" s="45"/>
      <c r="ECL44" s="45"/>
      <c r="ECM44" s="45"/>
      <c r="ECN44" s="45"/>
      <c r="ECO44" s="45"/>
      <c r="ECP44" s="45"/>
      <c r="ECQ44" s="45"/>
      <c r="ECR44" s="45"/>
      <c r="ECS44" s="45"/>
      <c r="ECT44" s="45"/>
      <c r="ECU44" s="45"/>
      <c r="ECV44" s="45"/>
      <c r="ECW44" s="45"/>
      <c r="ECX44" s="45"/>
      <c r="ECY44" s="45"/>
      <c r="ECZ44" s="45"/>
      <c r="EDA44" s="45"/>
      <c r="EDB44" s="45"/>
      <c r="EDC44" s="45"/>
      <c r="EDD44" s="45"/>
      <c r="EDE44" s="45"/>
      <c r="EDF44" s="45"/>
      <c r="EDG44" s="45"/>
      <c r="EDH44" s="45"/>
      <c r="EDI44" s="45"/>
      <c r="EDJ44" s="45"/>
      <c r="EDK44" s="45"/>
      <c r="EDL44" s="45"/>
      <c r="EDM44" s="45"/>
      <c r="EDN44" s="45"/>
      <c r="EDO44" s="45"/>
      <c r="EDP44" s="45"/>
      <c r="EDQ44" s="45"/>
      <c r="EDR44" s="45"/>
      <c r="EDS44" s="45"/>
      <c r="EDT44" s="45"/>
      <c r="EDU44" s="45"/>
      <c r="EDV44" s="45"/>
      <c r="EDW44" s="45"/>
      <c r="EDX44" s="45"/>
      <c r="EDY44" s="45"/>
      <c r="EDZ44" s="45"/>
      <c r="EEA44" s="45"/>
      <c r="EEB44" s="45"/>
      <c r="EEC44" s="45"/>
      <c r="EED44" s="45"/>
      <c r="EEE44" s="45"/>
      <c r="EEF44" s="45"/>
      <c r="EEG44" s="45"/>
      <c r="EEH44" s="45"/>
      <c r="EEI44" s="45"/>
      <c r="EEJ44" s="45"/>
      <c r="EEK44" s="45"/>
      <c r="EEL44" s="45"/>
      <c r="EEM44" s="45"/>
      <c r="EEN44" s="45"/>
      <c r="EEO44" s="45"/>
      <c r="EEP44" s="45"/>
      <c r="EEQ44" s="45"/>
      <c r="EER44" s="45"/>
      <c r="EES44" s="45"/>
      <c r="EET44" s="45"/>
      <c r="EEU44" s="45"/>
      <c r="EEV44" s="45"/>
      <c r="EEW44" s="45"/>
      <c r="EEX44" s="45"/>
      <c r="EEY44" s="45"/>
      <c r="EEZ44" s="45"/>
      <c r="EFA44" s="45"/>
      <c r="EFB44" s="45"/>
      <c r="EFC44" s="45"/>
      <c r="EFD44" s="45"/>
      <c r="EFE44" s="45"/>
      <c r="EFF44" s="45"/>
      <c r="EFG44" s="45"/>
      <c r="EFH44" s="45"/>
      <c r="EFI44" s="45"/>
      <c r="EFJ44" s="45"/>
      <c r="EFK44" s="45"/>
      <c r="EFL44" s="45"/>
      <c r="EFM44" s="45"/>
      <c r="EFN44" s="45"/>
      <c r="EFO44" s="45"/>
      <c r="EFP44" s="45"/>
      <c r="EFQ44" s="45"/>
      <c r="EFR44" s="45"/>
      <c r="EFS44" s="45"/>
      <c r="EFT44" s="45"/>
      <c r="EFU44" s="45"/>
      <c r="EFV44" s="45"/>
      <c r="EFW44" s="45"/>
      <c r="EFX44" s="45"/>
      <c r="EFY44" s="45"/>
      <c r="EFZ44" s="45"/>
      <c r="EGA44" s="45"/>
      <c r="EGB44" s="45"/>
      <c r="EGC44" s="45"/>
      <c r="EGD44" s="45"/>
      <c r="EGE44" s="45"/>
      <c r="EGF44" s="45"/>
      <c r="EGG44" s="45"/>
      <c r="EGH44" s="45"/>
      <c r="EGI44" s="45"/>
      <c r="EGJ44" s="45"/>
      <c r="EGK44" s="45"/>
      <c r="EGL44" s="45"/>
      <c r="EGM44" s="45"/>
      <c r="EGN44" s="45"/>
      <c r="EGO44" s="45"/>
      <c r="EGP44" s="45"/>
      <c r="EGQ44" s="45"/>
      <c r="EGR44" s="45"/>
      <c r="EGS44" s="45"/>
      <c r="EGT44" s="45"/>
      <c r="EGU44" s="45"/>
      <c r="EGV44" s="45"/>
      <c r="EGW44" s="45"/>
      <c r="EGX44" s="45"/>
      <c r="EGY44" s="45"/>
      <c r="EGZ44" s="45"/>
      <c r="EHA44" s="45"/>
      <c r="EHB44" s="45"/>
      <c r="EHC44" s="45"/>
      <c r="EHD44" s="45"/>
      <c r="EHE44" s="45"/>
      <c r="EHF44" s="45"/>
      <c r="EHG44" s="45"/>
      <c r="EHH44" s="45"/>
      <c r="EHI44" s="45"/>
      <c r="EHJ44" s="45"/>
      <c r="EHK44" s="45"/>
      <c r="EHL44" s="45"/>
      <c r="EHM44" s="45"/>
      <c r="EHN44" s="45"/>
      <c r="EHO44" s="45"/>
      <c r="EHP44" s="45"/>
      <c r="EHQ44" s="45"/>
      <c r="EHR44" s="45"/>
      <c r="EHS44" s="45"/>
      <c r="EHT44" s="45"/>
      <c r="EHU44" s="45"/>
      <c r="EHV44" s="45"/>
      <c r="EHW44" s="45"/>
      <c r="EHX44" s="45"/>
      <c r="EHY44" s="45"/>
      <c r="EHZ44" s="45"/>
      <c r="EIA44" s="45"/>
      <c r="EIB44" s="45"/>
      <c r="EIC44" s="45"/>
      <c r="EID44" s="45"/>
      <c r="EIE44" s="45"/>
      <c r="EIF44" s="45"/>
      <c r="EIG44" s="45"/>
      <c r="EIH44" s="45"/>
      <c r="EII44" s="45"/>
      <c r="EIJ44" s="45"/>
      <c r="EIK44" s="45"/>
      <c r="EIL44" s="45"/>
      <c r="EIM44" s="45"/>
      <c r="EIN44" s="45"/>
      <c r="EIO44" s="45"/>
      <c r="EIP44" s="45"/>
      <c r="EIQ44" s="45"/>
      <c r="EIR44" s="45"/>
      <c r="EIS44" s="45"/>
      <c r="EIT44" s="45"/>
      <c r="EIU44" s="45"/>
      <c r="EIV44" s="45"/>
      <c r="EIW44" s="45"/>
      <c r="EIX44" s="45"/>
      <c r="EIY44" s="45"/>
      <c r="EIZ44" s="45"/>
      <c r="EJA44" s="45"/>
      <c r="EJB44" s="45"/>
      <c r="EJC44" s="45"/>
      <c r="EJD44" s="45"/>
      <c r="EJE44" s="45"/>
      <c r="EJF44" s="45"/>
      <c r="EJG44" s="45"/>
      <c r="EJH44" s="45"/>
      <c r="EJI44" s="45"/>
      <c r="EJJ44" s="45"/>
      <c r="EJK44" s="45"/>
      <c r="EJL44" s="45"/>
      <c r="EJM44" s="45"/>
      <c r="EJN44" s="45"/>
      <c r="EJO44" s="45"/>
      <c r="EJP44" s="45"/>
      <c r="EJQ44" s="45"/>
      <c r="EJR44" s="45"/>
      <c r="EJS44" s="45"/>
      <c r="EJT44" s="45"/>
      <c r="EJU44" s="45"/>
      <c r="EJV44" s="45"/>
      <c r="EJW44" s="45"/>
      <c r="EJX44" s="45"/>
      <c r="EJY44" s="45"/>
      <c r="EJZ44" s="45"/>
      <c r="EKA44" s="45"/>
      <c r="EKB44" s="45"/>
      <c r="EKC44" s="45"/>
      <c r="EKD44" s="45"/>
      <c r="EKE44" s="45"/>
      <c r="EKF44" s="45"/>
      <c r="EKG44" s="45"/>
      <c r="EKH44" s="45"/>
      <c r="EKI44" s="45"/>
      <c r="EKJ44" s="45"/>
      <c r="EKK44" s="45"/>
      <c r="EKL44" s="45"/>
      <c r="EKM44" s="45"/>
      <c r="EKN44" s="45"/>
      <c r="EKO44" s="45"/>
      <c r="EKP44" s="45"/>
      <c r="EKQ44" s="45"/>
      <c r="EKR44" s="45"/>
      <c r="EKS44" s="45"/>
      <c r="EKT44" s="45"/>
      <c r="EKU44" s="45"/>
      <c r="EKV44" s="45"/>
      <c r="EKW44" s="45"/>
      <c r="EKX44" s="45"/>
      <c r="EKY44" s="45"/>
      <c r="EKZ44" s="45"/>
      <c r="ELA44" s="45"/>
      <c r="ELB44" s="45"/>
      <c r="ELC44" s="45"/>
      <c r="ELD44" s="45"/>
      <c r="ELE44" s="45"/>
      <c r="ELF44" s="45"/>
      <c r="ELG44" s="45"/>
      <c r="ELH44" s="45"/>
      <c r="ELI44" s="45"/>
      <c r="ELJ44" s="45"/>
      <c r="ELK44" s="45"/>
      <c r="ELL44" s="45"/>
      <c r="ELM44" s="45"/>
      <c r="ELN44" s="45"/>
      <c r="ELO44" s="45"/>
      <c r="ELP44" s="45"/>
      <c r="ELQ44" s="45"/>
      <c r="ELR44" s="45"/>
      <c r="ELS44" s="45"/>
      <c r="ELT44" s="45"/>
      <c r="ELU44" s="45"/>
      <c r="ELV44" s="45"/>
      <c r="ELW44" s="45"/>
      <c r="ELX44" s="45"/>
      <c r="ELY44" s="45"/>
      <c r="ELZ44" s="45"/>
      <c r="EMA44" s="45"/>
      <c r="EMB44" s="45"/>
      <c r="EMC44" s="45"/>
      <c r="EMD44" s="45"/>
      <c r="EME44" s="45"/>
      <c r="EMF44" s="45"/>
      <c r="EMG44" s="45"/>
      <c r="EMH44" s="45"/>
      <c r="EMI44" s="45"/>
      <c r="EMJ44" s="45"/>
      <c r="EMK44" s="45"/>
      <c r="EML44" s="45"/>
      <c r="EMM44" s="45"/>
      <c r="EMN44" s="45"/>
      <c r="EMO44" s="45"/>
      <c r="EMP44" s="45"/>
      <c r="EMQ44" s="45"/>
      <c r="EMR44" s="45"/>
      <c r="EMS44" s="45"/>
      <c r="EMT44" s="45"/>
      <c r="EMU44" s="45"/>
      <c r="EMV44" s="45"/>
      <c r="EMW44" s="45"/>
      <c r="EMX44" s="45"/>
      <c r="EMY44" s="45"/>
      <c r="EMZ44" s="45"/>
      <c r="ENA44" s="45"/>
      <c r="ENB44" s="45"/>
      <c r="ENC44" s="45"/>
      <c r="END44" s="45"/>
      <c r="ENE44" s="45"/>
      <c r="ENF44" s="45"/>
      <c r="ENG44" s="45"/>
      <c r="ENH44" s="45"/>
      <c r="ENI44" s="45"/>
      <c r="ENJ44" s="45"/>
      <c r="ENK44" s="45"/>
      <c r="ENL44" s="45"/>
      <c r="ENM44" s="45"/>
      <c r="ENN44" s="45"/>
      <c r="ENO44" s="45"/>
      <c r="ENP44" s="45"/>
      <c r="ENQ44" s="45"/>
      <c r="ENR44" s="45"/>
      <c r="ENS44" s="45"/>
      <c r="ENT44" s="45"/>
      <c r="ENU44" s="45"/>
      <c r="ENV44" s="45"/>
      <c r="ENW44" s="45"/>
      <c r="ENX44" s="45"/>
      <c r="ENY44" s="45"/>
      <c r="ENZ44" s="45"/>
      <c r="EOA44" s="45"/>
      <c r="EOB44" s="45"/>
      <c r="EOC44" s="45"/>
      <c r="EOD44" s="45"/>
      <c r="EOE44" s="45"/>
      <c r="EOF44" s="45"/>
      <c r="EOG44" s="45"/>
      <c r="EOH44" s="45"/>
      <c r="EOI44" s="45"/>
      <c r="EOJ44" s="45"/>
      <c r="EOK44" s="45"/>
      <c r="EOL44" s="45"/>
      <c r="EOM44" s="45"/>
      <c r="EON44" s="45"/>
      <c r="EOO44" s="45"/>
      <c r="EOP44" s="45"/>
      <c r="EOQ44" s="45"/>
      <c r="EOR44" s="45"/>
      <c r="EOS44" s="45"/>
      <c r="EOT44" s="45"/>
      <c r="EOU44" s="45"/>
      <c r="EOV44" s="45"/>
      <c r="EOW44" s="45"/>
      <c r="EOX44" s="45"/>
      <c r="EOY44" s="45"/>
      <c r="EOZ44" s="45"/>
      <c r="EPA44" s="45"/>
      <c r="EPB44" s="45"/>
      <c r="EPC44" s="45"/>
      <c r="EPD44" s="45"/>
      <c r="EPE44" s="45"/>
      <c r="EPF44" s="45"/>
      <c r="EPG44" s="45"/>
      <c r="EPH44" s="45"/>
      <c r="EPI44" s="45"/>
      <c r="EPJ44" s="45"/>
      <c r="EPK44" s="45"/>
      <c r="EPL44" s="45"/>
      <c r="EPM44" s="45"/>
      <c r="EPN44" s="45"/>
      <c r="EPO44" s="45"/>
      <c r="EPP44" s="45"/>
      <c r="EPQ44" s="45"/>
      <c r="EPR44" s="45"/>
      <c r="EPS44" s="45"/>
      <c r="EPT44" s="45"/>
      <c r="EPU44" s="45"/>
      <c r="EPV44" s="45"/>
      <c r="EPW44" s="45"/>
      <c r="EPX44" s="45"/>
      <c r="EPY44" s="45"/>
      <c r="EPZ44" s="45"/>
      <c r="EQA44" s="45"/>
      <c r="EQB44" s="45"/>
      <c r="EQC44" s="45"/>
      <c r="EQD44" s="45"/>
      <c r="EQE44" s="45"/>
      <c r="EQF44" s="45"/>
      <c r="EQG44" s="45"/>
      <c r="EQH44" s="45"/>
      <c r="EQI44" s="45"/>
      <c r="EQJ44" s="45"/>
      <c r="EQK44" s="45"/>
      <c r="EQL44" s="45"/>
      <c r="EQM44" s="45"/>
      <c r="EQN44" s="45"/>
      <c r="EQO44" s="45"/>
      <c r="EQP44" s="45"/>
      <c r="EQQ44" s="45"/>
      <c r="EQR44" s="45"/>
      <c r="EQS44" s="45"/>
      <c r="EQT44" s="45"/>
      <c r="EQU44" s="45"/>
      <c r="EQV44" s="45"/>
      <c r="EQW44" s="45"/>
      <c r="EQX44" s="45"/>
      <c r="EQY44" s="45"/>
      <c r="EQZ44" s="45"/>
      <c r="ERA44" s="45"/>
      <c r="ERB44" s="45"/>
      <c r="ERC44" s="45"/>
      <c r="ERD44" s="45"/>
      <c r="ERE44" s="45"/>
      <c r="ERF44" s="45"/>
      <c r="ERG44" s="45"/>
      <c r="ERH44" s="45"/>
      <c r="ERI44" s="45"/>
      <c r="ERJ44" s="45"/>
      <c r="ERK44" s="45"/>
      <c r="ERL44" s="45"/>
      <c r="ERM44" s="45"/>
      <c r="ERN44" s="45"/>
      <c r="ERO44" s="45"/>
      <c r="ERP44" s="45"/>
      <c r="ERQ44" s="45"/>
      <c r="ERR44" s="45"/>
      <c r="ERS44" s="45"/>
      <c r="ERT44" s="45"/>
      <c r="ERU44" s="45"/>
      <c r="ERV44" s="45"/>
      <c r="ERW44" s="45"/>
      <c r="ERX44" s="45"/>
      <c r="ERY44" s="45"/>
      <c r="ERZ44" s="45"/>
      <c r="ESA44" s="45"/>
      <c r="ESB44" s="45"/>
      <c r="ESC44" s="45"/>
      <c r="ESD44" s="45"/>
      <c r="ESE44" s="45"/>
      <c r="ESF44" s="45"/>
      <c r="ESG44" s="45"/>
      <c r="ESH44" s="45"/>
      <c r="ESI44" s="45"/>
      <c r="ESJ44" s="45"/>
      <c r="ESK44" s="45"/>
      <c r="ESL44" s="45"/>
      <c r="ESM44" s="45"/>
      <c r="ESN44" s="45"/>
      <c r="ESO44" s="45"/>
      <c r="ESP44" s="45"/>
      <c r="ESQ44" s="45"/>
      <c r="ESR44" s="45"/>
      <c r="ESS44" s="45"/>
      <c r="EST44" s="45"/>
      <c r="ESU44" s="45"/>
      <c r="ESV44" s="45"/>
      <c r="ESW44" s="45"/>
      <c r="ESX44" s="45"/>
      <c r="ESY44" s="45"/>
      <c r="ESZ44" s="45"/>
      <c r="ETA44" s="45"/>
      <c r="ETB44" s="45"/>
      <c r="ETC44" s="45"/>
      <c r="ETD44" s="45"/>
      <c r="ETE44" s="45"/>
      <c r="ETF44" s="45"/>
      <c r="ETG44" s="45"/>
      <c r="ETH44" s="45"/>
      <c r="ETI44" s="45"/>
      <c r="ETJ44" s="45"/>
      <c r="ETK44" s="45"/>
      <c r="ETL44" s="45"/>
      <c r="ETM44" s="45"/>
      <c r="ETN44" s="45"/>
      <c r="ETO44" s="45"/>
      <c r="ETP44" s="45"/>
      <c r="ETQ44" s="45"/>
      <c r="ETR44" s="45"/>
      <c r="ETS44" s="45"/>
      <c r="ETT44" s="45"/>
      <c r="ETU44" s="45"/>
      <c r="ETV44" s="45"/>
      <c r="ETW44" s="45"/>
      <c r="ETX44" s="45"/>
      <c r="ETY44" s="45"/>
      <c r="ETZ44" s="45"/>
      <c r="EUA44" s="45"/>
      <c r="EUB44" s="45"/>
      <c r="EUC44" s="45"/>
      <c r="EUD44" s="45"/>
      <c r="EUE44" s="45"/>
      <c r="EUF44" s="45"/>
      <c r="EUG44" s="45"/>
      <c r="EUH44" s="45"/>
      <c r="EUI44" s="45"/>
      <c r="EUJ44" s="45"/>
      <c r="EUK44" s="45"/>
      <c r="EUL44" s="45"/>
      <c r="EUM44" s="45"/>
      <c r="EUN44" s="45"/>
      <c r="EUO44" s="45"/>
      <c r="EUP44" s="45"/>
      <c r="EUQ44" s="45"/>
      <c r="EUR44" s="45"/>
      <c r="EUS44" s="45"/>
      <c r="EUT44" s="45"/>
      <c r="EUU44" s="45"/>
      <c r="EUV44" s="45"/>
      <c r="EUW44" s="45"/>
      <c r="EUX44" s="45"/>
      <c r="EUY44" s="45"/>
      <c r="EUZ44" s="45"/>
      <c r="EVA44" s="45"/>
      <c r="EVB44" s="45"/>
      <c r="EVC44" s="45"/>
      <c r="EVD44" s="45"/>
      <c r="EVE44" s="45"/>
      <c r="EVF44" s="45"/>
      <c r="EVG44" s="45"/>
      <c r="EVH44" s="45"/>
      <c r="EVI44" s="45"/>
      <c r="EVJ44" s="45"/>
      <c r="EVK44" s="45"/>
      <c r="EVL44" s="45"/>
      <c r="EVM44" s="45"/>
      <c r="EVN44" s="45"/>
      <c r="EVO44" s="45"/>
      <c r="EVP44" s="45"/>
      <c r="EVQ44" s="45"/>
      <c r="EVR44" s="45"/>
      <c r="EVS44" s="45"/>
      <c r="EVT44" s="45"/>
      <c r="EVU44" s="45"/>
      <c r="EVV44" s="45"/>
      <c r="EVW44" s="45"/>
      <c r="EVX44" s="45"/>
      <c r="EVY44" s="45"/>
      <c r="EVZ44" s="45"/>
      <c r="EWA44" s="45"/>
      <c r="EWB44" s="45"/>
      <c r="EWC44" s="45"/>
      <c r="EWD44" s="45"/>
      <c r="EWE44" s="45"/>
      <c r="EWF44" s="45"/>
      <c r="EWG44" s="45"/>
      <c r="EWH44" s="45"/>
      <c r="EWI44" s="45"/>
      <c r="EWJ44" s="45"/>
      <c r="EWK44" s="45"/>
      <c r="EWL44" s="45"/>
      <c r="EWM44" s="45"/>
      <c r="EWN44" s="45"/>
      <c r="EWO44" s="45"/>
      <c r="EWP44" s="45"/>
      <c r="EWQ44" s="45"/>
      <c r="EWR44" s="45"/>
      <c r="EWS44" s="45"/>
      <c r="EWT44" s="45"/>
      <c r="EWU44" s="45"/>
      <c r="EWV44" s="45"/>
      <c r="EWW44" s="45"/>
      <c r="EWX44" s="45"/>
      <c r="EWY44" s="45"/>
      <c r="EWZ44" s="45"/>
      <c r="EXA44" s="45"/>
      <c r="EXB44" s="45"/>
      <c r="EXC44" s="45"/>
      <c r="EXD44" s="45"/>
      <c r="EXE44" s="45"/>
      <c r="EXF44" s="45"/>
      <c r="EXG44" s="45"/>
      <c r="EXH44" s="45"/>
      <c r="EXI44" s="45"/>
      <c r="EXJ44" s="45"/>
      <c r="EXK44" s="45"/>
      <c r="EXL44" s="45"/>
      <c r="EXM44" s="45"/>
      <c r="EXN44" s="45"/>
      <c r="EXO44" s="45"/>
      <c r="EXP44" s="45"/>
      <c r="EXQ44" s="45"/>
      <c r="EXR44" s="45"/>
      <c r="EXS44" s="45"/>
      <c r="EXT44" s="45"/>
      <c r="EXU44" s="45"/>
      <c r="EXV44" s="45"/>
      <c r="EXW44" s="45"/>
      <c r="EXX44" s="45"/>
      <c r="EXY44" s="45"/>
      <c r="EXZ44" s="45"/>
      <c r="EYA44" s="45"/>
      <c r="EYB44" s="45"/>
      <c r="EYC44" s="45"/>
      <c r="EYD44" s="45"/>
      <c r="EYE44" s="45"/>
      <c r="EYF44" s="45"/>
      <c r="EYG44" s="45"/>
      <c r="EYH44" s="45"/>
      <c r="EYI44" s="45"/>
      <c r="EYJ44" s="45"/>
      <c r="EYK44" s="45"/>
      <c r="EYL44" s="45"/>
      <c r="EYM44" s="45"/>
      <c r="EYN44" s="45"/>
      <c r="EYO44" s="45"/>
      <c r="EYP44" s="45"/>
      <c r="EYQ44" s="45"/>
      <c r="EYR44" s="45"/>
      <c r="EYS44" s="45"/>
      <c r="EYT44" s="45"/>
      <c r="EYU44" s="45"/>
      <c r="EYV44" s="45"/>
      <c r="EYW44" s="45"/>
      <c r="EYX44" s="45"/>
      <c r="EYY44" s="45"/>
      <c r="EYZ44" s="45"/>
      <c r="EZA44" s="45"/>
      <c r="EZB44" s="45"/>
      <c r="EZC44" s="45"/>
      <c r="EZD44" s="45"/>
      <c r="EZE44" s="45"/>
      <c r="EZF44" s="45"/>
      <c r="EZG44" s="45"/>
      <c r="EZH44" s="45"/>
      <c r="EZI44" s="45"/>
      <c r="EZJ44" s="45"/>
      <c r="EZK44" s="45"/>
      <c r="EZL44" s="45"/>
      <c r="EZM44" s="45"/>
      <c r="EZN44" s="45"/>
      <c r="EZO44" s="45"/>
      <c r="EZP44" s="45"/>
      <c r="EZQ44" s="45"/>
      <c r="EZR44" s="45"/>
      <c r="EZS44" s="45"/>
      <c r="EZT44" s="45"/>
      <c r="EZU44" s="45"/>
      <c r="EZV44" s="45"/>
      <c r="EZW44" s="45"/>
      <c r="EZX44" s="45"/>
      <c r="EZY44" s="45"/>
      <c r="EZZ44" s="45"/>
      <c r="FAA44" s="45"/>
      <c r="FAB44" s="45"/>
      <c r="FAC44" s="45"/>
      <c r="FAD44" s="45"/>
      <c r="FAE44" s="45"/>
      <c r="FAF44" s="45"/>
      <c r="FAG44" s="45"/>
      <c r="FAH44" s="45"/>
      <c r="FAI44" s="45"/>
      <c r="FAJ44" s="45"/>
      <c r="FAK44" s="45"/>
      <c r="FAL44" s="45"/>
      <c r="FAM44" s="45"/>
      <c r="FAN44" s="45"/>
      <c r="FAO44" s="45"/>
      <c r="FAP44" s="45"/>
      <c r="FAQ44" s="45"/>
      <c r="FAR44" s="45"/>
      <c r="FAS44" s="45"/>
      <c r="FAT44" s="45"/>
      <c r="FAU44" s="45"/>
      <c r="FAV44" s="45"/>
      <c r="FAW44" s="45"/>
      <c r="FAX44" s="45"/>
      <c r="FAY44" s="45"/>
      <c r="FAZ44" s="45"/>
      <c r="FBA44" s="45"/>
      <c r="FBB44" s="45"/>
      <c r="FBC44" s="45"/>
      <c r="FBD44" s="45"/>
      <c r="FBE44" s="45"/>
      <c r="FBF44" s="45"/>
      <c r="FBG44" s="45"/>
      <c r="FBH44" s="45"/>
      <c r="FBI44" s="45"/>
      <c r="FBJ44" s="45"/>
      <c r="FBK44" s="45"/>
      <c r="FBL44" s="45"/>
      <c r="FBM44" s="45"/>
      <c r="FBN44" s="45"/>
      <c r="FBO44" s="45"/>
      <c r="FBP44" s="45"/>
      <c r="FBQ44" s="45"/>
      <c r="FBR44" s="45"/>
      <c r="FBS44" s="45"/>
      <c r="FBT44" s="45"/>
      <c r="FBU44" s="45"/>
      <c r="FBV44" s="45"/>
      <c r="FBW44" s="45"/>
      <c r="FBX44" s="45"/>
      <c r="FBY44" s="45"/>
      <c r="FBZ44" s="45"/>
      <c r="FCA44" s="45"/>
      <c r="FCB44" s="45"/>
      <c r="FCC44" s="45"/>
      <c r="FCD44" s="45"/>
      <c r="FCE44" s="45"/>
      <c r="FCF44" s="45"/>
      <c r="FCG44" s="45"/>
      <c r="FCH44" s="45"/>
      <c r="FCI44" s="45"/>
      <c r="FCJ44" s="45"/>
      <c r="FCK44" s="45"/>
      <c r="FCL44" s="45"/>
      <c r="FCM44" s="45"/>
      <c r="FCN44" s="45"/>
      <c r="FCO44" s="45"/>
      <c r="FCP44" s="45"/>
      <c r="FCQ44" s="45"/>
      <c r="FCR44" s="45"/>
      <c r="FCS44" s="45"/>
      <c r="FCT44" s="45"/>
      <c r="FCU44" s="45"/>
      <c r="FCV44" s="45"/>
      <c r="FCW44" s="45"/>
      <c r="FCX44" s="45"/>
      <c r="FCY44" s="45"/>
      <c r="FCZ44" s="45"/>
      <c r="FDA44" s="45"/>
      <c r="FDB44" s="45"/>
      <c r="FDC44" s="45"/>
      <c r="FDD44" s="45"/>
      <c r="FDE44" s="45"/>
      <c r="FDF44" s="45"/>
      <c r="FDG44" s="45"/>
      <c r="FDH44" s="45"/>
      <c r="FDI44" s="45"/>
      <c r="FDJ44" s="45"/>
      <c r="FDK44" s="45"/>
      <c r="FDL44" s="45"/>
      <c r="FDM44" s="45"/>
      <c r="FDN44" s="45"/>
      <c r="FDO44" s="45"/>
      <c r="FDP44" s="45"/>
      <c r="FDQ44" s="45"/>
      <c r="FDR44" s="45"/>
      <c r="FDS44" s="45"/>
      <c r="FDT44" s="45"/>
      <c r="FDU44" s="45"/>
      <c r="FDV44" s="45"/>
      <c r="FDW44" s="45"/>
      <c r="FDX44" s="45"/>
      <c r="FDY44" s="45"/>
      <c r="FDZ44" s="45"/>
      <c r="FEA44" s="45"/>
      <c r="FEB44" s="45"/>
      <c r="FEC44" s="45"/>
      <c r="FED44" s="45"/>
      <c r="FEE44" s="45"/>
      <c r="FEF44" s="45"/>
      <c r="FEG44" s="45"/>
      <c r="FEH44" s="45"/>
      <c r="FEI44" s="45"/>
      <c r="FEJ44" s="45"/>
      <c r="FEK44" s="45"/>
      <c r="FEL44" s="45"/>
      <c r="FEM44" s="45"/>
      <c r="FEN44" s="45"/>
      <c r="FEO44" s="45"/>
      <c r="FEP44" s="45"/>
      <c r="FEQ44" s="45"/>
      <c r="FER44" s="45"/>
      <c r="FES44" s="45"/>
      <c r="FET44" s="45"/>
      <c r="FEU44" s="45"/>
      <c r="FEV44" s="45"/>
      <c r="FEW44" s="45"/>
      <c r="FEX44" s="45"/>
      <c r="FEY44" s="45"/>
      <c r="FEZ44" s="45"/>
      <c r="FFA44" s="45"/>
      <c r="FFB44" s="45"/>
      <c r="FFC44" s="45"/>
      <c r="FFD44" s="45"/>
      <c r="FFE44" s="45"/>
      <c r="FFF44" s="45"/>
      <c r="FFG44" s="45"/>
      <c r="FFH44" s="45"/>
      <c r="FFI44" s="45"/>
      <c r="FFJ44" s="45"/>
      <c r="FFK44" s="45"/>
      <c r="FFL44" s="45"/>
      <c r="FFM44" s="45"/>
      <c r="FFN44" s="45"/>
      <c r="FFO44" s="45"/>
      <c r="FFP44" s="45"/>
      <c r="FFQ44" s="45"/>
      <c r="FFR44" s="45"/>
      <c r="FFS44" s="45"/>
      <c r="FFT44" s="45"/>
      <c r="FFU44" s="45"/>
      <c r="FFV44" s="45"/>
      <c r="FFW44" s="45"/>
      <c r="FFX44" s="45"/>
      <c r="FFY44" s="45"/>
      <c r="FFZ44" s="45"/>
      <c r="FGA44" s="45"/>
      <c r="FGB44" s="45"/>
      <c r="FGC44" s="45"/>
      <c r="FGD44" s="45"/>
      <c r="FGE44" s="45"/>
      <c r="FGF44" s="45"/>
      <c r="FGG44" s="45"/>
      <c r="FGH44" s="45"/>
      <c r="FGI44" s="45"/>
      <c r="FGJ44" s="45"/>
      <c r="FGK44" s="45"/>
      <c r="FGL44" s="45"/>
      <c r="FGM44" s="45"/>
      <c r="FGN44" s="45"/>
      <c r="FGO44" s="45"/>
      <c r="FGP44" s="45"/>
      <c r="FGQ44" s="45"/>
      <c r="FGR44" s="45"/>
      <c r="FGS44" s="45"/>
      <c r="FGT44" s="45"/>
      <c r="FGU44" s="45"/>
      <c r="FGV44" s="45"/>
      <c r="FGW44" s="45"/>
      <c r="FGX44" s="45"/>
      <c r="FGY44" s="45"/>
      <c r="FGZ44" s="45"/>
      <c r="FHA44" s="45"/>
      <c r="FHB44" s="45"/>
      <c r="FHC44" s="45"/>
      <c r="FHD44" s="45"/>
      <c r="FHE44" s="45"/>
      <c r="FHF44" s="45"/>
      <c r="FHG44" s="45"/>
      <c r="FHH44" s="45"/>
      <c r="FHI44" s="45"/>
      <c r="FHJ44" s="45"/>
      <c r="FHK44" s="45"/>
      <c r="FHL44" s="45"/>
      <c r="FHM44" s="45"/>
      <c r="FHN44" s="45"/>
      <c r="FHO44" s="45"/>
      <c r="FHP44" s="45"/>
      <c r="FHQ44" s="45"/>
      <c r="FHR44" s="45"/>
      <c r="FHS44" s="45"/>
      <c r="FHT44" s="45"/>
      <c r="FHU44" s="45"/>
      <c r="FHV44" s="45"/>
      <c r="FHW44" s="45"/>
      <c r="FHX44" s="45"/>
      <c r="FHY44" s="45"/>
      <c r="FHZ44" s="45"/>
      <c r="FIA44" s="45"/>
      <c r="FIB44" s="45"/>
      <c r="FIC44" s="45"/>
      <c r="FID44" s="45"/>
      <c r="FIE44" s="45"/>
      <c r="FIF44" s="45"/>
      <c r="FIG44" s="45"/>
      <c r="FIH44" s="45"/>
      <c r="FII44" s="45"/>
      <c r="FIJ44" s="45"/>
      <c r="FIK44" s="45"/>
      <c r="FIL44" s="45"/>
      <c r="FIM44" s="45"/>
      <c r="FIN44" s="45"/>
      <c r="FIO44" s="45"/>
      <c r="FIP44" s="45"/>
      <c r="FIQ44" s="45"/>
      <c r="FIR44" s="45"/>
      <c r="FIS44" s="45"/>
      <c r="FIT44" s="45"/>
      <c r="FIU44" s="45"/>
      <c r="FIV44" s="45"/>
      <c r="FIW44" s="45"/>
      <c r="FIX44" s="45"/>
      <c r="FIY44" s="45"/>
      <c r="FIZ44" s="45"/>
      <c r="FJA44" s="45"/>
      <c r="FJB44" s="45"/>
      <c r="FJC44" s="45"/>
      <c r="FJD44" s="45"/>
      <c r="FJE44" s="45"/>
      <c r="FJF44" s="45"/>
      <c r="FJG44" s="45"/>
      <c r="FJH44" s="45"/>
      <c r="FJI44" s="45"/>
      <c r="FJJ44" s="45"/>
      <c r="FJK44" s="45"/>
      <c r="FJL44" s="45"/>
      <c r="FJM44" s="45"/>
      <c r="FJN44" s="45"/>
      <c r="FJO44" s="45"/>
      <c r="FJP44" s="45"/>
      <c r="FJQ44" s="45"/>
      <c r="FJR44" s="45"/>
      <c r="FJS44" s="45"/>
      <c r="FJT44" s="45"/>
      <c r="FJU44" s="45"/>
      <c r="FJV44" s="45"/>
      <c r="FJW44" s="45"/>
      <c r="FJX44" s="45"/>
      <c r="FJY44" s="45"/>
      <c r="FJZ44" s="45"/>
      <c r="FKA44" s="45"/>
      <c r="FKB44" s="45"/>
      <c r="FKC44" s="45"/>
      <c r="FKD44" s="45"/>
      <c r="FKE44" s="45"/>
      <c r="FKF44" s="45"/>
      <c r="FKG44" s="45"/>
      <c r="FKH44" s="45"/>
      <c r="FKI44" s="45"/>
      <c r="FKJ44" s="45"/>
      <c r="FKK44" s="45"/>
      <c r="FKL44" s="45"/>
      <c r="FKM44" s="45"/>
      <c r="FKN44" s="45"/>
      <c r="FKO44" s="45"/>
      <c r="FKP44" s="45"/>
      <c r="FKQ44" s="45"/>
      <c r="FKR44" s="45"/>
      <c r="FKS44" s="45"/>
      <c r="FKT44" s="45"/>
      <c r="FKU44" s="45"/>
      <c r="FKV44" s="45"/>
      <c r="FKW44" s="45"/>
      <c r="FKX44" s="45"/>
      <c r="FKY44" s="45"/>
      <c r="FKZ44" s="45"/>
      <c r="FLA44" s="45"/>
      <c r="FLB44" s="45"/>
      <c r="FLC44" s="45"/>
      <c r="FLD44" s="45"/>
      <c r="FLE44" s="45"/>
      <c r="FLF44" s="45"/>
      <c r="FLG44" s="45"/>
      <c r="FLH44" s="45"/>
      <c r="FLI44" s="45"/>
      <c r="FLJ44" s="45"/>
      <c r="FLK44" s="45"/>
      <c r="FLL44" s="45"/>
      <c r="FLM44" s="45"/>
      <c r="FLN44" s="45"/>
      <c r="FLO44" s="45"/>
      <c r="FLP44" s="45"/>
      <c r="FLQ44" s="45"/>
      <c r="FLR44" s="45"/>
      <c r="FLS44" s="45"/>
      <c r="FLT44" s="45"/>
      <c r="FLU44" s="45"/>
      <c r="FLV44" s="45"/>
      <c r="FLW44" s="45"/>
      <c r="FLX44" s="45"/>
      <c r="FLY44" s="45"/>
      <c r="FLZ44" s="45"/>
      <c r="FMA44" s="45"/>
      <c r="FMB44" s="45"/>
      <c r="FMC44" s="45"/>
      <c r="FMD44" s="45"/>
      <c r="FME44" s="45"/>
      <c r="FMF44" s="45"/>
      <c r="FMG44" s="45"/>
      <c r="FMH44" s="45"/>
      <c r="FMI44" s="45"/>
      <c r="FMJ44" s="45"/>
      <c r="FMK44" s="45"/>
      <c r="FML44" s="45"/>
      <c r="FMM44" s="45"/>
      <c r="FMN44" s="45"/>
      <c r="FMO44" s="45"/>
      <c r="FMP44" s="45"/>
      <c r="FMQ44" s="45"/>
      <c r="FMR44" s="45"/>
      <c r="FMS44" s="45"/>
      <c r="FMT44" s="45"/>
      <c r="FMU44" s="45"/>
      <c r="FMV44" s="45"/>
      <c r="FMW44" s="45"/>
      <c r="FMX44" s="45"/>
      <c r="FMY44" s="45"/>
      <c r="FMZ44" s="45"/>
      <c r="FNA44" s="45"/>
      <c r="FNB44" s="45"/>
      <c r="FNC44" s="45"/>
      <c r="FND44" s="45"/>
      <c r="FNE44" s="45"/>
      <c r="FNF44" s="45"/>
      <c r="FNG44" s="45"/>
      <c r="FNH44" s="45"/>
      <c r="FNI44" s="45"/>
      <c r="FNJ44" s="45"/>
      <c r="FNK44" s="45"/>
      <c r="FNL44" s="45"/>
      <c r="FNM44" s="45"/>
      <c r="FNN44" s="45"/>
      <c r="FNO44" s="45"/>
      <c r="FNP44" s="45"/>
      <c r="FNQ44" s="45"/>
      <c r="FNR44" s="45"/>
      <c r="FNS44" s="45"/>
      <c r="FNT44" s="45"/>
      <c r="FNU44" s="45"/>
      <c r="FNV44" s="45"/>
      <c r="FNW44" s="45"/>
      <c r="FNX44" s="45"/>
      <c r="FNY44" s="45"/>
      <c r="FNZ44" s="45"/>
      <c r="FOA44" s="45"/>
      <c r="FOB44" s="45"/>
      <c r="FOC44" s="45"/>
      <c r="FOD44" s="45"/>
      <c r="FOE44" s="45"/>
      <c r="FOF44" s="45"/>
      <c r="FOG44" s="45"/>
      <c r="FOH44" s="45"/>
      <c r="FOI44" s="45"/>
      <c r="FOJ44" s="45"/>
      <c r="FOK44" s="45"/>
      <c r="FOL44" s="45"/>
      <c r="FOM44" s="45"/>
      <c r="FON44" s="45"/>
      <c r="FOO44" s="45"/>
      <c r="FOP44" s="45"/>
      <c r="FOQ44" s="45"/>
      <c r="FOR44" s="45"/>
      <c r="FOS44" s="45"/>
      <c r="FOT44" s="45"/>
      <c r="FOU44" s="45"/>
      <c r="FOV44" s="45"/>
      <c r="FOW44" s="45"/>
      <c r="FOX44" s="45"/>
      <c r="FOY44" s="45"/>
      <c r="FOZ44" s="45"/>
      <c r="FPA44" s="45"/>
      <c r="FPB44" s="45"/>
      <c r="FPC44" s="45"/>
      <c r="FPD44" s="45"/>
      <c r="FPE44" s="45"/>
      <c r="FPF44" s="45"/>
      <c r="FPG44" s="45"/>
      <c r="FPH44" s="45"/>
      <c r="FPI44" s="45"/>
      <c r="FPJ44" s="45"/>
      <c r="FPK44" s="45"/>
      <c r="FPL44" s="45"/>
      <c r="FPM44" s="45"/>
      <c r="FPN44" s="45"/>
      <c r="FPO44" s="45"/>
      <c r="FPP44" s="45"/>
      <c r="FPQ44" s="45"/>
      <c r="FPR44" s="45"/>
      <c r="FPS44" s="45"/>
      <c r="FPT44" s="45"/>
      <c r="FPU44" s="45"/>
      <c r="FPV44" s="45"/>
      <c r="FPW44" s="45"/>
      <c r="FPX44" s="45"/>
      <c r="FPY44" s="45"/>
      <c r="FPZ44" s="45"/>
      <c r="FQA44" s="45"/>
      <c r="FQB44" s="45"/>
      <c r="FQC44" s="45"/>
      <c r="FQD44" s="45"/>
      <c r="FQE44" s="45"/>
      <c r="FQF44" s="45"/>
      <c r="FQG44" s="45"/>
      <c r="FQH44" s="45"/>
      <c r="FQI44" s="45"/>
      <c r="FQJ44" s="45"/>
      <c r="FQK44" s="45"/>
      <c r="FQL44" s="45"/>
      <c r="FQM44" s="45"/>
      <c r="FQN44" s="45"/>
      <c r="FQO44" s="45"/>
      <c r="FQP44" s="45"/>
      <c r="FQQ44" s="45"/>
      <c r="FQR44" s="45"/>
      <c r="FQS44" s="45"/>
      <c r="FQT44" s="45"/>
      <c r="FQU44" s="45"/>
      <c r="FQV44" s="45"/>
      <c r="FQW44" s="45"/>
      <c r="FQX44" s="45"/>
      <c r="FQY44" s="45"/>
      <c r="FQZ44" s="45"/>
      <c r="FRA44" s="45"/>
      <c r="FRB44" s="45"/>
      <c r="FRC44" s="45"/>
      <c r="FRD44" s="45"/>
      <c r="FRE44" s="45"/>
      <c r="FRF44" s="45"/>
      <c r="FRG44" s="45"/>
      <c r="FRH44" s="45"/>
      <c r="FRI44" s="45"/>
      <c r="FRJ44" s="45"/>
      <c r="FRK44" s="45"/>
      <c r="FRL44" s="45"/>
      <c r="FRM44" s="45"/>
      <c r="FRN44" s="45"/>
      <c r="FRO44" s="45"/>
      <c r="FRP44" s="45"/>
      <c r="FRQ44" s="45"/>
      <c r="FRR44" s="45"/>
      <c r="FRS44" s="45"/>
      <c r="FRT44" s="45"/>
      <c r="FRU44" s="45"/>
      <c r="FRV44" s="45"/>
      <c r="FRW44" s="45"/>
      <c r="FRX44" s="45"/>
      <c r="FRY44" s="45"/>
      <c r="FRZ44" s="45"/>
      <c r="FSA44" s="45"/>
      <c r="FSB44" s="45"/>
      <c r="FSC44" s="45"/>
      <c r="FSD44" s="45"/>
      <c r="FSE44" s="45"/>
      <c r="FSF44" s="45"/>
      <c r="FSG44" s="45"/>
      <c r="FSH44" s="45"/>
      <c r="FSI44" s="45"/>
      <c r="FSJ44" s="45"/>
      <c r="FSK44" s="45"/>
      <c r="FSL44" s="45"/>
      <c r="FSM44" s="45"/>
      <c r="FSN44" s="45"/>
      <c r="FSO44" s="45"/>
      <c r="FSP44" s="45"/>
      <c r="FSQ44" s="45"/>
      <c r="FSR44" s="45"/>
      <c r="FSS44" s="45"/>
      <c r="FST44" s="45"/>
      <c r="FSU44" s="45"/>
      <c r="FSV44" s="45"/>
      <c r="FSW44" s="45"/>
      <c r="FSX44" s="45"/>
      <c r="FSY44" s="45"/>
      <c r="FSZ44" s="45"/>
      <c r="FTA44" s="45"/>
      <c r="FTB44" s="45"/>
      <c r="FTC44" s="45"/>
      <c r="FTD44" s="45"/>
      <c r="FTE44" s="45"/>
      <c r="FTF44" s="45"/>
      <c r="FTG44" s="45"/>
      <c r="FTH44" s="45"/>
      <c r="FTI44" s="45"/>
      <c r="FTJ44" s="45"/>
      <c r="FTK44" s="45"/>
      <c r="FTL44" s="45"/>
      <c r="FTM44" s="45"/>
      <c r="FTN44" s="45"/>
      <c r="FTO44" s="45"/>
      <c r="FTP44" s="45"/>
      <c r="FTQ44" s="45"/>
      <c r="FTR44" s="45"/>
      <c r="FTS44" s="45"/>
      <c r="FTT44" s="45"/>
      <c r="FTU44" s="45"/>
      <c r="FTV44" s="45"/>
      <c r="FTW44" s="45"/>
      <c r="FTX44" s="45"/>
      <c r="FTY44" s="45"/>
      <c r="FTZ44" s="45"/>
      <c r="FUA44" s="45"/>
      <c r="FUB44" s="45"/>
      <c r="FUC44" s="45"/>
      <c r="FUD44" s="45"/>
      <c r="FUE44" s="45"/>
      <c r="FUF44" s="45"/>
      <c r="FUG44" s="45"/>
      <c r="FUH44" s="45"/>
      <c r="FUI44" s="45"/>
      <c r="FUJ44" s="45"/>
      <c r="FUK44" s="45"/>
      <c r="FUL44" s="45"/>
      <c r="FUM44" s="45"/>
      <c r="FUN44" s="45"/>
      <c r="FUO44" s="45"/>
      <c r="FUP44" s="45"/>
      <c r="FUQ44" s="45"/>
      <c r="FUR44" s="45"/>
      <c r="FUS44" s="45"/>
      <c r="FUT44" s="45"/>
      <c r="FUU44" s="45"/>
      <c r="FUV44" s="45"/>
      <c r="FUW44" s="45"/>
      <c r="FUX44" s="45"/>
      <c r="FUY44" s="45"/>
      <c r="FUZ44" s="45"/>
      <c r="FVA44" s="45"/>
      <c r="FVB44" s="45"/>
      <c r="FVC44" s="45"/>
      <c r="FVD44" s="45"/>
      <c r="FVE44" s="45"/>
      <c r="FVF44" s="45"/>
      <c r="FVG44" s="45"/>
      <c r="FVH44" s="45"/>
      <c r="FVI44" s="45"/>
      <c r="FVJ44" s="45"/>
      <c r="FVK44" s="45"/>
      <c r="FVL44" s="45"/>
      <c r="FVM44" s="45"/>
      <c r="FVN44" s="45"/>
      <c r="FVO44" s="45"/>
      <c r="FVP44" s="45"/>
      <c r="FVQ44" s="45"/>
      <c r="FVR44" s="45"/>
      <c r="FVS44" s="45"/>
      <c r="FVT44" s="45"/>
      <c r="FVU44" s="45"/>
      <c r="FVV44" s="45"/>
      <c r="FVW44" s="45"/>
      <c r="FVX44" s="45"/>
      <c r="FVY44" s="45"/>
      <c r="FVZ44" s="45"/>
      <c r="FWA44" s="45"/>
      <c r="FWB44" s="45"/>
      <c r="FWC44" s="45"/>
      <c r="FWD44" s="45"/>
      <c r="FWE44" s="45"/>
      <c r="FWF44" s="45"/>
      <c r="FWG44" s="45"/>
      <c r="FWH44" s="45"/>
      <c r="FWI44" s="45"/>
      <c r="FWJ44" s="45"/>
      <c r="FWK44" s="45"/>
      <c r="FWL44" s="45"/>
      <c r="FWM44" s="45"/>
      <c r="FWN44" s="45"/>
      <c r="FWO44" s="45"/>
      <c r="FWP44" s="45"/>
      <c r="FWQ44" s="45"/>
      <c r="FWR44" s="45"/>
      <c r="FWS44" s="45"/>
      <c r="FWT44" s="45"/>
      <c r="FWU44" s="45"/>
      <c r="FWV44" s="45"/>
      <c r="FWW44" s="45"/>
      <c r="FWX44" s="45"/>
      <c r="FWY44" s="45"/>
      <c r="FWZ44" s="45"/>
      <c r="FXA44" s="45"/>
      <c r="FXB44" s="45"/>
      <c r="FXC44" s="45"/>
      <c r="FXD44" s="45"/>
      <c r="FXE44" s="45"/>
      <c r="FXF44" s="45"/>
      <c r="FXG44" s="45"/>
      <c r="FXH44" s="45"/>
      <c r="FXI44" s="45"/>
      <c r="FXJ44" s="45"/>
      <c r="FXK44" s="45"/>
      <c r="FXL44" s="45"/>
      <c r="FXM44" s="45"/>
      <c r="FXN44" s="45"/>
      <c r="FXO44" s="45"/>
      <c r="FXP44" s="45"/>
      <c r="FXQ44" s="45"/>
      <c r="FXR44" s="45"/>
      <c r="FXS44" s="45"/>
      <c r="FXT44" s="45"/>
      <c r="FXU44" s="45"/>
      <c r="FXV44" s="45"/>
      <c r="FXW44" s="45"/>
      <c r="FXX44" s="45"/>
      <c r="FXY44" s="45"/>
      <c r="FXZ44" s="45"/>
      <c r="FYA44" s="45"/>
      <c r="FYB44" s="45"/>
      <c r="FYC44" s="45"/>
      <c r="FYD44" s="45"/>
      <c r="FYE44" s="45"/>
      <c r="FYF44" s="45"/>
      <c r="FYG44" s="45"/>
      <c r="FYH44" s="45"/>
      <c r="FYI44" s="45"/>
      <c r="FYJ44" s="45"/>
      <c r="FYK44" s="45"/>
      <c r="FYL44" s="45"/>
      <c r="FYM44" s="45"/>
      <c r="FYN44" s="45"/>
      <c r="FYO44" s="45"/>
      <c r="FYP44" s="45"/>
      <c r="FYQ44" s="45"/>
      <c r="FYR44" s="45"/>
      <c r="FYS44" s="45"/>
      <c r="FYT44" s="45"/>
      <c r="FYU44" s="45"/>
      <c r="FYV44" s="45"/>
      <c r="FYW44" s="45"/>
      <c r="FYX44" s="45"/>
      <c r="FYY44" s="45"/>
      <c r="FYZ44" s="45"/>
      <c r="FZA44" s="45"/>
      <c r="FZB44" s="45"/>
      <c r="FZC44" s="45"/>
      <c r="FZD44" s="45"/>
      <c r="FZE44" s="45"/>
      <c r="FZF44" s="45"/>
      <c r="FZG44" s="45"/>
      <c r="FZH44" s="45"/>
      <c r="FZI44" s="45"/>
      <c r="FZJ44" s="45"/>
      <c r="FZK44" s="45"/>
      <c r="FZL44" s="45"/>
      <c r="FZM44" s="45"/>
      <c r="FZN44" s="45"/>
      <c r="FZO44" s="45"/>
      <c r="FZP44" s="45"/>
      <c r="FZQ44" s="45"/>
      <c r="FZR44" s="45"/>
      <c r="FZS44" s="45"/>
      <c r="FZT44" s="45"/>
      <c r="FZU44" s="45"/>
      <c r="FZV44" s="45"/>
      <c r="FZW44" s="45"/>
      <c r="FZX44" s="45"/>
      <c r="FZY44" s="45"/>
      <c r="FZZ44" s="45"/>
      <c r="GAA44" s="45"/>
      <c r="GAB44" s="45"/>
      <c r="GAC44" s="45"/>
      <c r="GAD44" s="45"/>
      <c r="GAE44" s="45"/>
      <c r="GAF44" s="45"/>
      <c r="GAG44" s="45"/>
      <c r="GAH44" s="45"/>
      <c r="GAI44" s="45"/>
      <c r="GAJ44" s="45"/>
      <c r="GAK44" s="45"/>
      <c r="GAL44" s="45"/>
      <c r="GAM44" s="45"/>
      <c r="GAN44" s="45"/>
      <c r="GAO44" s="45"/>
      <c r="GAP44" s="45"/>
      <c r="GAQ44" s="45"/>
      <c r="GAR44" s="45"/>
      <c r="GAS44" s="45"/>
      <c r="GAT44" s="45"/>
      <c r="GAU44" s="45"/>
      <c r="GAV44" s="45"/>
      <c r="GAW44" s="45"/>
      <c r="GAX44" s="45"/>
      <c r="GAY44" s="45"/>
      <c r="GAZ44" s="45"/>
      <c r="GBA44" s="45"/>
      <c r="GBB44" s="45"/>
      <c r="GBC44" s="45"/>
      <c r="GBD44" s="45"/>
      <c r="GBE44" s="45"/>
      <c r="GBF44" s="45"/>
      <c r="GBG44" s="45"/>
      <c r="GBH44" s="45"/>
      <c r="GBI44" s="45"/>
      <c r="GBJ44" s="45"/>
      <c r="GBK44" s="45"/>
      <c r="GBL44" s="45"/>
      <c r="GBM44" s="45"/>
      <c r="GBN44" s="45"/>
      <c r="GBO44" s="45"/>
      <c r="GBP44" s="45"/>
      <c r="GBQ44" s="45"/>
      <c r="GBR44" s="45"/>
      <c r="GBS44" s="45"/>
      <c r="GBT44" s="45"/>
      <c r="GBU44" s="45"/>
      <c r="GBV44" s="45"/>
      <c r="GBW44" s="45"/>
      <c r="GBX44" s="45"/>
      <c r="GBY44" s="45"/>
      <c r="GBZ44" s="45"/>
      <c r="GCA44" s="45"/>
      <c r="GCB44" s="45"/>
      <c r="GCC44" s="45"/>
      <c r="GCD44" s="45"/>
      <c r="GCE44" s="45"/>
      <c r="GCF44" s="45"/>
      <c r="GCG44" s="45"/>
      <c r="GCH44" s="45"/>
      <c r="GCI44" s="45"/>
      <c r="GCJ44" s="45"/>
      <c r="GCK44" s="45"/>
      <c r="GCL44" s="45"/>
      <c r="GCM44" s="45"/>
      <c r="GCN44" s="45"/>
      <c r="GCO44" s="45"/>
      <c r="GCP44" s="45"/>
      <c r="GCQ44" s="45"/>
      <c r="GCR44" s="45"/>
      <c r="GCS44" s="45"/>
      <c r="GCT44" s="45"/>
      <c r="GCU44" s="45"/>
      <c r="GCV44" s="45"/>
      <c r="GCW44" s="45"/>
      <c r="GCX44" s="45"/>
      <c r="GCY44" s="45"/>
      <c r="GCZ44" s="45"/>
      <c r="GDA44" s="45"/>
      <c r="GDB44" s="45"/>
      <c r="GDC44" s="45"/>
      <c r="GDD44" s="45"/>
      <c r="GDE44" s="45"/>
      <c r="GDF44" s="45"/>
      <c r="GDG44" s="45"/>
      <c r="GDH44" s="45"/>
      <c r="GDI44" s="45"/>
      <c r="GDJ44" s="45"/>
      <c r="GDK44" s="45"/>
      <c r="GDL44" s="45"/>
      <c r="GDM44" s="45"/>
      <c r="GDN44" s="45"/>
      <c r="GDO44" s="45"/>
      <c r="GDP44" s="45"/>
      <c r="GDQ44" s="45"/>
      <c r="GDR44" s="45"/>
      <c r="GDS44" s="45"/>
      <c r="GDT44" s="45"/>
      <c r="GDU44" s="45"/>
      <c r="GDV44" s="45"/>
      <c r="GDW44" s="45"/>
      <c r="GDX44" s="45"/>
      <c r="GDY44" s="45"/>
      <c r="GDZ44" s="45"/>
      <c r="GEA44" s="45"/>
      <c r="GEB44" s="45"/>
      <c r="GEC44" s="45"/>
      <c r="GED44" s="45"/>
      <c r="GEE44" s="45"/>
      <c r="GEF44" s="45"/>
      <c r="GEG44" s="45"/>
      <c r="GEH44" s="45"/>
      <c r="GEI44" s="45"/>
      <c r="GEJ44" s="45"/>
      <c r="GEK44" s="45"/>
      <c r="GEL44" s="45"/>
      <c r="GEM44" s="45"/>
      <c r="GEN44" s="45"/>
      <c r="GEO44" s="45"/>
      <c r="GEP44" s="45"/>
      <c r="GEQ44" s="45"/>
      <c r="GER44" s="45"/>
      <c r="GES44" s="45"/>
      <c r="GET44" s="45"/>
      <c r="GEU44" s="45"/>
      <c r="GEV44" s="45"/>
      <c r="GEW44" s="45"/>
      <c r="GEX44" s="45"/>
      <c r="GEY44" s="45"/>
      <c r="GEZ44" s="45"/>
      <c r="GFA44" s="45"/>
      <c r="GFB44" s="45"/>
      <c r="GFC44" s="45"/>
      <c r="GFD44" s="45"/>
      <c r="GFE44" s="45"/>
      <c r="GFF44" s="45"/>
      <c r="GFG44" s="45"/>
      <c r="GFH44" s="45"/>
      <c r="GFI44" s="45"/>
      <c r="GFJ44" s="45"/>
      <c r="GFK44" s="45"/>
      <c r="GFL44" s="45"/>
      <c r="GFM44" s="45"/>
      <c r="GFN44" s="45"/>
      <c r="GFO44" s="45"/>
      <c r="GFP44" s="45"/>
      <c r="GFQ44" s="45"/>
      <c r="GFR44" s="45"/>
      <c r="GFS44" s="45"/>
      <c r="GFT44" s="45"/>
      <c r="GFU44" s="45"/>
      <c r="GFV44" s="45"/>
      <c r="GFW44" s="45"/>
      <c r="GFX44" s="45"/>
      <c r="GFY44" s="45"/>
      <c r="GFZ44" s="45"/>
      <c r="GGA44" s="45"/>
      <c r="GGB44" s="45"/>
      <c r="GGC44" s="45"/>
      <c r="GGD44" s="45"/>
      <c r="GGE44" s="45"/>
      <c r="GGF44" s="45"/>
      <c r="GGG44" s="45"/>
      <c r="GGH44" s="45"/>
      <c r="GGI44" s="45"/>
      <c r="GGJ44" s="45"/>
      <c r="GGK44" s="45"/>
      <c r="GGL44" s="45"/>
      <c r="GGM44" s="45"/>
      <c r="GGN44" s="45"/>
      <c r="GGO44" s="45"/>
      <c r="GGP44" s="45"/>
      <c r="GGQ44" s="45"/>
      <c r="GGR44" s="45"/>
      <c r="GGS44" s="45"/>
      <c r="GGT44" s="45"/>
      <c r="GGU44" s="45"/>
      <c r="GGV44" s="45"/>
      <c r="GGW44" s="45"/>
      <c r="GGX44" s="45"/>
      <c r="GGY44" s="45"/>
      <c r="GGZ44" s="45"/>
      <c r="GHA44" s="45"/>
      <c r="GHB44" s="45"/>
      <c r="GHC44" s="45"/>
      <c r="GHD44" s="45"/>
      <c r="GHE44" s="45"/>
      <c r="GHF44" s="45"/>
      <c r="GHG44" s="45"/>
      <c r="GHH44" s="45"/>
      <c r="GHI44" s="45"/>
      <c r="GHJ44" s="45"/>
      <c r="GHK44" s="45"/>
      <c r="GHL44" s="45"/>
      <c r="GHM44" s="45"/>
      <c r="GHN44" s="45"/>
      <c r="GHO44" s="45"/>
      <c r="GHP44" s="45"/>
      <c r="GHQ44" s="45"/>
      <c r="GHR44" s="45"/>
      <c r="GHS44" s="45"/>
      <c r="GHT44" s="45"/>
      <c r="GHU44" s="45"/>
      <c r="GHV44" s="45"/>
      <c r="GHW44" s="45"/>
      <c r="GHX44" s="45"/>
      <c r="GHY44" s="45"/>
      <c r="GHZ44" s="45"/>
      <c r="GIA44" s="45"/>
      <c r="GIB44" s="45"/>
      <c r="GIC44" s="45"/>
      <c r="GID44" s="45"/>
      <c r="GIE44" s="45"/>
      <c r="GIF44" s="45"/>
      <c r="GIG44" s="45"/>
      <c r="GIH44" s="45"/>
      <c r="GII44" s="45"/>
      <c r="GIJ44" s="45"/>
      <c r="GIK44" s="45"/>
      <c r="GIL44" s="45"/>
      <c r="GIM44" s="45"/>
      <c r="GIN44" s="45"/>
      <c r="GIO44" s="45"/>
      <c r="GIP44" s="45"/>
      <c r="GIQ44" s="45"/>
      <c r="GIR44" s="45"/>
      <c r="GIS44" s="45"/>
      <c r="GIT44" s="45"/>
      <c r="GIU44" s="45"/>
      <c r="GIV44" s="45"/>
      <c r="GIW44" s="45"/>
      <c r="GIX44" s="45"/>
      <c r="GIY44" s="45"/>
      <c r="GIZ44" s="45"/>
      <c r="GJA44" s="45"/>
      <c r="GJB44" s="45"/>
      <c r="GJC44" s="45"/>
      <c r="GJD44" s="45"/>
      <c r="GJE44" s="45"/>
      <c r="GJF44" s="45"/>
      <c r="GJG44" s="45"/>
      <c r="GJH44" s="45"/>
      <c r="GJI44" s="45"/>
      <c r="GJJ44" s="45"/>
      <c r="GJK44" s="45"/>
      <c r="GJL44" s="45"/>
      <c r="GJM44" s="45"/>
      <c r="GJN44" s="45"/>
      <c r="GJO44" s="45"/>
      <c r="GJP44" s="45"/>
      <c r="GJQ44" s="45"/>
      <c r="GJR44" s="45"/>
      <c r="GJS44" s="45"/>
      <c r="GJT44" s="45"/>
      <c r="GJU44" s="45"/>
      <c r="GJV44" s="45"/>
      <c r="GJW44" s="45"/>
      <c r="GJX44" s="45"/>
      <c r="GJY44" s="45"/>
      <c r="GJZ44" s="45"/>
      <c r="GKA44" s="45"/>
      <c r="GKB44" s="45"/>
      <c r="GKC44" s="45"/>
      <c r="GKD44" s="45"/>
      <c r="GKE44" s="45"/>
      <c r="GKF44" s="45"/>
      <c r="GKG44" s="45"/>
      <c r="GKH44" s="45"/>
      <c r="GKI44" s="45"/>
      <c r="GKJ44" s="45"/>
      <c r="GKK44" s="45"/>
      <c r="GKL44" s="45"/>
      <c r="GKM44" s="45"/>
      <c r="GKN44" s="45"/>
      <c r="GKO44" s="45"/>
      <c r="GKP44" s="45"/>
      <c r="GKQ44" s="45"/>
      <c r="GKR44" s="45"/>
      <c r="GKS44" s="45"/>
      <c r="GKT44" s="45"/>
      <c r="GKU44" s="45"/>
      <c r="GKV44" s="45"/>
      <c r="GKW44" s="45"/>
      <c r="GKX44" s="45"/>
      <c r="GKY44" s="45"/>
      <c r="GKZ44" s="45"/>
      <c r="GLA44" s="45"/>
      <c r="GLB44" s="45"/>
      <c r="GLC44" s="45"/>
      <c r="GLD44" s="45"/>
      <c r="GLE44" s="45"/>
      <c r="GLF44" s="45"/>
      <c r="GLG44" s="45"/>
      <c r="GLH44" s="45"/>
      <c r="GLI44" s="45"/>
      <c r="GLJ44" s="45"/>
      <c r="GLK44" s="45"/>
      <c r="GLL44" s="45"/>
      <c r="GLM44" s="45"/>
      <c r="GLN44" s="45"/>
      <c r="GLO44" s="45"/>
      <c r="GLP44" s="45"/>
      <c r="GLQ44" s="45"/>
      <c r="GLR44" s="45"/>
      <c r="GLS44" s="45"/>
      <c r="GLT44" s="45"/>
      <c r="GLU44" s="45"/>
      <c r="GLV44" s="45"/>
      <c r="GLW44" s="45"/>
      <c r="GLX44" s="45"/>
      <c r="GLY44" s="45"/>
      <c r="GLZ44" s="45"/>
      <c r="GMA44" s="45"/>
      <c r="GMB44" s="45"/>
      <c r="GMC44" s="45"/>
      <c r="GMD44" s="45"/>
      <c r="GME44" s="45"/>
      <c r="GMF44" s="45"/>
      <c r="GMG44" s="45"/>
      <c r="GMH44" s="45"/>
      <c r="GMI44" s="45"/>
      <c r="GMJ44" s="45"/>
      <c r="GMK44" s="45"/>
      <c r="GML44" s="45"/>
      <c r="GMM44" s="45"/>
      <c r="GMN44" s="45"/>
      <c r="GMO44" s="45"/>
      <c r="GMP44" s="45"/>
      <c r="GMQ44" s="45"/>
      <c r="GMR44" s="45"/>
      <c r="GMS44" s="45"/>
      <c r="GMT44" s="45"/>
      <c r="GMU44" s="45"/>
      <c r="GMV44" s="45"/>
      <c r="GMW44" s="45"/>
      <c r="GMX44" s="45"/>
      <c r="GMY44" s="45"/>
      <c r="GMZ44" s="45"/>
      <c r="GNA44" s="45"/>
      <c r="GNB44" s="45"/>
      <c r="GNC44" s="45"/>
      <c r="GND44" s="45"/>
      <c r="GNE44" s="45"/>
      <c r="GNF44" s="45"/>
      <c r="GNG44" s="45"/>
      <c r="GNH44" s="45"/>
      <c r="GNI44" s="45"/>
      <c r="GNJ44" s="45"/>
      <c r="GNK44" s="45"/>
      <c r="GNL44" s="45"/>
      <c r="GNM44" s="45"/>
      <c r="GNN44" s="45"/>
      <c r="GNO44" s="45"/>
      <c r="GNP44" s="45"/>
      <c r="GNQ44" s="45"/>
      <c r="GNR44" s="45"/>
      <c r="GNS44" s="45"/>
      <c r="GNT44" s="45"/>
      <c r="GNU44" s="45"/>
      <c r="GNV44" s="45"/>
      <c r="GNW44" s="45"/>
      <c r="GNX44" s="45"/>
      <c r="GNY44" s="45"/>
      <c r="GNZ44" s="45"/>
      <c r="GOA44" s="45"/>
      <c r="GOB44" s="45"/>
      <c r="GOC44" s="45"/>
      <c r="GOD44" s="45"/>
      <c r="GOE44" s="45"/>
      <c r="GOF44" s="45"/>
      <c r="GOG44" s="45"/>
      <c r="GOH44" s="45"/>
      <c r="GOI44" s="45"/>
      <c r="GOJ44" s="45"/>
      <c r="GOK44" s="45"/>
      <c r="GOL44" s="45"/>
      <c r="GOM44" s="45"/>
      <c r="GON44" s="45"/>
      <c r="GOO44" s="45"/>
      <c r="GOP44" s="45"/>
      <c r="GOQ44" s="45"/>
      <c r="GOR44" s="45"/>
      <c r="GOS44" s="45"/>
      <c r="GOT44" s="45"/>
      <c r="GOU44" s="45"/>
      <c r="GOV44" s="45"/>
      <c r="GOW44" s="45"/>
      <c r="GOX44" s="45"/>
      <c r="GOY44" s="45"/>
      <c r="GOZ44" s="45"/>
      <c r="GPA44" s="45"/>
      <c r="GPB44" s="45"/>
      <c r="GPC44" s="45"/>
      <c r="GPD44" s="45"/>
      <c r="GPE44" s="45"/>
      <c r="GPF44" s="45"/>
      <c r="GPG44" s="45"/>
      <c r="GPH44" s="45"/>
      <c r="GPI44" s="45"/>
      <c r="GPJ44" s="45"/>
      <c r="GPK44" s="45"/>
      <c r="GPL44" s="45"/>
      <c r="GPM44" s="45"/>
      <c r="GPN44" s="45"/>
      <c r="GPO44" s="45"/>
      <c r="GPP44" s="45"/>
      <c r="GPQ44" s="45"/>
      <c r="GPR44" s="45"/>
      <c r="GPS44" s="45"/>
      <c r="GPT44" s="45"/>
      <c r="GPU44" s="45"/>
      <c r="GPV44" s="45"/>
      <c r="GPW44" s="45"/>
      <c r="GPX44" s="45"/>
      <c r="GPY44" s="45"/>
      <c r="GPZ44" s="45"/>
      <c r="GQA44" s="45"/>
      <c r="GQB44" s="45"/>
      <c r="GQC44" s="45"/>
      <c r="GQD44" s="45"/>
      <c r="GQE44" s="45"/>
      <c r="GQF44" s="45"/>
      <c r="GQG44" s="45"/>
      <c r="GQH44" s="45"/>
      <c r="GQI44" s="45"/>
      <c r="GQJ44" s="45"/>
      <c r="GQK44" s="45"/>
      <c r="GQL44" s="45"/>
      <c r="GQM44" s="45"/>
      <c r="GQN44" s="45"/>
      <c r="GQO44" s="45"/>
      <c r="GQP44" s="45"/>
      <c r="GQQ44" s="45"/>
      <c r="GQR44" s="45"/>
      <c r="GQS44" s="45"/>
      <c r="GQT44" s="45"/>
      <c r="GQU44" s="45"/>
      <c r="GQV44" s="45"/>
      <c r="GQW44" s="45"/>
      <c r="GQX44" s="45"/>
      <c r="GQY44" s="45"/>
      <c r="GQZ44" s="45"/>
      <c r="GRA44" s="45"/>
      <c r="GRB44" s="45"/>
      <c r="GRC44" s="45"/>
      <c r="GRD44" s="45"/>
      <c r="GRE44" s="45"/>
      <c r="GRF44" s="45"/>
      <c r="GRG44" s="45"/>
      <c r="GRH44" s="45"/>
      <c r="GRI44" s="45"/>
      <c r="GRJ44" s="45"/>
      <c r="GRK44" s="45"/>
      <c r="GRL44" s="45"/>
      <c r="GRM44" s="45"/>
      <c r="GRN44" s="45"/>
      <c r="GRO44" s="45"/>
      <c r="GRP44" s="45"/>
      <c r="GRQ44" s="45"/>
      <c r="GRR44" s="45"/>
      <c r="GRS44" s="45"/>
      <c r="GRT44" s="45"/>
      <c r="GRU44" s="45"/>
      <c r="GRV44" s="45"/>
      <c r="GRW44" s="45"/>
      <c r="GRX44" s="45"/>
      <c r="GRY44" s="45"/>
      <c r="GRZ44" s="45"/>
      <c r="GSA44" s="45"/>
      <c r="GSB44" s="45"/>
      <c r="GSC44" s="45"/>
      <c r="GSD44" s="45"/>
      <c r="GSE44" s="45"/>
      <c r="GSF44" s="45"/>
      <c r="GSG44" s="45"/>
      <c r="GSH44" s="45"/>
      <c r="GSI44" s="45"/>
      <c r="GSJ44" s="45"/>
      <c r="GSK44" s="45"/>
      <c r="GSL44" s="45"/>
      <c r="GSM44" s="45"/>
      <c r="GSN44" s="45"/>
      <c r="GSO44" s="45"/>
      <c r="GSP44" s="45"/>
      <c r="GSQ44" s="45"/>
      <c r="GSR44" s="45"/>
      <c r="GSS44" s="45"/>
      <c r="GST44" s="45"/>
      <c r="GSU44" s="45"/>
      <c r="GSV44" s="45"/>
      <c r="GSW44" s="45"/>
      <c r="GSX44" s="45"/>
      <c r="GSY44" s="45"/>
      <c r="GSZ44" s="45"/>
      <c r="GTA44" s="45"/>
      <c r="GTB44" s="45"/>
      <c r="GTC44" s="45"/>
      <c r="GTD44" s="45"/>
      <c r="GTE44" s="45"/>
      <c r="GTF44" s="45"/>
      <c r="GTG44" s="45"/>
      <c r="GTH44" s="45"/>
      <c r="GTI44" s="45"/>
      <c r="GTJ44" s="45"/>
      <c r="GTK44" s="45"/>
      <c r="GTL44" s="45"/>
      <c r="GTM44" s="45"/>
      <c r="GTN44" s="45"/>
      <c r="GTO44" s="45"/>
      <c r="GTP44" s="45"/>
      <c r="GTQ44" s="45"/>
      <c r="GTR44" s="45"/>
      <c r="GTS44" s="45"/>
      <c r="GTT44" s="45"/>
      <c r="GTU44" s="45"/>
      <c r="GTV44" s="45"/>
      <c r="GTW44" s="45"/>
      <c r="GTX44" s="45"/>
      <c r="GTY44" s="45"/>
      <c r="GTZ44" s="45"/>
      <c r="GUA44" s="45"/>
      <c r="GUB44" s="45"/>
      <c r="GUC44" s="45"/>
      <c r="GUD44" s="45"/>
      <c r="GUE44" s="45"/>
      <c r="GUF44" s="45"/>
      <c r="GUG44" s="45"/>
      <c r="GUH44" s="45"/>
      <c r="GUI44" s="45"/>
      <c r="GUJ44" s="45"/>
      <c r="GUK44" s="45"/>
      <c r="GUL44" s="45"/>
      <c r="GUM44" s="45"/>
      <c r="GUN44" s="45"/>
      <c r="GUO44" s="45"/>
      <c r="GUP44" s="45"/>
      <c r="GUQ44" s="45"/>
      <c r="GUR44" s="45"/>
      <c r="GUS44" s="45"/>
      <c r="GUT44" s="45"/>
      <c r="GUU44" s="45"/>
      <c r="GUV44" s="45"/>
      <c r="GUW44" s="45"/>
      <c r="GUX44" s="45"/>
      <c r="GUY44" s="45"/>
      <c r="GUZ44" s="45"/>
      <c r="GVA44" s="45"/>
      <c r="GVB44" s="45"/>
      <c r="GVC44" s="45"/>
      <c r="GVD44" s="45"/>
      <c r="GVE44" s="45"/>
      <c r="GVF44" s="45"/>
      <c r="GVG44" s="45"/>
      <c r="GVH44" s="45"/>
      <c r="GVI44" s="45"/>
      <c r="GVJ44" s="45"/>
      <c r="GVK44" s="45"/>
      <c r="GVL44" s="45"/>
      <c r="GVM44" s="45"/>
      <c r="GVN44" s="45"/>
      <c r="GVO44" s="45"/>
      <c r="GVP44" s="45"/>
      <c r="GVQ44" s="45"/>
      <c r="GVR44" s="45"/>
      <c r="GVS44" s="45"/>
      <c r="GVT44" s="45"/>
      <c r="GVU44" s="45"/>
      <c r="GVV44" s="45"/>
      <c r="GVW44" s="45"/>
      <c r="GVX44" s="45"/>
      <c r="GVY44" s="45"/>
      <c r="GVZ44" s="45"/>
      <c r="GWA44" s="45"/>
      <c r="GWB44" s="45"/>
      <c r="GWC44" s="45"/>
      <c r="GWD44" s="45"/>
      <c r="GWE44" s="45"/>
      <c r="GWF44" s="45"/>
      <c r="GWG44" s="45"/>
      <c r="GWH44" s="45"/>
      <c r="GWI44" s="45"/>
      <c r="GWJ44" s="45"/>
      <c r="GWK44" s="45"/>
      <c r="GWL44" s="45"/>
      <c r="GWM44" s="45"/>
      <c r="GWN44" s="45"/>
      <c r="GWO44" s="45"/>
      <c r="GWP44" s="45"/>
      <c r="GWQ44" s="45"/>
      <c r="GWR44" s="45"/>
      <c r="GWS44" s="45"/>
      <c r="GWT44" s="45"/>
      <c r="GWU44" s="45"/>
      <c r="GWV44" s="45"/>
      <c r="GWW44" s="45"/>
      <c r="GWX44" s="45"/>
      <c r="GWY44" s="45"/>
      <c r="GWZ44" s="45"/>
      <c r="GXA44" s="45"/>
      <c r="GXB44" s="45"/>
      <c r="GXC44" s="45"/>
      <c r="GXD44" s="45"/>
      <c r="GXE44" s="45"/>
      <c r="GXF44" s="45"/>
      <c r="GXG44" s="45"/>
      <c r="GXH44" s="45"/>
      <c r="GXI44" s="45"/>
      <c r="GXJ44" s="45"/>
      <c r="GXK44" s="45"/>
      <c r="GXL44" s="45"/>
      <c r="GXM44" s="45"/>
      <c r="GXN44" s="45"/>
      <c r="GXO44" s="45"/>
      <c r="GXP44" s="45"/>
      <c r="GXQ44" s="45"/>
      <c r="GXR44" s="45"/>
      <c r="GXS44" s="45"/>
      <c r="GXT44" s="45"/>
      <c r="GXU44" s="45"/>
      <c r="GXV44" s="45"/>
      <c r="GXW44" s="45"/>
      <c r="GXX44" s="45"/>
      <c r="GXY44" s="45"/>
      <c r="GXZ44" s="45"/>
      <c r="GYA44" s="45"/>
      <c r="GYB44" s="45"/>
      <c r="GYC44" s="45"/>
      <c r="GYD44" s="45"/>
      <c r="GYE44" s="45"/>
      <c r="GYF44" s="45"/>
      <c r="GYG44" s="45"/>
      <c r="GYH44" s="45"/>
      <c r="GYI44" s="45"/>
      <c r="GYJ44" s="45"/>
      <c r="GYK44" s="45"/>
      <c r="GYL44" s="45"/>
      <c r="GYM44" s="45"/>
      <c r="GYN44" s="45"/>
      <c r="GYO44" s="45"/>
      <c r="GYP44" s="45"/>
      <c r="GYQ44" s="45"/>
      <c r="GYR44" s="45"/>
      <c r="GYS44" s="45"/>
      <c r="GYT44" s="45"/>
      <c r="GYU44" s="45"/>
      <c r="GYV44" s="45"/>
      <c r="GYW44" s="45"/>
      <c r="GYX44" s="45"/>
      <c r="GYY44" s="45"/>
      <c r="GYZ44" s="45"/>
      <c r="GZA44" s="45"/>
      <c r="GZB44" s="45"/>
      <c r="GZC44" s="45"/>
      <c r="GZD44" s="45"/>
      <c r="GZE44" s="45"/>
      <c r="GZF44" s="45"/>
      <c r="GZG44" s="45"/>
      <c r="GZH44" s="45"/>
      <c r="GZI44" s="45"/>
      <c r="GZJ44" s="45"/>
      <c r="GZK44" s="45"/>
      <c r="GZL44" s="45"/>
      <c r="GZM44" s="45"/>
      <c r="GZN44" s="45"/>
      <c r="GZO44" s="45"/>
      <c r="GZP44" s="45"/>
      <c r="GZQ44" s="45"/>
      <c r="GZR44" s="45"/>
      <c r="GZS44" s="45"/>
      <c r="GZT44" s="45"/>
      <c r="GZU44" s="45"/>
      <c r="GZV44" s="45"/>
      <c r="GZW44" s="45"/>
      <c r="GZX44" s="45"/>
      <c r="GZY44" s="45"/>
      <c r="GZZ44" s="45"/>
      <c r="HAA44" s="45"/>
      <c r="HAB44" s="45"/>
      <c r="HAC44" s="45"/>
      <c r="HAD44" s="45"/>
      <c r="HAE44" s="45"/>
      <c r="HAF44" s="45"/>
      <c r="HAG44" s="45"/>
      <c r="HAH44" s="45"/>
      <c r="HAI44" s="45"/>
      <c r="HAJ44" s="45"/>
      <c r="HAK44" s="45"/>
      <c r="HAL44" s="45"/>
      <c r="HAM44" s="45"/>
      <c r="HAN44" s="45"/>
      <c r="HAO44" s="45"/>
      <c r="HAP44" s="45"/>
      <c r="HAQ44" s="45"/>
      <c r="HAR44" s="45"/>
      <c r="HAS44" s="45"/>
      <c r="HAT44" s="45"/>
      <c r="HAU44" s="45"/>
      <c r="HAV44" s="45"/>
      <c r="HAW44" s="45"/>
      <c r="HAX44" s="45"/>
      <c r="HAY44" s="45"/>
      <c r="HAZ44" s="45"/>
      <c r="HBA44" s="45"/>
      <c r="HBB44" s="45"/>
      <c r="HBC44" s="45"/>
      <c r="HBD44" s="45"/>
      <c r="HBE44" s="45"/>
      <c r="HBF44" s="45"/>
      <c r="HBG44" s="45"/>
      <c r="HBH44" s="45"/>
      <c r="HBI44" s="45"/>
      <c r="HBJ44" s="45"/>
      <c r="HBK44" s="45"/>
      <c r="HBL44" s="45"/>
      <c r="HBM44" s="45"/>
      <c r="HBN44" s="45"/>
      <c r="HBO44" s="45"/>
      <c r="HBP44" s="45"/>
      <c r="HBQ44" s="45"/>
      <c r="HBR44" s="45"/>
      <c r="HBS44" s="45"/>
      <c r="HBT44" s="45"/>
      <c r="HBU44" s="45"/>
      <c r="HBV44" s="45"/>
      <c r="HBW44" s="45"/>
      <c r="HBX44" s="45"/>
      <c r="HBY44" s="45"/>
      <c r="HBZ44" s="45"/>
      <c r="HCA44" s="45"/>
      <c r="HCB44" s="45"/>
      <c r="HCC44" s="45"/>
      <c r="HCD44" s="45"/>
      <c r="HCE44" s="45"/>
      <c r="HCF44" s="45"/>
      <c r="HCG44" s="45"/>
      <c r="HCH44" s="45"/>
      <c r="HCI44" s="45"/>
      <c r="HCJ44" s="45"/>
      <c r="HCK44" s="45"/>
      <c r="HCL44" s="45"/>
      <c r="HCM44" s="45"/>
      <c r="HCN44" s="45"/>
      <c r="HCO44" s="45"/>
      <c r="HCP44" s="45"/>
      <c r="HCQ44" s="45"/>
      <c r="HCR44" s="45"/>
      <c r="HCS44" s="45"/>
      <c r="HCT44" s="45"/>
      <c r="HCU44" s="45"/>
      <c r="HCV44" s="45"/>
      <c r="HCW44" s="45"/>
      <c r="HCX44" s="45"/>
      <c r="HCY44" s="45"/>
      <c r="HCZ44" s="45"/>
      <c r="HDA44" s="45"/>
      <c r="HDB44" s="45"/>
      <c r="HDC44" s="45"/>
      <c r="HDD44" s="45"/>
      <c r="HDE44" s="45"/>
      <c r="HDF44" s="45"/>
      <c r="HDG44" s="45"/>
      <c r="HDH44" s="45"/>
      <c r="HDI44" s="45"/>
      <c r="HDJ44" s="45"/>
      <c r="HDK44" s="45"/>
      <c r="HDL44" s="45"/>
      <c r="HDM44" s="45"/>
      <c r="HDN44" s="45"/>
      <c r="HDO44" s="45"/>
      <c r="HDP44" s="45"/>
      <c r="HDQ44" s="45"/>
      <c r="HDR44" s="45"/>
      <c r="HDS44" s="45"/>
      <c r="HDT44" s="45"/>
      <c r="HDU44" s="45"/>
      <c r="HDV44" s="45"/>
      <c r="HDW44" s="45"/>
      <c r="HDX44" s="45"/>
      <c r="HDY44" s="45"/>
      <c r="HDZ44" s="45"/>
      <c r="HEA44" s="45"/>
      <c r="HEB44" s="45"/>
      <c r="HEC44" s="45"/>
      <c r="HED44" s="45"/>
      <c r="HEE44" s="45"/>
      <c r="HEF44" s="45"/>
      <c r="HEG44" s="45"/>
      <c r="HEH44" s="45"/>
      <c r="HEI44" s="45"/>
      <c r="HEJ44" s="45"/>
      <c r="HEK44" s="45"/>
      <c r="HEL44" s="45"/>
      <c r="HEM44" s="45"/>
      <c r="HEN44" s="45"/>
      <c r="HEO44" s="45"/>
      <c r="HEP44" s="45"/>
      <c r="HEQ44" s="45"/>
      <c r="HER44" s="45"/>
      <c r="HES44" s="45"/>
      <c r="HET44" s="45"/>
      <c r="HEU44" s="45"/>
      <c r="HEV44" s="45"/>
      <c r="HEW44" s="45"/>
      <c r="HEX44" s="45"/>
      <c r="HEY44" s="45"/>
      <c r="HEZ44" s="45"/>
      <c r="HFA44" s="45"/>
      <c r="HFB44" s="45"/>
      <c r="HFC44" s="45"/>
      <c r="HFD44" s="45"/>
      <c r="HFE44" s="45"/>
      <c r="HFF44" s="45"/>
      <c r="HFG44" s="45"/>
      <c r="HFH44" s="45"/>
      <c r="HFI44" s="45"/>
      <c r="HFJ44" s="45"/>
      <c r="HFK44" s="45"/>
      <c r="HFL44" s="45"/>
      <c r="HFM44" s="45"/>
      <c r="HFN44" s="45"/>
      <c r="HFO44" s="45"/>
      <c r="HFP44" s="45"/>
      <c r="HFQ44" s="45"/>
      <c r="HFR44" s="45"/>
      <c r="HFS44" s="45"/>
      <c r="HFT44" s="45"/>
      <c r="HFU44" s="45"/>
      <c r="HFV44" s="45"/>
      <c r="HFW44" s="45"/>
      <c r="HFX44" s="45"/>
      <c r="HFY44" s="45"/>
      <c r="HFZ44" s="45"/>
      <c r="HGA44" s="45"/>
      <c r="HGB44" s="45"/>
      <c r="HGC44" s="45"/>
      <c r="HGD44" s="45"/>
      <c r="HGE44" s="45"/>
      <c r="HGF44" s="45"/>
      <c r="HGG44" s="45"/>
      <c r="HGH44" s="45"/>
      <c r="HGI44" s="45"/>
      <c r="HGJ44" s="45"/>
      <c r="HGK44" s="45"/>
      <c r="HGL44" s="45"/>
      <c r="HGM44" s="45"/>
      <c r="HGN44" s="45"/>
      <c r="HGO44" s="45"/>
      <c r="HGP44" s="45"/>
      <c r="HGQ44" s="45"/>
      <c r="HGR44" s="45"/>
      <c r="HGS44" s="45"/>
      <c r="HGT44" s="45"/>
      <c r="HGU44" s="45"/>
      <c r="HGV44" s="45"/>
      <c r="HGW44" s="45"/>
      <c r="HGX44" s="45"/>
      <c r="HGY44" s="45"/>
      <c r="HGZ44" s="45"/>
      <c r="HHA44" s="45"/>
      <c r="HHB44" s="45"/>
      <c r="HHC44" s="45"/>
      <c r="HHD44" s="45"/>
      <c r="HHE44" s="45"/>
      <c r="HHF44" s="45"/>
      <c r="HHG44" s="45"/>
      <c r="HHH44" s="45"/>
      <c r="HHI44" s="45"/>
      <c r="HHJ44" s="45"/>
      <c r="HHK44" s="45"/>
      <c r="HHL44" s="45"/>
      <c r="HHM44" s="45"/>
      <c r="HHN44" s="45"/>
      <c r="HHO44" s="45"/>
      <c r="HHP44" s="45"/>
      <c r="HHQ44" s="45"/>
      <c r="HHR44" s="45"/>
      <c r="HHS44" s="45"/>
      <c r="HHT44" s="45"/>
      <c r="HHU44" s="45"/>
      <c r="HHV44" s="45"/>
      <c r="HHW44" s="45"/>
      <c r="HHX44" s="45"/>
      <c r="HHY44" s="45"/>
      <c r="HHZ44" s="45"/>
      <c r="HIA44" s="45"/>
      <c r="HIB44" s="45"/>
      <c r="HIC44" s="45"/>
      <c r="HID44" s="45"/>
      <c r="HIE44" s="45"/>
      <c r="HIF44" s="45"/>
      <c r="HIG44" s="45"/>
      <c r="HIH44" s="45"/>
      <c r="HII44" s="45"/>
      <c r="HIJ44" s="45"/>
      <c r="HIK44" s="45"/>
      <c r="HIL44" s="45"/>
      <c r="HIM44" s="45"/>
      <c r="HIN44" s="45"/>
      <c r="HIO44" s="45"/>
      <c r="HIP44" s="45"/>
      <c r="HIQ44" s="45"/>
      <c r="HIR44" s="45"/>
      <c r="HIS44" s="45"/>
      <c r="HIT44" s="45"/>
      <c r="HIU44" s="45"/>
      <c r="HIV44" s="45"/>
      <c r="HIW44" s="45"/>
      <c r="HIX44" s="45"/>
      <c r="HIY44" s="45"/>
      <c r="HIZ44" s="45"/>
      <c r="HJA44" s="45"/>
      <c r="HJB44" s="45"/>
      <c r="HJC44" s="45"/>
      <c r="HJD44" s="45"/>
      <c r="HJE44" s="45"/>
      <c r="HJF44" s="45"/>
      <c r="HJG44" s="45"/>
      <c r="HJH44" s="45"/>
      <c r="HJI44" s="45"/>
      <c r="HJJ44" s="45"/>
      <c r="HJK44" s="45"/>
      <c r="HJL44" s="45"/>
      <c r="HJM44" s="45"/>
      <c r="HJN44" s="45"/>
      <c r="HJO44" s="45"/>
      <c r="HJP44" s="45"/>
      <c r="HJQ44" s="45"/>
      <c r="HJR44" s="45"/>
      <c r="HJS44" s="45"/>
      <c r="HJT44" s="45"/>
      <c r="HJU44" s="45"/>
      <c r="HJV44" s="45"/>
      <c r="HJW44" s="45"/>
      <c r="HJX44" s="45"/>
      <c r="HJY44" s="45"/>
      <c r="HJZ44" s="45"/>
      <c r="HKA44" s="45"/>
      <c r="HKB44" s="45"/>
      <c r="HKC44" s="45"/>
      <c r="HKD44" s="45"/>
      <c r="HKE44" s="45"/>
      <c r="HKF44" s="45"/>
      <c r="HKG44" s="45"/>
      <c r="HKH44" s="45"/>
      <c r="HKI44" s="45"/>
      <c r="HKJ44" s="45"/>
      <c r="HKK44" s="45"/>
      <c r="HKL44" s="45"/>
      <c r="HKM44" s="45"/>
      <c r="HKN44" s="45"/>
      <c r="HKO44" s="45"/>
      <c r="HKP44" s="45"/>
      <c r="HKQ44" s="45"/>
      <c r="HKR44" s="45"/>
      <c r="HKS44" s="45"/>
      <c r="HKT44" s="45"/>
      <c r="HKU44" s="45"/>
      <c r="HKV44" s="45"/>
      <c r="HKW44" s="45"/>
      <c r="HKX44" s="45"/>
      <c r="HKY44" s="45"/>
      <c r="HKZ44" s="45"/>
      <c r="HLA44" s="45"/>
      <c r="HLB44" s="45"/>
      <c r="HLC44" s="45"/>
      <c r="HLD44" s="45"/>
      <c r="HLE44" s="45"/>
      <c r="HLF44" s="45"/>
      <c r="HLG44" s="45"/>
      <c r="HLH44" s="45"/>
      <c r="HLI44" s="45"/>
      <c r="HLJ44" s="45"/>
      <c r="HLK44" s="45"/>
      <c r="HLL44" s="45"/>
      <c r="HLM44" s="45"/>
      <c r="HLN44" s="45"/>
      <c r="HLO44" s="45"/>
      <c r="HLP44" s="45"/>
      <c r="HLQ44" s="45"/>
      <c r="HLR44" s="45"/>
      <c r="HLS44" s="45"/>
      <c r="HLT44" s="45"/>
      <c r="HLU44" s="45"/>
      <c r="HLV44" s="45"/>
      <c r="HLW44" s="45"/>
      <c r="HLX44" s="45"/>
      <c r="HLY44" s="45"/>
      <c r="HLZ44" s="45"/>
      <c r="HMA44" s="45"/>
      <c r="HMB44" s="45"/>
      <c r="HMC44" s="45"/>
      <c r="HMD44" s="45"/>
      <c r="HME44" s="45"/>
      <c r="HMF44" s="45"/>
      <c r="HMG44" s="45"/>
      <c r="HMH44" s="45"/>
      <c r="HMI44" s="45"/>
      <c r="HMJ44" s="45"/>
      <c r="HMK44" s="45"/>
      <c r="HML44" s="45"/>
      <c r="HMM44" s="45"/>
      <c r="HMN44" s="45"/>
      <c r="HMO44" s="45"/>
      <c r="HMP44" s="45"/>
      <c r="HMQ44" s="45"/>
      <c r="HMR44" s="45"/>
      <c r="HMS44" s="45"/>
      <c r="HMT44" s="45"/>
      <c r="HMU44" s="45"/>
      <c r="HMV44" s="45"/>
      <c r="HMW44" s="45"/>
      <c r="HMX44" s="45"/>
      <c r="HMY44" s="45"/>
      <c r="HMZ44" s="45"/>
      <c r="HNA44" s="45"/>
      <c r="HNB44" s="45"/>
      <c r="HNC44" s="45"/>
      <c r="HND44" s="45"/>
      <c r="HNE44" s="45"/>
      <c r="HNF44" s="45"/>
      <c r="HNG44" s="45"/>
      <c r="HNH44" s="45"/>
      <c r="HNI44" s="45"/>
      <c r="HNJ44" s="45"/>
      <c r="HNK44" s="45"/>
      <c r="HNL44" s="45"/>
      <c r="HNM44" s="45"/>
      <c r="HNN44" s="45"/>
      <c r="HNO44" s="45"/>
      <c r="HNP44" s="45"/>
      <c r="HNQ44" s="45"/>
      <c r="HNR44" s="45"/>
      <c r="HNS44" s="45"/>
      <c r="HNT44" s="45"/>
      <c r="HNU44" s="45"/>
      <c r="HNV44" s="45"/>
      <c r="HNW44" s="45"/>
      <c r="HNX44" s="45"/>
      <c r="HNY44" s="45"/>
      <c r="HNZ44" s="45"/>
      <c r="HOA44" s="45"/>
      <c r="HOB44" s="45"/>
      <c r="HOC44" s="45"/>
      <c r="HOD44" s="45"/>
      <c r="HOE44" s="45"/>
      <c r="HOF44" s="45"/>
      <c r="HOG44" s="45"/>
      <c r="HOH44" s="45"/>
      <c r="HOI44" s="45"/>
      <c r="HOJ44" s="45"/>
      <c r="HOK44" s="45"/>
      <c r="HOL44" s="45"/>
      <c r="HOM44" s="45"/>
      <c r="HON44" s="45"/>
      <c r="HOO44" s="45"/>
      <c r="HOP44" s="45"/>
      <c r="HOQ44" s="45"/>
      <c r="HOR44" s="45"/>
      <c r="HOS44" s="45"/>
      <c r="HOT44" s="45"/>
      <c r="HOU44" s="45"/>
      <c r="HOV44" s="45"/>
      <c r="HOW44" s="45"/>
      <c r="HOX44" s="45"/>
      <c r="HOY44" s="45"/>
      <c r="HOZ44" s="45"/>
      <c r="HPA44" s="45"/>
      <c r="HPB44" s="45"/>
      <c r="HPC44" s="45"/>
      <c r="HPD44" s="45"/>
      <c r="HPE44" s="45"/>
      <c r="HPF44" s="45"/>
      <c r="HPG44" s="45"/>
      <c r="HPH44" s="45"/>
      <c r="HPI44" s="45"/>
      <c r="HPJ44" s="45"/>
      <c r="HPK44" s="45"/>
      <c r="HPL44" s="45"/>
      <c r="HPM44" s="45"/>
      <c r="HPN44" s="45"/>
      <c r="HPO44" s="45"/>
      <c r="HPP44" s="45"/>
      <c r="HPQ44" s="45"/>
      <c r="HPR44" s="45"/>
      <c r="HPS44" s="45"/>
      <c r="HPT44" s="45"/>
      <c r="HPU44" s="45"/>
      <c r="HPV44" s="45"/>
      <c r="HPW44" s="45"/>
      <c r="HPX44" s="45"/>
      <c r="HPY44" s="45"/>
      <c r="HPZ44" s="45"/>
      <c r="HQA44" s="45"/>
      <c r="HQB44" s="45"/>
      <c r="HQC44" s="45"/>
      <c r="HQD44" s="45"/>
      <c r="HQE44" s="45"/>
      <c r="HQF44" s="45"/>
      <c r="HQG44" s="45"/>
      <c r="HQH44" s="45"/>
      <c r="HQI44" s="45"/>
      <c r="HQJ44" s="45"/>
      <c r="HQK44" s="45"/>
      <c r="HQL44" s="45"/>
      <c r="HQM44" s="45"/>
      <c r="HQN44" s="45"/>
      <c r="HQO44" s="45"/>
      <c r="HQP44" s="45"/>
      <c r="HQQ44" s="45"/>
      <c r="HQR44" s="45"/>
      <c r="HQS44" s="45"/>
      <c r="HQT44" s="45"/>
      <c r="HQU44" s="45"/>
      <c r="HQV44" s="45"/>
      <c r="HQW44" s="45"/>
      <c r="HQX44" s="45"/>
      <c r="HQY44" s="45"/>
      <c r="HQZ44" s="45"/>
      <c r="HRA44" s="45"/>
      <c r="HRB44" s="45"/>
      <c r="HRC44" s="45"/>
      <c r="HRD44" s="45"/>
      <c r="HRE44" s="45"/>
      <c r="HRF44" s="45"/>
      <c r="HRG44" s="45"/>
      <c r="HRH44" s="45"/>
      <c r="HRI44" s="45"/>
      <c r="HRJ44" s="45"/>
      <c r="HRK44" s="45"/>
      <c r="HRL44" s="45"/>
      <c r="HRM44" s="45"/>
      <c r="HRN44" s="45"/>
      <c r="HRO44" s="45"/>
      <c r="HRP44" s="45"/>
      <c r="HRQ44" s="45"/>
      <c r="HRR44" s="45"/>
      <c r="HRS44" s="45"/>
      <c r="HRT44" s="45"/>
      <c r="HRU44" s="45"/>
      <c r="HRV44" s="45"/>
      <c r="HRW44" s="45"/>
      <c r="HRX44" s="45"/>
      <c r="HRY44" s="45"/>
      <c r="HRZ44" s="45"/>
      <c r="HSA44" s="45"/>
      <c r="HSB44" s="45"/>
      <c r="HSC44" s="45"/>
      <c r="HSD44" s="45"/>
      <c r="HSE44" s="45"/>
      <c r="HSF44" s="45"/>
      <c r="HSG44" s="45"/>
      <c r="HSH44" s="45"/>
      <c r="HSI44" s="45"/>
      <c r="HSJ44" s="45"/>
      <c r="HSK44" s="45"/>
      <c r="HSL44" s="45"/>
      <c r="HSM44" s="45"/>
      <c r="HSN44" s="45"/>
      <c r="HSO44" s="45"/>
      <c r="HSP44" s="45"/>
      <c r="HSQ44" s="45"/>
      <c r="HSR44" s="45"/>
      <c r="HSS44" s="45"/>
      <c r="HST44" s="45"/>
      <c r="HSU44" s="45"/>
      <c r="HSV44" s="45"/>
      <c r="HSW44" s="45"/>
      <c r="HSX44" s="45"/>
      <c r="HSY44" s="45"/>
      <c r="HSZ44" s="45"/>
      <c r="HTA44" s="45"/>
      <c r="HTB44" s="45"/>
      <c r="HTC44" s="45"/>
      <c r="HTD44" s="45"/>
      <c r="HTE44" s="45"/>
      <c r="HTF44" s="45"/>
      <c r="HTG44" s="45"/>
      <c r="HTH44" s="45"/>
      <c r="HTI44" s="45"/>
      <c r="HTJ44" s="45"/>
      <c r="HTK44" s="45"/>
      <c r="HTL44" s="45"/>
      <c r="HTM44" s="45"/>
      <c r="HTN44" s="45"/>
      <c r="HTO44" s="45"/>
      <c r="HTP44" s="45"/>
      <c r="HTQ44" s="45"/>
      <c r="HTR44" s="45"/>
      <c r="HTS44" s="45"/>
      <c r="HTT44" s="45"/>
      <c r="HTU44" s="45"/>
      <c r="HTV44" s="45"/>
      <c r="HTW44" s="45"/>
      <c r="HTX44" s="45"/>
      <c r="HTY44" s="45"/>
      <c r="HTZ44" s="45"/>
      <c r="HUA44" s="45"/>
      <c r="HUB44" s="45"/>
      <c r="HUC44" s="45"/>
      <c r="HUD44" s="45"/>
      <c r="HUE44" s="45"/>
      <c r="HUF44" s="45"/>
      <c r="HUG44" s="45"/>
      <c r="HUH44" s="45"/>
      <c r="HUI44" s="45"/>
      <c r="HUJ44" s="45"/>
      <c r="HUK44" s="45"/>
      <c r="HUL44" s="45"/>
      <c r="HUM44" s="45"/>
      <c r="HUN44" s="45"/>
      <c r="HUO44" s="45"/>
      <c r="HUP44" s="45"/>
      <c r="HUQ44" s="45"/>
      <c r="HUR44" s="45"/>
      <c r="HUS44" s="45"/>
      <c r="HUT44" s="45"/>
      <c r="HUU44" s="45"/>
      <c r="HUV44" s="45"/>
      <c r="HUW44" s="45"/>
      <c r="HUX44" s="45"/>
      <c r="HUY44" s="45"/>
      <c r="HUZ44" s="45"/>
      <c r="HVA44" s="45"/>
      <c r="HVB44" s="45"/>
      <c r="HVC44" s="45"/>
      <c r="HVD44" s="45"/>
      <c r="HVE44" s="45"/>
      <c r="HVF44" s="45"/>
      <c r="HVG44" s="45"/>
      <c r="HVH44" s="45"/>
      <c r="HVI44" s="45"/>
      <c r="HVJ44" s="45"/>
      <c r="HVK44" s="45"/>
      <c r="HVL44" s="45"/>
      <c r="HVM44" s="45"/>
      <c r="HVN44" s="45"/>
      <c r="HVO44" s="45"/>
      <c r="HVP44" s="45"/>
      <c r="HVQ44" s="45"/>
      <c r="HVR44" s="45"/>
      <c r="HVS44" s="45"/>
      <c r="HVT44" s="45"/>
      <c r="HVU44" s="45"/>
      <c r="HVV44" s="45"/>
      <c r="HVW44" s="45"/>
      <c r="HVX44" s="45"/>
      <c r="HVY44" s="45"/>
      <c r="HVZ44" s="45"/>
      <c r="HWA44" s="45"/>
      <c r="HWB44" s="45"/>
      <c r="HWC44" s="45"/>
      <c r="HWD44" s="45"/>
      <c r="HWE44" s="45"/>
      <c r="HWF44" s="45"/>
      <c r="HWG44" s="45"/>
      <c r="HWH44" s="45"/>
      <c r="HWI44" s="45"/>
      <c r="HWJ44" s="45"/>
      <c r="HWK44" s="45"/>
      <c r="HWL44" s="45"/>
      <c r="HWM44" s="45"/>
      <c r="HWN44" s="45"/>
      <c r="HWO44" s="45"/>
      <c r="HWP44" s="45"/>
      <c r="HWQ44" s="45"/>
      <c r="HWR44" s="45"/>
      <c r="HWS44" s="45"/>
      <c r="HWT44" s="45"/>
      <c r="HWU44" s="45"/>
      <c r="HWV44" s="45"/>
      <c r="HWW44" s="45"/>
      <c r="HWX44" s="45"/>
      <c r="HWY44" s="45"/>
      <c r="HWZ44" s="45"/>
      <c r="HXA44" s="45"/>
      <c r="HXB44" s="45"/>
      <c r="HXC44" s="45"/>
      <c r="HXD44" s="45"/>
      <c r="HXE44" s="45"/>
      <c r="HXF44" s="45"/>
      <c r="HXG44" s="45"/>
      <c r="HXH44" s="45"/>
      <c r="HXI44" s="45"/>
      <c r="HXJ44" s="45"/>
      <c r="HXK44" s="45"/>
      <c r="HXL44" s="45"/>
      <c r="HXM44" s="45"/>
      <c r="HXN44" s="45"/>
      <c r="HXO44" s="45"/>
      <c r="HXP44" s="45"/>
      <c r="HXQ44" s="45"/>
      <c r="HXR44" s="45"/>
      <c r="HXS44" s="45"/>
      <c r="HXT44" s="45"/>
      <c r="HXU44" s="45"/>
      <c r="HXV44" s="45"/>
      <c r="HXW44" s="45"/>
      <c r="HXX44" s="45"/>
      <c r="HXY44" s="45"/>
      <c r="HXZ44" s="45"/>
      <c r="HYA44" s="45"/>
      <c r="HYB44" s="45"/>
      <c r="HYC44" s="45"/>
      <c r="HYD44" s="45"/>
      <c r="HYE44" s="45"/>
      <c r="HYF44" s="45"/>
      <c r="HYG44" s="45"/>
      <c r="HYH44" s="45"/>
      <c r="HYI44" s="45"/>
      <c r="HYJ44" s="45"/>
      <c r="HYK44" s="45"/>
      <c r="HYL44" s="45"/>
      <c r="HYM44" s="45"/>
      <c r="HYN44" s="45"/>
      <c r="HYO44" s="45"/>
      <c r="HYP44" s="45"/>
      <c r="HYQ44" s="45"/>
      <c r="HYR44" s="45"/>
      <c r="HYS44" s="45"/>
      <c r="HYT44" s="45"/>
      <c r="HYU44" s="45"/>
      <c r="HYV44" s="45"/>
      <c r="HYW44" s="45"/>
      <c r="HYX44" s="45"/>
      <c r="HYY44" s="45"/>
      <c r="HYZ44" s="45"/>
      <c r="HZA44" s="45"/>
      <c r="HZB44" s="45"/>
      <c r="HZC44" s="45"/>
      <c r="HZD44" s="45"/>
      <c r="HZE44" s="45"/>
      <c r="HZF44" s="45"/>
      <c r="HZG44" s="45"/>
      <c r="HZH44" s="45"/>
      <c r="HZI44" s="45"/>
      <c r="HZJ44" s="45"/>
      <c r="HZK44" s="45"/>
      <c r="HZL44" s="45"/>
      <c r="HZM44" s="45"/>
      <c r="HZN44" s="45"/>
      <c r="HZO44" s="45"/>
      <c r="HZP44" s="45"/>
      <c r="HZQ44" s="45"/>
      <c r="HZR44" s="45"/>
      <c r="HZS44" s="45"/>
      <c r="HZT44" s="45"/>
      <c r="HZU44" s="45"/>
      <c r="HZV44" s="45"/>
      <c r="HZW44" s="45"/>
      <c r="HZX44" s="45"/>
      <c r="HZY44" s="45"/>
      <c r="HZZ44" s="45"/>
      <c r="IAA44" s="45"/>
      <c r="IAB44" s="45"/>
      <c r="IAC44" s="45"/>
      <c r="IAD44" s="45"/>
      <c r="IAE44" s="45"/>
      <c r="IAF44" s="45"/>
      <c r="IAG44" s="45"/>
      <c r="IAH44" s="45"/>
      <c r="IAI44" s="45"/>
      <c r="IAJ44" s="45"/>
      <c r="IAK44" s="45"/>
      <c r="IAL44" s="45"/>
      <c r="IAM44" s="45"/>
      <c r="IAN44" s="45"/>
      <c r="IAO44" s="45"/>
      <c r="IAP44" s="45"/>
      <c r="IAQ44" s="45"/>
      <c r="IAR44" s="45"/>
      <c r="IAS44" s="45"/>
      <c r="IAT44" s="45"/>
      <c r="IAU44" s="45"/>
      <c r="IAV44" s="45"/>
      <c r="IAW44" s="45"/>
      <c r="IAX44" s="45"/>
      <c r="IAY44" s="45"/>
      <c r="IAZ44" s="45"/>
      <c r="IBA44" s="45"/>
      <c r="IBB44" s="45"/>
      <c r="IBC44" s="45"/>
      <c r="IBD44" s="45"/>
      <c r="IBE44" s="45"/>
      <c r="IBF44" s="45"/>
      <c r="IBG44" s="45"/>
      <c r="IBH44" s="45"/>
      <c r="IBI44" s="45"/>
      <c r="IBJ44" s="45"/>
      <c r="IBK44" s="45"/>
      <c r="IBL44" s="45"/>
      <c r="IBM44" s="45"/>
      <c r="IBN44" s="45"/>
      <c r="IBO44" s="45"/>
      <c r="IBP44" s="45"/>
      <c r="IBQ44" s="45"/>
      <c r="IBR44" s="45"/>
      <c r="IBS44" s="45"/>
      <c r="IBT44" s="45"/>
      <c r="IBU44" s="45"/>
      <c r="IBV44" s="45"/>
      <c r="IBW44" s="45"/>
      <c r="IBX44" s="45"/>
      <c r="IBY44" s="45"/>
      <c r="IBZ44" s="45"/>
      <c r="ICA44" s="45"/>
      <c r="ICB44" s="45"/>
      <c r="ICC44" s="45"/>
      <c r="ICD44" s="45"/>
      <c r="ICE44" s="45"/>
      <c r="ICF44" s="45"/>
      <c r="ICG44" s="45"/>
      <c r="ICH44" s="45"/>
      <c r="ICI44" s="45"/>
      <c r="ICJ44" s="45"/>
      <c r="ICK44" s="45"/>
      <c r="ICL44" s="45"/>
      <c r="ICM44" s="45"/>
      <c r="ICN44" s="45"/>
      <c r="ICO44" s="45"/>
      <c r="ICP44" s="45"/>
      <c r="ICQ44" s="45"/>
      <c r="ICR44" s="45"/>
      <c r="ICS44" s="45"/>
      <c r="ICT44" s="45"/>
      <c r="ICU44" s="45"/>
      <c r="ICV44" s="45"/>
      <c r="ICW44" s="45"/>
      <c r="ICX44" s="45"/>
      <c r="ICY44" s="45"/>
      <c r="ICZ44" s="45"/>
      <c r="IDA44" s="45"/>
      <c r="IDB44" s="45"/>
      <c r="IDC44" s="45"/>
      <c r="IDD44" s="45"/>
      <c r="IDE44" s="45"/>
      <c r="IDF44" s="45"/>
      <c r="IDG44" s="45"/>
      <c r="IDH44" s="45"/>
      <c r="IDI44" s="45"/>
      <c r="IDJ44" s="45"/>
      <c r="IDK44" s="45"/>
      <c r="IDL44" s="45"/>
      <c r="IDM44" s="45"/>
      <c r="IDN44" s="45"/>
      <c r="IDO44" s="45"/>
      <c r="IDP44" s="45"/>
      <c r="IDQ44" s="45"/>
      <c r="IDR44" s="45"/>
      <c r="IDS44" s="45"/>
      <c r="IDT44" s="45"/>
      <c r="IDU44" s="45"/>
      <c r="IDV44" s="45"/>
      <c r="IDW44" s="45"/>
      <c r="IDX44" s="45"/>
      <c r="IDY44" s="45"/>
      <c r="IDZ44" s="45"/>
      <c r="IEA44" s="45"/>
      <c r="IEB44" s="45"/>
      <c r="IEC44" s="45"/>
      <c r="IED44" s="45"/>
      <c r="IEE44" s="45"/>
      <c r="IEF44" s="45"/>
      <c r="IEG44" s="45"/>
      <c r="IEH44" s="45"/>
      <c r="IEI44" s="45"/>
      <c r="IEJ44" s="45"/>
      <c r="IEK44" s="45"/>
      <c r="IEL44" s="45"/>
      <c r="IEM44" s="45"/>
      <c r="IEN44" s="45"/>
      <c r="IEO44" s="45"/>
      <c r="IEP44" s="45"/>
      <c r="IEQ44" s="45"/>
      <c r="IER44" s="45"/>
      <c r="IES44" s="45"/>
      <c r="IET44" s="45"/>
      <c r="IEU44" s="45"/>
      <c r="IEV44" s="45"/>
      <c r="IEW44" s="45"/>
      <c r="IEX44" s="45"/>
      <c r="IEY44" s="45"/>
      <c r="IEZ44" s="45"/>
      <c r="IFA44" s="45"/>
      <c r="IFB44" s="45"/>
      <c r="IFC44" s="45"/>
      <c r="IFD44" s="45"/>
      <c r="IFE44" s="45"/>
      <c r="IFF44" s="45"/>
      <c r="IFG44" s="45"/>
      <c r="IFH44" s="45"/>
      <c r="IFI44" s="45"/>
      <c r="IFJ44" s="45"/>
      <c r="IFK44" s="45"/>
      <c r="IFL44" s="45"/>
      <c r="IFM44" s="45"/>
      <c r="IFN44" s="45"/>
      <c r="IFO44" s="45"/>
      <c r="IFP44" s="45"/>
      <c r="IFQ44" s="45"/>
      <c r="IFR44" s="45"/>
      <c r="IFS44" s="45"/>
      <c r="IFT44" s="45"/>
      <c r="IFU44" s="45"/>
      <c r="IFV44" s="45"/>
      <c r="IFW44" s="45"/>
      <c r="IFX44" s="45"/>
      <c r="IFY44" s="45"/>
      <c r="IFZ44" s="45"/>
      <c r="IGA44" s="45"/>
      <c r="IGB44" s="45"/>
      <c r="IGC44" s="45"/>
      <c r="IGD44" s="45"/>
      <c r="IGE44" s="45"/>
      <c r="IGF44" s="45"/>
      <c r="IGG44" s="45"/>
      <c r="IGH44" s="45"/>
      <c r="IGI44" s="45"/>
      <c r="IGJ44" s="45"/>
      <c r="IGK44" s="45"/>
      <c r="IGL44" s="45"/>
      <c r="IGM44" s="45"/>
      <c r="IGN44" s="45"/>
      <c r="IGO44" s="45"/>
      <c r="IGP44" s="45"/>
      <c r="IGQ44" s="45"/>
      <c r="IGR44" s="45"/>
      <c r="IGS44" s="45"/>
      <c r="IGT44" s="45"/>
      <c r="IGU44" s="45"/>
      <c r="IGV44" s="45"/>
      <c r="IGW44" s="45"/>
      <c r="IGX44" s="45"/>
      <c r="IGY44" s="45"/>
      <c r="IGZ44" s="45"/>
      <c r="IHA44" s="45"/>
      <c r="IHB44" s="45"/>
      <c r="IHC44" s="45"/>
      <c r="IHD44" s="45"/>
      <c r="IHE44" s="45"/>
      <c r="IHF44" s="45"/>
      <c r="IHG44" s="45"/>
      <c r="IHH44" s="45"/>
      <c r="IHI44" s="45"/>
      <c r="IHJ44" s="45"/>
      <c r="IHK44" s="45"/>
      <c r="IHL44" s="45"/>
      <c r="IHM44" s="45"/>
      <c r="IHN44" s="45"/>
      <c r="IHO44" s="45"/>
      <c r="IHP44" s="45"/>
      <c r="IHQ44" s="45"/>
      <c r="IHR44" s="45"/>
      <c r="IHS44" s="45"/>
      <c r="IHT44" s="45"/>
      <c r="IHU44" s="45"/>
      <c r="IHV44" s="45"/>
      <c r="IHW44" s="45"/>
      <c r="IHX44" s="45"/>
      <c r="IHY44" s="45"/>
      <c r="IHZ44" s="45"/>
      <c r="IIA44" s="45"/>
      <c r="IIB44" s="45"/>
      <c r="IIC44" s="45"/>
      <c r="IID44" s="45"/>
      <c r="IIE44" s="45"/>
      <c r="IIF44" s="45"/>
      <c r="IIG44" s="45"/>
      <c r="IIH44" s="45"/>
      <c r="III44" s="45"/>
      <c r="IIJ44" s="45"/>
      <c r="IIK44" s="45"/>
      <c r="IIL44" s="45"/>
      <c r="IIM44" s="45"/>
      <c r="IIN44" s="45"/>
      <c r="IIO44" s="45"/>
      <c r="IIP44" s="45"/>
      <c r="IIQ44" s="45"/>
      <c r="IIR44" s="45"/>
      <c r="IIS44" s="45"/>
      <c r="IIT44" s="45"/>
      <c r="IIU44" s="45"/>
      <c r="IIV44" s="45"/>
      <c r="IIW44" s="45"/>
      <c r="IIX44" s="45"/>
      <c r="IIY44" s="45"/>
      <c r="IIZ44" s="45"/>
      <c r="IJA44" s="45"/>
      <c r="IJB44" s="45"/>
      <c r="IJC44" s="45"/>
      <c r="IJD44" s="45"/>
      <c r="IJE44" s="45"/>
      <c r="IJF44" s="45"/>
      <c r="IJG44" s="45"/>
      <c r="IJH44" s="45"/>
      <c r="IJI44" s="45"/>
      <c r="IJJ44" s="45"/>
      <c r="IJK44" s="45"/>
      <c r="IJL44" s="45"/>
      <c r="IJM44" s="45"/>
      <c r="IJN44" s="45"/>
      <c r="IJO44" s="45"/>
      <c r="IJP44" s="45"/>
      <c r="IJQ44" s="45"/>
      <c r="IJR44" s="45"/>
      <c r="IJS44" s="45"/>
      <c r="IJT44" s="45"/>
      <c r="IJU44" s="45"/>
      <c r="IJV44" s="45"/>
      <c r="IJW44" s="45"/>
      <c r="IJX44" s="45"/>
      <c r="IJY44" s="45"/>
      <c r="IJZ44" s="45"/>
      <c r="IKA44" s="45"/>
      <c r="IKB44" s="45"/>
      <c r="IKC44" s="45"/>
      <c r="IKD44" s="45"/>
      <c r="IKE44" s="45"/>
      <c r="IKF44" s="45"/>
      <c r="IKG44" s="45"/>
      <c r="IKH44" s="45"/>
      <c r="IKI44" s="45"/>
      <c r="IKJ44" s="45"/>
      <c r="IKK44" s="45"/>
      <c r="IKL44" s="45"/>
      <c r="IKM44" s="45"/>
      <c r="IKN44" s="45"/>
      <c r="IKO44" s="45"/>
      <c r="IKP44" s="45"/>
      <c r="IKQ44" s="45"/>
      <c r="IKR44" s="45"/>
      <c r="IKS44" s="45"/>
      <c r="IKT44" s="45"/>
      <c r="IKU44" s="45"/>
      <c r="IKV44" s="45"/>
      <c r="IKW44" s="45"/>
      <c r="IKX44" s="45"/>
      <c r="IKY44" s="45"/>
      <c r="IKZ44" s="45"/>
      <c r="ILA44" s="45"/>
      <c r="ILB44" s="45"/>
      <c r="ILC44" s="45"/>
      <c r="ILD44" s="45"/>
      <c r="ILE44" s="45"/>
      <c r="ILF44" s="45"/>
      <c r="ILG44" s="45"/>
      <c r="ILH44" s="45"/>
      <c r="ILI44" s="45"/>
      <c r="ILJ44" s="45"/>
      <c r="ILK44" s="45"/>
      <c r="ILL44" s="45"/>
      <c r="ILM44" s="45"/>
      <c r="ILN44" s="45"/>
      <c r="ILO44" s="45"/>
      <c r="ILP44" s="45"/>
      <c r="ILQ44" s="45"/>
      <c r="ILR44" s="45"/>
      <c r="ILS44" s="45"/>
      <c r="ILT44" s="45"/>
      <c r="ILU44" s="45"/>
      <c r="ILV44" s="45"/>
      <c r="ILW44" s="45"/>
      <c r="ILX44" s="45"/>
      <c r="ILY44" s="45"/>
      <c r="ILZ44" s="45"/>
      <c r="IMA44" s="45"/>
      <c r="IMB44" s="45"/>
      <c r="IMC44" s="45"/>
      <c r="IMD44" s="45"/>
      <c r="IME44" s="45"/>
      <c r="IMF44" s="45"/>
      <c r="IMG44" s="45"/>
      <c r="IMH44" s="45"/>
      <c r="IMI44" s="45"/>
      <c r="IMJ44" s="45"/>
      <c r="IMK44" s="45"/>
      <c r="IML44" s="45"/>
      <c r="IMM44" s="45"/>
      <c r="IMN44" s="45"/>
      <c r="IMO44" s="45"/>
      <c r="IMP44" s="45"/>
      <c r="IMQ44" s="45"/>
      <c r="IMR44" s="45"/>
      <c r="IMS44" s="45"/>
      <c r="IMT44" s="45"/>
      <c r="IMU44" s="45"/>
      <c r="IMV44" s="45"/>
      <c r="IMW44" s="45"/>
      <c r="IMX44" s="45"/>
      <c r="IMY44" s="45"/>
      <c r="IMZ44" s="45"/>
      <c r="INA44" s="45"/>
      <c r="INB44" s="45"/>
      <c r="INC44" s="45"/>
      <c r="IND44" s="45"/>
      <c r="INE44" s="45"/>
      <c r="INF44" s="45"/>
      <c r="ING44" s="45"/>
      <c r="INH44" s="45"/>
      <c r="INI44" s="45"/>
      <c r="INJ44" s="45"/>
      <c r="INK44" s="45"/>
      <c r="INL44" s="45"/>
      <c r="INM44" s="45"/>
      <c r="INN44" s="45"/>
      <c r="INO44" s="45"/>
      <c r="INP44" s="45"/>
      <c r="INQ44" s="45"/>
      <c r="INR44" s="45"/>
      <c r="INS44" s="45"/>
      <c r="INT44" s="45"/>
      <c r="INU44" s="45"/>
      <c r="INV44" s="45"/>
      <c r="INW44" s="45"/>
      <c r="INX44" s="45"/>
      <c r="INY44" s="45"/>
      <c r="INZ44" s="45"/>
      <c r="IOA44" s="45"/>
      <c r="IOB44" s="45"/>
      <c r="IOC44" s="45"/>
      <c r="IOD44" s="45"/>
      <c r="IOE44" s="45"/>
      <c r="IOF44" s="45"/>
      <c r="IOG44" s="45"/>
      <c r="IOH44" s="45"/>
      <c r="IOI44" s="45"/>
      <c r="IOJ44" s="45"/>
      <c r="IOK44" s="45"/>
      <c r="IOL44" s="45"/>
      <c r="IOM44" s="45"/>
      <c r="ION44" s="45"/>
      <c r="IOO44" s="45"/>
      <c r="IOP44" s="45"/>
      <c r="IOQ44" s="45"/>
      <c r="IOR44" s="45"/>
      <c r="IOS44" s="45"/>
      <c r="IOT44" s="45"/>
      <c r="IOU44" s="45"/>
      <c r="IOV44" s="45"/>
      <c r="IOW44" s="45"/>
      <c r="IOX44" s="45"/>
      <c r="IOY44" s="45"/>
      <c r="IOZ44" s="45"/>
      <c r="IPA44" s="45"/>
      <c r="IPB44" s="45"/>
      <c r="IPC44" s="45"/>
      <c r="IPD44" s="45"/>
      <c r="IPE44" s="45"/>
      <c r="IPF44" s="45"/>
      <c r="IPG44" s="45"/>
      <c r="IPH44" s="45"/>
      <c r="IPI44" s="45"/>
      <c r="IPJ44" s="45"/>
      <c r="IPK44" s="45"/>
      <c r="IPL44" s="45"/>
      <c r="IPM44" s="45"/>
      <c r="IPN44" s="45"/>
      <c r="IPO44" s="45"/>
      <c r="IPP44" s="45"/>
      <c r="IPQ44" s="45"/>
      <c r="IPR44" s="45"/>
      <c r="IPS44" s="45"/>
      <c r="IPT44" s="45"/>
      <c r="IPU44" s="45"/>
      <c r="IPV44" s="45"/>
      <c r="IPW44" s="45"/>
      <c r="IPX44" s="45"/>
      <c r="IPY44" s="45"/>
      <c r="IPZ44" s="45"/>
      <c r="IQA44" s="45"/>
      <c r="IQB44" s="45"/>
      <c r="IQC44" s="45"/>
      <c r="IQD44" s="45"/>
      <c r="IQE44" s="45"/>
      <c r="IQF44" s="45"/>
      <c r="IQG44" s="45"/>
      <c r="IQH44" s="45"/>
      <c r="IQI44" s="45"/>
      <c r="IQJ44" s="45"/>
      <c r="IQK44" s="45"/>
      <c r="IQL44" s="45"/>
      <c r="IQM44" s="45"/>
      <c r="IQN44" s="45"/>
      <c r="IQO44" s="45"/>
      <c r="IQP44" s="45"/>
      <c r="IQQ44" s="45"/>
      <c r="IQR44" s="45"/>
      <c r="IQS44" s="45"/>
      <c r="IQT44" s="45"/>
      <c r="IQU44" s="45"/>
      <c r="IQV44" s="45"/>
      <c r="IQW44" s="45"/>
      <c r="IQX44" s="45"/>
      <c r="IQY44" s="45"/>
      <c r="IQZ44" s="45"/>
      <c r="IRA44" s="45"/>
      <c r="IRB44" s="45"/>
      <c r="IRC44" s="45"/>
      <c r="IRD44" s="45"/>
      <c r="IRE44" s="45"/>
      <c r="IRF44" s="45"/>
      <c r="IRG44" s="45"/>
      <c r="IRH44" s="45"/>
      <c r="IRI44" s="45"/>
      <c r="IRJ44" s="45"/>
      <c r="IRK44" s="45"/>
      <c r="IRL44" s="45"/>
      <c r="IRM44" s="45"/>
      <c r="IRN44" s="45"/>
      <c r="IRO44" s="45"/>
      <c r="IRP44" s="45"/>
      <c r="IRQ44" s="45"/>
      <c r="IRR44" s="45"/>
      <c r="IRS44" s="45"/>
      <c r="IRT44" s="45"/>
      <c r="IRU44" s="45"/>
      <c r="IRV44" s="45"/>
      <c r="IRW44" s="45"/>
      <c r="IRX44" s="45"/>
      <c r="IRY44" s="45"/>
      <c r="IRZ44" s="45"/>
      <c r="ISA44" s="45"/>
      <c r="ISB44" s="45"/>
      <c r="ISC44" s="45"/>
      <c r="ISD44" s="45"/>
      <c r="ISE44" s="45"/>
      <c r="ISF44" s="45"/>
      <c r="ISG44" s="45"/>
      <c r="ISH44" s="45"/>
      <c r="ISI44" s="45"/>
      <c r="ISJ44" s="45"/>
      <c r="ISK44" s="45"/>
      <c r="ISL44" s="45"/>
      <c r="ISM44" s="45"/>
      <c r="ISN44" s="45"/>
      <c r="ISO44" s="45"/>
      <c r="ISP44" s="45"/>
      <c r="ISQ44" s="45"/>
      <c r="ISR44" s="45"/>
      <c r="ISS44" s="45"/>
      <c r="IST44" s="45"/>
      <c r="ISU44" s="45"/>
      <c r="ISV44" s="45"/>
      <c r="ISW44" s="45"/>
      <c r="ISX44" s="45"/>
      <c r="ISY44" s="45"/>
      <c r="ISZ44" s="45"/>
      <c r="ITA44" s="45"/>
      <c r="ITB44" s="45"/>
      <c r="ITC44" s="45"/>
      <c r="ITD44" s="45"/>
      <c r="ITE44" s="45"/>
      <c r="ITF44" s="45"/>
      <c r="ITG44" s="45"/>
      <c r="ITH44" s="45"/>
      <c r="ITI44" s="45"/>
      <c r="ITJ44" s="45"/>
      <c r="ITK44" s="45"/>
      <c r="ITL44" s="45"/>
      <c r="ITM44" s="45"/>
      <c r="ITN44" s="45"/>
      <c r="ITO44" s="45"/>
      <c r="ITP44" s="45"/>
      <c r="ITQ44" s="45"/>
      <c r="ITR44" s="45"/>
      <c r="ITS44" s="45"/>
      <c r="ITT44" s="45"/>
      <c r="ITU44" s="45"/>
      <c r="ITV44" s="45"/>
      <c r="ITW44" s="45"/>
      <c r="ITX44" s="45"/>
      <c r="ITY44" s="45"/>
      <c r="ITZ44" s="45"/>
      <c r="IUA44" s="45"/>
      <c r="IUB44" s="45"/>
      <c r="IUC44" s="45"/>
      <c r="IUD44" s="45"/>
      <c r="IUE44" s="45"/>
      <c r="IUF44" s="45"/>
      <c r="IUG44" s="45"/>
      <c r="IUH44" s="45"/>
      <c r="IUI44" s="45"/>
      <c r="IUJ44" s="45"/>
      <c r="IUK44" s="45"/>
      <c r="IUL44" s="45"/>
      <c r="IUM44" s="45"/>
      <c r="IUN44" s="45"/>
      <c r="IUO44" s="45"/>
      <c r="IUP44" s="45"/>
      <c r="IUQ44" s="45"/>
      <c r="IUR44" s="45"/>
      <c r="IUS44" s="45"/>
      <c r="IUT44" s="45"/>
      <c r="IUU44" s="45"/>
      <c r="IUV44" s="45"/>
      <c r="IUW44" s="45"/>
      <c r="IUX44" s="45"/>
      <c r="IUY44" s="45"/>
      <c r="IUZ44" s="45"/>
      <c r="IVA44" s="45"/>
      <c r="IVB44" s="45"/>
      <c r="IVC44" s="45"/>
      <c r="IVD44" s="45"/>
      <c r="IVE44" s="45"/>
      <c r="IVF44" s="45"/>
      <c r="IVG44" s="45"/>
      <c r="IVH44" s="45"/>
      <c r="IVI44" s="45"/>
      <c r="IVJ44" s="45"/>
      <c r="IVK44" s="45"/>
      <c r="IVL44" s="45"/>
      <c r="IVM44" s="45"/>
      <c r="IVN44" s="45"/>
      <c r="IVO44" s="45"/>
      <c r="IVP44" s="45"/>
      <c r="IVQ44" s="45"/>
      <c r="IVR44" s="45"/>
      <c r="IVS44" s="45"/>
      <c r="IVT44" s="45"/>
      <c r="IVU44" s="45"/>
      <c r="IVV44" s="45"/>
      <c r="IVW44" s="45"/>
      <c r="IVX44" s="45"/>
      <c r="IVY44" s="45"/>
      <c r="IVZ44" s="45"/>
      <c r="IWA44" s="45"/>
      <c r="IWB44" s="45"/>
      <c r="IWC44" s="45"/>
      <c r="IWD44" s="45"/>
      <c r="IWE44" s="45"/>
      <c r="IWF44" s="45"/>
      <c r="IWG44" s="45"/>
      <c r="IWH44" s="45"/>
      <c r="IWI44" s="45"/>
      <c r="IWJ44" s="45"/>
      <c r="IWK44" s="45"/>
      <c r="IWL44" s="45"/>
      <c r="IWM44" s="45"/>
      <c r="IWN44" s="45"/>
      <c r="IWO44" s="45"/>
      <c r="IWP44" s="45"/>
      <c r="IWQ44" s="45"/>
      <c r="IWR44" s="45"/>
      <c r="IWS44" s="45"/>
      <c r="IWT44" s="45"/>
      <c r="IWU44" s="45"/>
      <c r="IWV44" s="45"/>
      <c r="IWW44" s="45"/>
      <c r="IWX44" s="45"/>
      <c r="IWY44" s="45"/>
      <c r="IWZ44" s="45"/>
      <c r="IXA44" s="45"/>
      <c r="IXB44" s="45"/>
      <c r="IXC44" s="45"/>
      <c r="IXD44" s="45"/>
      <c r="IXE44" s="45"/>
      <c r="IXF44" s="45"/>
      <c r="IXG44" s="45"/>
      <c r="IXH44" s="45"/>
      <c r="IXI44" s="45"/>
      <c r="IXJ44" s="45"/>
      <c r="IXK44" s="45"/>
      <c r="IXL44" s="45"/>
      <c r="IXM44" s="45"/>
      <c r="IXN44" s="45"/>
      <c r="IXO44" s="45"/>
      <c r="IXP44" s="45"/>
      <c r="IXQ44" s="45"/>
      <c r="IXR44" s="45"/>
      <c r="IXS44" s="45"/>
      <c r="IXT44" s="45"/>
      <c r="IXU44" s="45"/>
      <c r="IXV44" s="45"/>
      <c r="IXW44" s="45"/>
      <c r="IXX44" s="45"/>
      <c r="IXY44" s="45"/>
      <c r="IXZ44" s="45"/>
      <c r="IYA44" s="45"/>
      <c r="IYB44" s="45"/>
      <c r="IYC44" s="45"/>
      <c r="IYD44" s="45"/>
      <c r="IYE44" s="45"/>
      <c r="IYF44" s="45"/>
      <c r="IYG44" s="45"/>
      <c r="IYH44" s="45"/>
      <c r="IYI44" s="45"/>
      <c r="IYJ44" s="45"/>
      <c r="IYK44" s="45"/>
      <c r="IYL44" s="45"/>
      <c r="IYM44" s="45"/>
      <c r="IYN44" s="45"/>
      <c r="IYO44" s="45"/>
      <c r="IYP44" s="45"/>
      <c r="IYQ44" s="45"/>
      <c r="IYR44" s="45"/>
      <c r="IYS44" s="45"/>
      <c r="IYT44" s="45"/>
      <c r="IYU44" s="45"/>
      <c r="IYV44" s="45"/>
      <c r="IYW44" s="45"/>
      <c r="IYX44" s="45"/>
      <c r="IYY44" s="45"/>
      <c r="IYZ44" s="45"/>
      <c r="IZA44" s="45"/>
      <c r="IZB44" s="45"/>
      <c r="IZC44" s="45"/>
      <c r="IZD44" s="45"/>
      <c r="IZE44" s="45"/>
      <c r="IZF44" s="45"/>
      <c r="IZG44" s="45"/>
      <c r="IZH44" s="45"/>
      <c r="IZI44" s="45"/>
      <c r="IZJ44" s="45"/>
      <c r="IZK44" s="45"/>
      <c r="IZL44" s="45"/>
      <c r="IZM44" s="45"/>
      <c r="IZN44" s="45"/>
      <c r="IZO44" s="45"/>
      <c r="IZP44" s="45"/>
      <c r="IZQ44" s="45"/>
      <c r="IZR44" s="45"/>
      <c r="IZS44" s="45"/>
      <c r="IZT44" s="45"/>
      <c r="IZU44" s="45"/>
      <c r="IZV44" s="45"/>
      <c r="IZW44" s="45"/>
      <c r="IZX44" s="45"/>
      <c r="IZY44" s="45"/>
      <c r="IZZ44" s="45"/>
      <c r="JAA44" s="45"/>
      <c r="JAB44" s="45"/>
      <c r="JAC44" s="45"/>
      <c r="JAD44" s="45"/>
      <c r="JAE44" s="45"/>
      <c r="JAF44" s="45"/>
      <c r="JAG44" s="45"/>
      <c r="JAH44" s="45"/>
      <c r="JAI44" s="45"/>
      <c r="JAJ44" s="45"/>
      <c r="JAK44" s="45"/>
      <c r="JAL44" s="45"/>
      <c r="JAM44" s="45"/>
      <c r="JAN44" s="45"/>
      <c r="JAO44" s="45"/>
      <c r="JAP44" s="45"/>
      <c r="JAQ44" s="45"/>
      <c r="JAR44" s="45"/>
      <c r="JAS44" s="45"/>
      <c r="JAT44" s="45"/>
      <c r="JAU44" s="45"/>
      <c r="JAV44" s="45"/>
      <c r="JAW44" s="45"/>
      <c r="JAX44" s="45"/>
      <c r="JAY44" s="45"/>
      <c r="JAZ44" s="45"/>
      <c r="JBA44" s="45"/>
      <c r="JBB44" s="45"/>
      <c r="JBC44" s="45"/>
      <c r="JBD44" s="45"/>
      <c r="JBE44" s="45"/>
      <c r="JBF44" s="45"/>
      <c r="JBG44" s="45"/>
      <c r="JBH44" s="45"/>
      <c r="JBI44" s="45"/>
      <c r="JBJ44" s="45"/>
      <c r="JBK44" s="45"/>
      <c r="JBL44" s="45"/>
      <c r="JBM44" s="45"/>
      <c r="JBN44" s="45"/>
      <c r="JBO44" s="45"/>
      <c r="JBP44" s="45"/>
      <c r="JBQ44" s="45"/>
      <c r="JBR44" s="45"/>
      <c r="JBS44" s="45"/>
      <c r="JBT44" s="45"/>
      <c r="JBU44" s="45"/>
      <c r="JBV44" s="45"/>
      <c r="JBW44" s="45"/>
      <c r="JBX44" s="45"/>
      <c r="JBY44" s="45"/>
      <c r="JBZ44" s="45"/>
      <c r="JCA44" s="45"/>
      <c r="JCB44" s="45"/>
      <c r="JCC44" s="45"/>
      <c r="JCD44" s="45"/>
      <c r="JCE44" s="45"/>
      <c r="JCF44" s="45"/>
      <c r="JCG44" s="45"/>
      <c r="JCH44" s="45"/>
      <c r="JCI44" s="45"/>
      <c r="JCJ44" s="45"/>
      <c r="JCK44" s="45"/>
      <c r="JCL44" s="45"/>
      <c r="JCM44" s="45"/>
      <c r="JCN44" s="45"/>
      <c r="JCO44" s="45"/>
      <c r="JCP44" s="45"/>
      <c r="JCQ44" s="45"/>
      <c r="JCR44" s="45"/>
      <c r="JCS44" s="45"/>
      <c r="JCT44" s="45"/>
      <c r="JCU44" s="45"/>
      <c r="JCV44" s="45"/>
      <c r="JCW44" s="45"/>
      <c r="JCX44" s="45"/>
      <c r="JCY44" s="45"/>
      <c r="JCZ44" s="45"/>
      <c r="JDA44" s="45"/>
      <c r="JDB44" s="45"/>
      <c r="JDC44" s="45"/>
      <c r="JDD44" s="45"/>
      <c r="JDE44" s="45"/>
      <c r="JDF44" s="45"/>
      <c r="JDG44" s="45"/>
      <c r="JDH44" s="45"/>
      <c r="JDI44" s="45"/>
      <c r="JDJ44" s="45"/>
      <c r="JDK44" s="45"/>
      <c r="JDL44" s="45"/>
      <c r="JDM44" s="45"/>
      <c r="JDN44" s="45"/>
      <c r="JDO44" s="45"/>
      <c r="JDP44" s="45"/>
      <c r="JDQ44" s="45"/>
      <c r="JDR44" s="45"/>
      <c r="JDS44" s="45"/>
      <c r="JDT44" s="45"/>
      <c r="JDU44" s="45"/>
      <c r="JDV44" s="45"/>
      <c r="JDW44" s="45"/>
      <c r="JDX44" s="45"/>
      <c r="JDY44" s="45"/>
      <c r="JDZ44" s="45"/>
      <c r="JEA44" s="45"/>
      <c r="JEB44" s="45"/>
      <c r="JEC44" s="45"/>
      <c r="JED44" s="45"/>
      <c r="JEE44" s="45"/>
      <c r="JEF44" s="45"/>
      <c r="JEG44" s="45"/>
      <c r="JEH44" s="45"/>
      <c r="JEI44" s="45"/>
      <c r="JEJ44" s="45"/>
      <c r="JEK44" s="45"/>
      <c r="JEL44" s="45"/>
      <c r="JEM44" s="45"/>
      <c r="JEN44" s="45"/>
      <c r="JEO44" s="45"/>
      <c r="JEP44" s="45"/>
      <c r="JEQ44" s="45"/>
      <c r="JER44" s="45"/>
      <c r="JES44" s="45"/>
      <c r="JET44" s="45"/>
      <c r="JEU44" s="45"/>
      <c r="JEV44" s="45"/>
      <c r="JEW44" s="45"/>
      <c r="JEX44" s="45"/>
      <c r="JEY44" s="45"/>
      <c r="JEZ44" s="45"/>
      <c r="JFA44" s="45"/>
      <c r="JFB44" s="45"/>
      <c r="JFC44" s="45"/>
      <c r="JFD44" s="45"/>
      <c r="JFE44" s="45"/>
      <c r="JFF44" s="45"/>
      <c r="JFG44" s="45"/>
      <c r="JFH44" s="45"/>
      <c r="JFI44" s="45"/>
      <c r="JFJ44" s="45"/>
      <c r="JFK44" s="45"/>
      <c r="JFL44" s="45"/>
      <c r="JFM44" s="45"/>
      <c r="JFN44" s="45"/>
      <c r="JFO44" s="45"/>
      <c r="JFP44" s="45"/>
      <c r="JFQ44" s="45"/>
      <c r="JFR44" s="45"/>
      <c r="JFS44" s="45"/>
      <c r="JFT44" s="45"/>
      <c r="JFU44" s="45"/>
      <c r="JFV44" s="45"/>
      <c r="JFW44" s="45"/>
      <c r="JFX44" s="45"/>
      <c r="JFY44" s="45"/>
      <c r="JFZ44" s="45"/>
      <c r="JGA44" s="45"/>
      <c r="JGB44" s="45"/>
      <c r="JGC44" s="45"/>
      <c r="JGD44" s="45"/>
      <c r="JGE44" s="45"/>
      <c r="JGF44" s="45"/>
      <c r="JGG44" s="45"/>
      <c r="JGH44" s="45"/>
      <c r="JGI44" s="45"/>
      <c r="JGJ44" s="45"/>
      <c r="JGK44" s="45"/>
      <c r="JGL44" s="45"/>
      <c r="JGM44" s="45"/>
      <c r="JGN44" s="45"/>
      <c r="JGO44" s="45"/>
      <c r="JGP44" s="45"/>
      <c r="JGQ44" s="45"/>
      <c r="JGR44" s="45"/>
      <c r="JGS44" s="45"/>
      <c r="JGT44" s="45"/>
      <c r="JGU44" s="45"/>
      <c r="JGV44" s="45"/>
      <c r="JGW44" s="45"/>
      <c r="JGX44" s="45"/>
      <c r="JGY44" s="45"/>
      <c r="JGZ44" s="45"/>
      <c r="JHA44" s="45"/>
      <c r="JHB44" s="45"/>
      <c r="JHC44" s="45"/>
      <c r="JHD44" s="45"/>
      <c r="JHE44" s="45"/>
      <c r="JHF44" s="45"/>
      <c r="JHG44" s="45"/>
      <c r="JHH44" s="45"/>
      <c r="JHI44" s="45"/>
      <c r="JHJ44" s="45"/>
      <c r="JHK44" s="45"/>
      <c r="JHL44" s="45"/>
      <c r="JHM44" s="45"/>
      <c r="JHN44" s="45"/>
      <c r="JHO44" s="45"/>
      <c r="JHP44" s="45"/>
      <c r="JHQ44" s="45"/>
      <c r="JHR44" s="45"/>
      <c r="JHS44" s="45"/>
      <c r="JHT44" s="45"/>
      <c r="JHU44" s="45"/>
      <c r="JHV44" s="45"/>
      <c r="JHW44" s="45"/>
      <c r="JHX44" s="45"/>
      <c r="JHY44" s="45"/>
      <c r="JHZ44" s="45"/>
      <c r="JIA44" s="45"/>
      <c r="JIB44" s="45"/>
      <c r="JIC44" s="45"/>
      <c r="JID44" s="45"/>
      <c r="JIE44" s="45"/>
      <c r="JIF44" s="45"/>
      <c r="JIG44" s="45"/>
      <c r="JIH44" s="45"/>
      <c r="JII44" s="45"/>
      <c r="JIJ44" s="45"/>
      <c r="JIK44" s="45"/>
      <c r="JIL44" s="45"/>
      <c r="JIM44" s="45"/>
      <c r="JIN44" s="45"/>
      <c r="JIO44" s="45"/>
      <c r="JIP44" s="45"/>
      <c r="JIQ44" s="45"/>
      <c r="JIR44" s="45"/>
      <c r="JIS44" s="45"/>
      <c r="JIT44" s="45"/>
      <c r="JIU44" s="45"/>
      <c r="JIV44" s="45"/>
      <c r="JIW44" s="45"/>
      <c r="JIX44" s="45"/>
      <c r="JIY44" s="45"/>
      <c r="JIZ44" s="45"/>
      <c r="JJA44" s="45"/>
      <c r="JJB44" s="45"/>
      <c r="JJC44" s="45"/>
      <c r="JJD44" s="45"/>
      <c r="JJE44" s="45"/>
      <c r="JJF44" s="45"/>
      <c r="JJG44" s="45"/>
      <c r="JJH44" s="45"/>
      <c r="JJI44" s="45"/>
      <c r="JJJ44" s="45"/>
      <c r="JJK44" s="45"/>
      <c r="JJL44" s="45"/>
      <c r="JJM44" s="45"/>
      <c r="JJN44" s="45"/>
      <c r="JJO44" s="45"/>
      <c r="JJP44" s="45"/>
      <c r="JJQ44" s="45"/>
      <c r="JJR44" s="45"/>
      <c r="JJS44" s="45"/>
      <c r="JJT44" s="45"/>
      <c r="JJU44" s="45"/>
      <c r="JJV44" s="45"/>
      <c r="JJW44" s="45"/>
      <c r="JJX44" s="45"/>
      <c r="JJY44" s="45"/>
      <c r="JJZ44" s="45"/>
      <c r="JKA44" s="45"/>
      <c r="JKB44" s="45"/>
      <c r="JKC44" s="45"/>
      <c r="JKD44" s="45"/>
      <c r="JKE44" s="45"/>
      <c r="JKF44" s="45"/>
      <c r="JKG44" s="45"/>
      <c r="JKH44" s="45"/>
      <c r="JKI44" s="45"/>
      <c r="JKJ44" s="45"/>
      <c r="JKK44" s="45"/>
      <c r="JKL44" s="45"/>
      <c r="JKM44" s="45"/>
      <c r="JKN44" s="45"/>
      <c r="JKO44" s="45"/>
      <c r="JKP44" s="45"/>
      <c r="JKQ44" s="45"/>
      <c r="JKR44" s="45"/>
      <c r="JKS44" s="45"/>
      <c r="JKT44" s="45"/>
      <c r="JKU44" s="45"/>
      <c r="JKV44" s="45"/>
      <c r="JKW44" s="45"/>
      <c r="JKX44" s="45"/>
      <c r="JKY44" s="45"/>
      <c r="JKZ44" s="45"/>
      <c r="JLA44" s="45"/>
      <c r="JLB44" s="45"/>
      <c r="JLC44" s="45"/>
      <c r="JLD44" s="45"/>
      <c r="JLE44" s="45"/>
      <c r="JLF44" s="45"/>
      <c r="JLG44" s="45"/>
      <c r="JLH44" s="45"/>
      <c r="JLI44" s="45"/>
      <c r="JLJ44" s="45"/>
      <c r="JLK44" s="45"/>
      <c r="JLL44" s="45"/>
      <c r="JLM44" s="45"/>
      <c r="JLN44" s="45"/>
      <c r="JLO44" s="45"/>
      <c r="JLP44" s="45"/>
      <c r="JLQ44" s="45"/>
      <c r="JLR44" s="45"/>
      <c r="JLS44" s="45"/>
      <c r="JLT44" s="45"/>
      <c r="JLU44" s="45"/>
      <c r="JLV44" s="45"/>
      <c r="JLW44" s="45"/>
      <c r="JLX44" s="45"/>
      <c r="JLY44" s="45"/>
      <c r="JLZ44" s="45"/>
      <c r="JMA44" s="45"/>
      <c r="JMB44" s="45"/>
      <c r="JMC44" s="45"/>
      <c r="JMD44" s="45"/>
      <c r="JME44" s="45"/>
      <c r="JMF44" s="45"/>
      <c r="JMG44" s="45"/>
      <c r="JMH44" s="45"/>
      <c r="JMI44" s="45"/>
      <c r="JMJ44" s="45"/>
      <c r="JMK44" s="45"/>
      <c r="JML44" s="45"/>
      <c r="JMM44" s="45"/>
      <c r="JMN44" s="45"/>
      <c r="JMO44" s="45"/>
      <c r="JMP44" s="45"/>
      <c r="JMQ44" s="45"/>
      <c r="JMR44" s="45"/>
      <c r="JMS44" s="45"/>
      <c r="JMT44" s="45"/>
      <c r="JMU44" s="45"/>
      <c r="JMV44" s="45"/>
      <c r="JMW44" s="45"/>
      <c r="JMX44" s="45"/>
      <c r="JMY44" s="45"/>
      <c r="JMZ44" s="45"/>
      <c r="JNA44" s="45"/>
      <c r="JNB44" s="45"/>
      <c r="JNC44" s="45"/>
      <c r="JND44" s="45"/>
      <c r="JNE44" s="45"/>
      <c r="JNF44" s="45"/>
      <c r="JNG44" s="45"/>
      <c r="JNH44" s="45"/>
      <c r="JNI44" s="45"/>
      <c r="JNJ44" s="45"/>
      <c r="JNK44" s="45"/>
      <c r="JNL44" s="45"/>
      <c r="JNM44" s="45"/>
      <c r="JNN44" s="45"/>
      <c r="JNO44" s="45"/>
      <c r="JNP44" s="45"/>
      <c r="JNQ44" s="45"/>
      <c r="JNR44" s="45"/>
      <c r="JNS44" s="45"/>
      <c r="JNT44" s="45"/>
      <c r="JNU44" s="45"/>
      <c r="JNV44" s="45"/>
      <c r="JNW44" s="45"/>
      <c r="JNX44" s="45"/>
      <c r="JNY44" s="45"/>
      <c r="JNZ44" s="45"/>
      <c r="JOA44" s="45"/>
      <c r="JOB44" s="45"/>
      <c r="JOC44" s="45"/>
      <c r="JOD44" s="45"/>
      <c r="JOE44" s="45"/>
      <c r="JOF44" s="45"/>
      <c r="JOG44" s="45"/>
      <c r="JOH44" s="45"/>
      <c r="JOI44" s="45"/>
      <c r="JOJ44" s="45"/>
      <c r="JOK44" s="45"/>
      <c r="JOL44" s="45"/>
      <c r="JOM44" s="45"/>
      <c r="JON44" s="45"/>
      <c r="JOO44" s="45"/>
      <c r="JOP44" s="45"/>
      <c r="JOQ44" s="45"/>
      <c r="JOR44" s="45"/>
      <c r="JOS44" s="45"/>
      <c r="JOT44" s="45"/>
      <c r="JOU44" s="45"/>
      <c r="JOV44" s="45"/>
      <c r="JOW44" s="45"/>
      <c r="JOX44" s="45"/>
      <c r="JOY44" s="45"/>
      <c r="JOZ44" s="45"/>
      <c r="JPA44" s="45"/>
      <c r="JPB44" s="45"/>
      <c r="JPC44" s="45"/>
      <c r="JPD44" s="45"/>
      <c r="JPE44" s="45"/>
      <c r="JPF44" s="45"/>
      <c r="JPG44" s="45"/>
      <c r="JPH44" s="45"/>
      <c r="JPI44" s="45"/>
      <c r="JPJ44" s="45"/>
      <c r="JPK44" s="45"/>
      <c r="JPL44" s="45"/>
      <c r="JPM44" s="45"/>
      <c r="JPN44" s="45"/>
      <c r="JPO44" s="45"/>
      <c r="JPP44" s="45"/>
      <c r="JPQ44" s="45"/>
      <c r="JPR44" s="45"/>
      <c r="JPS44" s="45"/>
      <c r="JPT44" s="45"/>
      <c r="JPU44" s="45"/>
      <c r="JPV44" s="45"/>
      <c r="JPW44" s="45"/>
      <c r="JPX44" s="45"/>
      <c r="JPY44" s="45"/>
      <c r="JPZ44" s="45"/>
      <c r="JQA44" s="45"/>
      <c r="JQB44" s="45"/>
      <c r="JQC44" s="45"/>
      <c r="JQD44" s="45"/>
      <c r="JQE44" s="45"/>
      <c r="JQF44" s="45"/>
      <c r="JQG44" s="45"/>
      <c r="JQH44" s="45"/>
      <c r="JQI44" s="45"/>
      <c r="JQJ44" s="45"/>
      <c r="JQK44" s="45"/>
      <c r="JQL44" s="45"/>
      <c r="JQM44" s="45"/>
      <c r="JQN44" s="45"/>
      <c r="JQO44" s="45"/>
      <c r="JQP44" s="45"/>
      <c r="JQQ44" s="45"/>
      <c r="JQR44" s="45"/>
      <c r="JQS44" s="45"/>
      <c r="JQT44" s="45"/>
      <c r="JQU44" s="45"/>
      <c r="JQV44" s="45"/>
      <c r="JQW44" s="45"/>
      <c r="JQX44" s="45"/>
      <c r="JQY44" s="45"/>
      <c r="JQZ44" s="45"/>
      <c r="JRA44" s="45"/>
      <c r="JRB44" s="45"/>
      <c r="JRC44" s="45"/>
      <c r="JRD44" s="45"/>
      <c r="JRE44" s="45"/>
      <c r="JRF44" s="45"/>
      <c r="JRG44" s="45"/>
      <c r="JRH44" s="45"/>
      <c r="JRI44" s="45"/>
      <c r="JRJ44" s="45"/>
      <c r="JRK44" s="45"/>
      <c r="JRL44" s="45"/>
      <c r="JRM44" s="45"/>
      <c r="JRN44" s="45"/>
      <c r="JRO44" s="45"/>
      <c r="JRP44" s="45"/>
      <c r="JRQ44" s="45"/>
      <c r="JRR44" s="45"/>
      <c r="JRS44" s="45"/>
      <c r="JRT44" s="45"/>
      <c r="JRU44" s="45"/>
      <c r="JRV44" s="45"/>
      <c r="JRW44" s="45"/>
      <c r="JRX44" s="45"/>
      <c r="JRY44" s="45"/>
      <c r="JRZ44" s="45"/>
      <c r="JSA44" s="45"/>
      <c r="JSB44" s="45"/>
      <c r="JSC44" s="45"/>
      <c r="JSD44" s="45"/>
      <c r="JSE44" s="45"/>
      <c r="JSF44" s="45"/>
      <c r="JSG44" s="45"/>
      <c r="JSH44" s="45"/>
      <c r="JSI44" s="45"/>
      <c r="JSJ44" s="45"/>
      <c r="JSK44" s="45"/>
      <c r="JSL44" s="45"/>
      <c r="JSM44" s="45"/>
      <c r="JSN44" s="45"/>
      <c r="JSO44" s="45"/>
      <c r="JSP44" s="45"/>
      <c r="JSQ44" s="45"/>
      <c r="JSR44" s="45"/>
      <c r="JSS44" s="45"/>
      <c r="JST44" s="45"/>
      <c r="JSU44" s="45"/>
      <c r="JSV44" s="45"/>
      <c r="JSW44" s="45"/>
      <c r="JSX44" s="45"/>
      <c r="JSY44" s="45"/>
      <c r="JSZ44" s="45"/>
      <c r="JTA44" s="45"/>
      <c r="JTB44" s="45"/>
      <c r="JTC44" s="45"/>
      <c r="JTD44" s="45"/>
      <c r="JTE44" s="45"/>
      <c r="JTF44" s="45"/>
      <c r="JTG44" s="45"/>
      <c r="JTH44" s="45"/>
      <c r="JTI44" s="45"/>
      <c r="JTJ44" s="45"/>
      <c r="JTK44" s="45"/>
      <c r="JTL44" s="45"/>
      <c r="JTM44" s="45"/>
      <c r="JTN44" s="45"/>
      <c r="JTO44" s="45"/>
      <c r="JTP44" s="45"/>
      <c r="JTQ44" s="45"/>
      <c r="JTR44" s="45"/>
      <c r="JTS44" s="45"/>
      <c r="JTT44" s="45"/>
      <c r="JTU44" s="45"/>
      <c r="JTV44" s="45"/>
      <c r="JTW44" s="45"/>
      <c r="JTX44" s="45"/>
      <c r="JTY44" s="45"/>
      <c r="JTZ44" s="45"/>
      <c r="JUA44" s="45"/>
      <c r="JUB44" s="45"/>
      <c r="JUC44" s="45"/>
      <c r="JUD44" s="45"/>
      <c r="JUE44" s="45"/>
      <c r="JUF44" s="45"/>
      <c r="JUG44" s="45"/>
      <c r="JUH44" s="45"/>
      <c r="JUI44" s="45"/>
      <c r="JUJ44" s="45"/>
      <c r="JUK44" s="45"/>
      <c r="JUL44" s="45"/>
      <c r="JUM44" s="45"/>
      <c r="JUN44" s="45"/>
      <c r="JUO44" s="45"/>
      <c r="JUP44" s="45"/>
      <c r="JUQ44" s="45"/>
      <c r="JUR44" s="45"/>
      <c r="JUS44" s="45"/>
      <c r="JUT44" s="45"/>
      <c r="JUU44" s="45"/>
      <c r="JUV44" s="45"/>
      <c r="JUW44" s="45"/>
      <c r="JUX44" s="45"/>
      <c r="JUY44" s="45"/>
      <c r="JUZ44" s="45"/>
      <c r="JVA44" s="45"/>
      <c r="JVB44" s="45"/>
      <c r="JVC44" s="45"/>
      <c r="JVD44" s="45"/>
      <c r="JVE44" s="45"/>
      <c r="JVF44" s="45"/>
      <c r="JVG44" s="45"/>
      <c r="JVH44" s="45"/>
      <c r="JVI44" s="45"/>
      <c r="JVJ44" s="45"/>
      <c r="JVK44" s="45"/>
      <c r="JVL44" s="45"/>
      <c r="JVM44" s="45"/>
      <c r="JVN44" s="45"/>
      <c r="JVO44" s="45"/>
      <c r="JVP44" s="45"/>
      <c r="JVQ44" s="45"/>
      <c r="JVR44" s="45"/>
      <c r="JVS44" s="45"/>
      <c r="JVT44" s="45"/>
      <c r="JVU44" s="45"/>
      <c r="JVV44" s="45"/>
      <c r="JVW44" s="45"/>
      <c r="JVX44" s="45"/>
      <c r="JVY44" s="45"/>
      <c r="JVZ44" s="45"/>
      <c r="JWA44" s="45"/>
      <c r="JWB44" s="45"/>
      <c r="JWC44" s="45"/>
      <c r="JWD44" s="45"/>
      <c r="JWE44" s="45"/>
      <c r="JWF44" s="45"/>
      <c r="JWG44" s="45"/>
      <c r="JWH44" s="45"/>
      <c r="JWI44" s="45"/>
      <c r="JWJ44" s="45"/>
      <c r="JWK44" s="45"/>
      <c r="JWL44" s="45"/>
      <c r="JWM44" s="45"/>
      <c r="JWN44" s="45"/>
      <c r="JWO44" s="45"/>
      <c r="JWP44" s="45"/>
      <c r="JWQ44" s="45"/>
      <c r="JWR44" s="45"/>
      <c r="JWS44" s="45"/>
      <c r="JWT44" s="45"/>
      <c r="JWU44" s="45"/>
      <c r="JWV44" s="45"/>
      <c r="JWW44" s="45"/>
      <c r="JWX44" s="45"/>
      <c r="JWY44" s="45"/>
      <c r="JWZ44" s="45"/>
      <c r="JXA44" s="45"/>
      <c r="JXB44" s="45"/>
      <c r="JXC44" s="45"/>
      <c r="JXD44" s="45"/>
      <c r="JXE44" s="45"/>
      <c r="JXF44" s="45"/>
      <c r="JXG44" s="45"/>
      <c r="JXH44" s="45"/>
      <c r="JXI44" s="45"/>
      <c r="JXJ44" s="45"/>
      <c r="JXK44" s="45"/>
      <c r="JXL44" s="45"/>
      <c r="JXM44" s="45"/>
      <c r="JXN44" s="45"/>
      <c r="JXO44" s="45"/>
      <c r="JXP44" s="45"/>
      <c r="JXQ44" s="45"/>
      <c r="JXR44" s="45"/>
      <c r="JXS44" s="45"/>
      <c r="JXT44" s="45"/>
      <c r="JXU44" s="45"/>
      <c r="JXV44" s="45"/>
      <c r="JXW44" s="45"/>
      <c r="JXX44" s="45"/>
      <c r="JXY44" s="45"/>
      <c r="JXZ44" s="45"/>
      <c r="JYA44" s="45"/>
      <c r="JYB44" s="45"/>
      <c r="JYC44" s="45"/>
      <c r="JYD44" s="45"/>
      <c r="JYE44" s="45"/>
      <c r="JYF44" s="45"/>
      <c r="JYG44" s="45"/>
      <c r="JYH44" s="45"/>
      <c r="JYI44" s="45"/>
      <c r="JYJ44" s="45"/>
      <c r="JYK44" s="45"/>
      <c r="JYL44" s="45"/>
      <c r="JYM44" s="45"/>
      <c r="JYN44" s="45"/>
      <c r="JYO44" s="45"/>
      <c r="JYP44" s="45"/>
      <c r="JYQ44" s="45"/>
      <c r="JYR44" s="45"/>
      <c r="JYS44" s="45"/>
      <c r="JYT44" s="45"/>
      <c r="JYU44" s="45"/>
      <c r="JYV44" s="45"/>
      <c r="JYW44" s="45"/>
      <c r="JYX44" s="45"/>
      <c r="JYY44" s="45"/>
      <c r="JYZ44" s="45"/>
      <c r="JZA44" s="45"/>
      <c r="JZB44" s="45"/>
      <c r="JZC44" s="45"/>
      <c r="JZD44" s="45"/>
      <c r="JZE44" s="45"/>
      <c r="JZF44" s="45"/>
      <c r="JZG44" s="45"/>
      <c r="JZH44" s="45"/>
      <c r="JZI44" s="45"/>
      <c r="JZJ44" s="45"/>
      <c r="JZK44" s="45"/>
      <c r="JZL44" s="45"/>
      <c r="JZM44" s="45"/>
      <c r="JZN44" s="45"/>
      <c r="JZO44" s="45"/>
      <c r="JZP44" s="45"/>
      <c r="JZQ44" s="45"/>
      <c r="JZR44" s="45"/>
      <c r="JZS44" s="45"/>
      <c r="JZT44" s="45"/>
      <c r="JZU44" s="45"/>
      <c r="JZV44" s="45"/>
      <c r="JZW44" s="45"/>
      <c r="JZX44" s="45"/>
      <c r="JZY44" s="45"/>
      <c r="JZZ44" s="45"/>
      <c r="KAA44" s="45"/>
      <c r="KAB44" s="45"/>
      <c r="KAC44" s="45"/>
      <c r="KAD44" s="45"/>
      <c r="KAE44" s="45"/>
      <c r="KAF44" s="45"/>
      <c r="KAG44" s="45"/>
      <c r="KAH44" s="45"/>
      <c r="KAI44" s="45"/>
      <c r="KAJ44" s="45"/>
      <c r="KAK44" s="45"/>
      <c r="KAL44" s="45"/>
      <c r="KAM44" s="45"/>
      <c r="KAN44" s="45"/>
      <c r="KAO44" s="45"/>
      <c r="KAP44" s="45"/>
      <c r="KAQ44" s="45"/>
      <c r="KAR44" s="45"/>
      <c r="KAS44" s="45"/>
      <c r="KAT44" s="45"/>
      <c r="KAU44" s="45"/>
      <c r="KAV44" s="45"/>
      <c r="KAW44" s="45"/>
      <c r="KAX44" s="45"/>
      <c r="KAY44" s="45"/>
      <c r="KAZ44" s="45"/>
      <c r="KBA44" s="45"/>
      <c r="KBB44" s="45"/>
      <c r="KBC44" s="45"/>
      <c r="KBD44" s="45"/>
      <c r="KBE44" s="45"/>
      <c r="KBF44" s="45"/>
      <c r="KBG44" s="45"/>
      <c r="KBH44" s="45"/>
      <c r="KBI44" s="45"/>
      <c r="KBJ44" s="45"/>
      <c r="KBK44" s="45"/>
      <c r="KBL44" s="45"/>
      <c r="KBM44" s="45"/>
      <c r="KBN44" s="45"/>
      <c r="KBO44" s="45"/>
      <c r="KBP44" s="45"/>
      <c r="KBQ44" s="45"/>
      <c r="KBR44" s="45"/>
      <c r="KBS44" s="45"/>
      <c r="KBT44" s="45"/>
      <c r="KBU44" s="45"/>
      <c r="KBV44" s="45"/>
      <c r="KBW44" s="45"/>
      <c r="KBX44" s="45"/>
      <c r="KBY44" s="45"/>
      <c r="KBZ44" s="45"/>
      <c r="KCA44" s="45"/>
      <c r="KCB44" s="45"/>
      <c r="KCC44" s="45"/>
      <c r="KCD44" s="45"/>
      <c r="KCE44" s="45"/>
      <c r="KCF44" s="45"/>
      <c r="KCG44" s="45"/>
      <c r="KCH44" s="45"/>
      <c r="KCI44" s="45"/>
      <c r="KCJ44" s="45"/>
      <c r="KCK44" s="45"/>
      <c r="KCL44" s="45"/>
      <c r="KCM44" s="45"/>
      <c r="KCN44" s="45"/>
      <c r="KCO44" s="45"/>
      <c r="KCP44" s="45"/>
      <c r="KCQ44" s="45"/>
      <c r="KCR44" s="45"/>
      <c r="KCS44" s="45"/>
      <c r="KCT44" s="45"/>
      <c r="KCU44" s="45"/>
      <c r="KCV44" s="45"/>
      <c r="KCW44" s="45"/>
      <c r="KCX44" s="45"/>
      <c r="KCY44" s="45"/>
      <c r="KCZ44" s="45"/>
      <c r="KDA44" s="45"/>
      <c r="KDB44" s="45"/>
      <c r="KDC44" s="45"/>
      <c r="KDD44" s="45"/>
      <c r="KDE44" s="45"/>
      <c r="KDF44" s="45"/>
      <c r="KDG44" s="45"/>
      <c r="KDH44" s="45"/>
      <c r="KDI44" s="45"/>
      <c r="KDJ44" s="45"/>
      <c r="KDK44" s="45"/>
      <c r="KDL44" s="45"/>
      <c r="KDM44" s="45"/>
      <c r="KDN44" s="45"/>
      <c r="KDO44" s="45"/>
      <c r="KDP44" s="45"/>
      <c r="KDQ44" s="45"/>
      <c r="KDR44" s="45"/>
      <c r="KDS44" s="45"/>
      <c r="KDT44" s="45"/>
      <c r="KDU44" s="45"/>
      <c r="KDV44" s="45"/>
      <c r="KDW44" s="45"/>
      <c r="KDX44" s="45"/>
      <c r="KDY44" s="45"/>
      <c r="KDZ44" s="45"/>
      <c r="KEA44" s="45"/>
      <c r="KEB44" s="45"/>
      <c r="KEC44" s="45"/>
      <c r="KED44" s="45"/>
      <c r="KEE44" s="45"/>
      <c r="KEF44" s="45"/>
      <c r="KEG44" s="45"/>
      <c r="KEH44" s="45"/>
      <c r="KEI44" s="45"/>
      <c r="KEJ44" s="45"/>
      <c r="KEK44" s="45"/>
      <c r="KEL44" s="45"/>
      <c r="KEM44" s="45"/>
      <c r="KEN44" s="45"/>
      <c r="KEO44" s="45"/>
      <c r="KEP44" s="45"/>
      <c r="KEQ44" s="45"/>
      <c r="KER44" s="45"/>
      <c r="KES44" s="45"/>
      <c r="KET44" s="45"/>
      <c r="KEU44" s="45"/>
      <c r="KEV44" s="45"/>
      <c r="KEW44" s="45"/>
      <c r="KEX44" s="45"/>
      <c r="KEY44" s="45"/>
      <c r="KEZ44" s="45"/>
      <c r="KFA44" s="45"/>
      <c r="KFB44" s="45"/>
      <c r="KFC44" s="45"/>
      <c r="KFD44" s="45"/>
      <c r="KFE44" s="45"/>
      <c r="KFF44" s="45"/>
      <c r="KFG44" s="45"/>
      <c r="KFH44" s="45"/>
      <c r="KFI44" s="45"/>
      <c r="KFJ44" s="45"/>
      <c r="KFK44" s="45"/>
      <c r="KFL44" s="45"/>
      <c r="KFM44" s="45"/>
      <c r="KFN44" s="45"/>
      <c r="KFO44" s="45"/>
      <c r="KFP44" s="45"/>
      <c r="KFQ44" s="45"/>
      <c r="KFR44" s="45"/>
      <c r="KFS44" s="45"/>
      <c r="KFT44" s="45"/>
      <c r="KFU44" s="45"/>
      <c r="KFV44" s="45"/>
      <c r="KFW44" s="45"/>
      <c r="KFX44" s="45"/>
      <c r="KFY44" s="45"/>
      <c r="KFZ44" s="45"/>
      <c r="KGA44" s="45"/>
      <c r="KGB44" s="45"/>
      <c r="KGC44" s="45"/>
      <c r="KGD44" s="45"/>
      <c r="KGE44" s="45"/>
      <c r="KGF44" s="45"/>
      <c r="KGG44" s="45"/>
      <c r="KGH44" s="45"/>
      <c r="KGI44" s="45"/>
      <c r="KGJ44" s="45"/>
      <c r="KGK44" s="45"/>
      <c r="KGL44" s="45"/>
      <c r="KGM44" s="45"/>
      <c r="KGN44" s="45"/>
      <c r="KGO44" s="45"/>
      <c r="KGP44" s="45"/>
      <c r="KGQ44" s="45"/>
      <c r="KGR44" s="45"/>
      <c r="KGS44" s="45"/>
      <c r="KGT44" s="45"/>
      <c r="KGU44" s="45"/>
      <c r="KGV44" s="45"/>
      <c r="KGW44" s="45"/>
      <c r="KGX44" s="45"/>
      <c r="KGY44" s="45"/>
      <c r="KGZ44" s="45"/>
      <c r="KHA44" s="45"/>
      <c r="KHB44" s="45"/>
      <c r="KHC44" s="45"/>
      <c r="KHD44" s="45"/>
      <c r="KHE44" s="45"/>
      <c r="KHF44" s="45"/>
      <c r="KHG44" s="45"/>
      <c r="KHH44" s="45"/>
      <c r="KHI44" s="45"/>
      <c r="KHJ44" s="45"/>
      <c r="KHK44" s="45"/>
      <c r="KHL44" s="45"/>
      <c r="KHM44" s="45"/>
      <c r="KHN44" s="45"/>
      <c r="KHO44" s="45"/>
      <c r="KHP44" s="45"/>
      <c r="KHQ44" s="45"/>
      <c r="KHR44" s="45"/>
      <c r="KHS44" s="45"/>
      <c r="KHT44" s="45"/>
      <c r="KHU44" s="45"/>
      <c r="KHV44" s="45"/>
      <c r="KHW44" s="45"/>
      <c r="KHX44" s="45"/>
      <c r="KHY44" s="45"/>
      <c r="KHZ44" s="45"/>
      <c r="KIA44" s="45"/>
      <c r="KIB44" s="45"/>
      <c r="KIC44" s="45"/>
      <c r="KID44" s="45"/>
      <c r="KIE44" s="45"/>
      <c r="KIF44" s="45"/>
      <c r="KIG44" s="45"/>
      <c r="KIH44" s="45"/>
      <c r="KII44" s="45"/>
      <c r="KIJ44" s="45"/>
      <c r="KIK44" s="45"/>
      <c r="KIL44" s="45"/>
      <c r="KIM44" s="45"/>
      <c r="KIN44" s="45"/>
      <c r="KIO44" s="45"/>
      <c r="KIP44" s="45"/>
      <c r="KIQ44" s="45"/>
      <c r="KIR44" s="45"/>
      <c r="KIS44" s="45"/>
      <c r="KIT44" s="45"/>
      <c r="KIU44" s="45"/>
      <c r="KIV44" s="45"/>
      <c r="KIW44" s="45"/>
      <c r="KIX44" s="45"/>
      <c r="KIY44" s="45"/>
      <c r="KIZ44" s="45"/>
      <c r="KJA44" s="45"/>
      <c r="KJB44" s="45"/>
      <c r="KJC44" s="45"/>
      <c r="KJD44" s="45"/>
      <c r="KJE44" s="45"/>
      <c r="KJF44" s="45"/>
      <c r="KJG44" s="45"/>
      <c r="KJH44" s="45"/>
      <c r="KJI44" s="45"/>
      <c r="KJJ44" s="45"/>
      <c r="KJK44" s="45"/>
      <c r="KJL44" s="45"/>
      <c r="KJM44" s="45"/>
      <c r="KJN44" s="45"/>
      <c r="KJO44" s="45"/>
      <c r="KJP44" s="45"/>
      <c r="KJQ44" s="45"/>
      <c r="KJR44" s="45"/>
      <c r="KJS44" s="45"/>
      <c r="KJT44" s="45"/>
      <c r="KJU44" s="45"/>
      <c r="KJV44" s="45"/>
      <c r="KJW44" s="45"/>
      <c r="KJX44" s="45"/>
      <c r="KJY44" s="45"/>
      <c r="KJZ44" s="45"/>
      <c r="KKA44" s="45"/>
      <c r="KKB44" s="45"/>
      <c r="KKC44" s="45"/>
      <c r="KKD44" s="45"/>
      <c r="KKE44" s="45"/>
      <c r="KKF44" s="45"/>
      <c r="KKG44" s="45"/>
      <c r="KKH44" s="45"/>
      <c r="KKI44" s="45"/>
      <c r="KKJ44" s="45"/>
      <c r="KKK44" s="45"/>
      <c r="KKL44" s="45"/>
      <c r="KKM44" s="45"/>
      <c r="KKN44" s="45"/>
      <c r="KKO44" s="45"/>
      <c r="KKP44" s="45"/>
      <c r="KKQ44" s="45"/>
      <c r="KKR44" s="45"/>
      <c r="KKS44" s="45"/>
      <c r="KKT44" s="45"/>
      <c r="KKU44" s="45"/>
      <c r="KKV44" s="45"/>
      <c r="KKW44" s="45"/>
      <c r="KKX44" s="45"/>
      <c r="KKY44" s="45"/>
      <c r="KKZ44" s="45"/>
      <c r="KLA44" s="45"/>
      <c r="KLB44" s="45"/>
      <c r="KLC44" s="45"/>
      <c r="KLD44" s="45"/>
      <c r="KLE44" s="45"/>
      <c r="KLF44" s="45"/>
      <c r="KLG44" s="45"/>
      <c r="KLH44" s="45"/>
      <c r="KLI44" s="45"/>
      <c r="KLJ44" s="45"/>
      <c r="KLK44" s="45"/>
      <c r="KLL44" s="45"/>
      <c r="KLM44" s="45"/>
      <c r="KLN44" s="45"/>
      <c r="KLO44" s="45"/>
      <c r="KLP44" s="45"/>
      <c r="KLQ44" s="45"/>
      <c r="KLR44" s="45"/>
      <c r="KLS44" s="45"/>
      <c r="KLT44" s="45"/>
      <c r="KLU44" s="45"/>
      <c r="KLV44" s="45"/>
      <c r="KLW44" s="45"/>
      <c r="KLX44" s="45"/>
      <c r="KLY44" s="45"/>
      <c r="KLZ44" s="45"/>
      <c r="KMA44" s="45"/>
      <c r="KMB44" s="45"/>
      <c r="KMC44" s="45"/>
      <c r="KMD44" s="45"/>
      <c r="KME44" s="45"/>
      <c r="KMF44" s="45"/>
      <c r="KMG44" s="45"/>
      <c r="KMH44" s="45"/>
      <c r="KMI44" s="45"/>
      <c r="KMJ44" s="45"/>
      <c r="KMK44" s="45"/>
      <c r="KML44" s="45"/>
      <c r="KMM44" s="45"/>
      <c r="KMN44" s="45"/>
      <c r="KMO44" s="45"/>
      <c r="KMP44" s="45"/>
      <c r="KMQ44" s="45"/>
      <c r="KMR44" s="45"/>
      <c r="KMS44" s="45"/>
      <c r="KMT44" s="45"/>
      <c r="KMU44" s="45"/>
      <c r="KMV44" s="45"/>
      <c r="KMW44" s="45"/>
      <c r="KMX44" s="45"/>
      <c r="KMY44" s="45"/>
      <c r="KMZ44" s="45"/>
      <c r="KNA44" s="45"/>
      <c r="KNB44" s="45"/>
      <c r="KNC44" s="45"/>
      <c r="KND44" s="45"/>
      <c r="KNE44" s="45"/>
      <c r="KNF44" s="45"/>
      <c r="KNG44" s="45"/>
      <c r="KNH44" s="45"/>
      <c r="KNI44" s="45"/>
      <c r="KNJ44" s="45"/>
      <c r="KNK44" s="45"/>
      <c r="KNL44" s="45"/>
      <c r="KNM44" s="45"/>
      <c r="KNN44" s="45"/>
      <c r="KNO44" s="45"/>
      <c r="KNP44" s="45"/>
      <c r="KNQ44" s="45"/>
      <c r="KNR44" s="45"/>
      <c r="KNS44" s="45"/>
      <c r="KNT44" s="45"/>
      <c r="KNU44" s="45"/>
      <c r="KNV44" s="45"/>
      <c r="KNW44" s="45"/>
      <c r="KNX44" s="45"/>
      <c r="KNY44" s="45"/>
      <c r="KNZ44" s="45"/>
      <c r="KOA44" s="45"/>
      <c r="KOB44" s="45"/>
      <c r="KOC44" s="45"/>
      <c r="KOD44" s="45"/>
      <c r="KOE44" s="45"/>
      <c r="KOF44" s="45"/>
      <c r="KOG44" s="45"/>
      <c r="KOH44" s="45"/>
      <c r="KOI44" s="45"/>
      <c r="KOJ44" s="45"/>
      <c r="KOK44" s="45"/>
      <c r="KOL44" s="45"/>
      <c r="KOM44" s="45"/>
      <c r="KON44" s="45"/>
      <c r="KOO44" s="45"/>
      <c r="KOP44" s="45"/>
      <c r="KOQ44" s="45"/>
      <c r="KOR44" s="45"/>
      <c r="KOS44" s="45"/>
      <c r="KOT44" s="45"/>
      <c r="KOU44" s="45"/>
      <c r="KOV44" s="45"/>
      <c r="KOW44" s="45"/>
      <c r="KOX44" s="45"/>
      <c r="KOY44" s="45"/>
      <c r="KOZ44" s="45"/>
      <c r="KPA44" s="45"/>
      <c r="KPB44" s="45"/>
      <c r="KPC44" s="45"/>
      <c r="KPD44" s="45"/>
      <c r="KPE44" s="45"/>
      <c r="KPF44" s="45"/>
      <c r="KPG44" s="45"/>
      <c r="KPH44" s="45"/>
      <c r="KPI44" s="45"/>
      <c r="KPJ44" s="45"/>
      <c r="KPK44" s="45"/>
      <c r="KPL44" s="45"/>
      <c r="KPM44" s="45"/>
      <c r="KPN44" s="45"/>
      <c r="KPO44" s="45"/>
      <c r="KPP44" s="45"/>
      <c r="KPQ44" s="45"/>
      <c r="KPR44" s="45"/>
      <c r="KPS44" s="45"/>
      <c r="KPT44" s="45"/>
      <c r="KPU44" s="45"/>
      <c r="KPV44" s="45"/>
      <c r="KPW44" s="45"/>
      <c r="KPX44" s="45"/>
      <c r="KPY44" s="45"/>
      <c r="KPZ44" s="45"/>
      <c r="KQA44" s="45"/>
      <c r="KQB44" s="45"/>
      <c r="KQC44" s="45"/>
      <c r="KQD44" s="45"/>
      <c r="KQE44" s="45"/>
      <c r="KQF44" s="45"/>
      <c r="KQG44" s="45"/>
      <c r="KQH44" s="45"/>
      <c r="KQI44" s="45"/>
      <c r="KQJ44" s="45"/>
      <c r="KQK44" s="45"/>
      <c r="KQL44" s="45"/>
      <c r="KQM44" s="45"/>
      <c r="KQN44" s="45"/>
      <c r="KQO44" s="45"/>
      <c r="KQP44" s="45"/>
      <c r="KQQ44" s="45"/>
      <c r="KQR44" s="45"/>
      <c r="KQS44" s="45"/>
      <c r="KQT44" s="45"/>
      <c r="KQU44" s="45"/>
      <c r="KQV44" s="45"/>
      <c r="KQW44" s="45"/>
      <c r="KQX44" s="45"/>
      <c r="KQY44" s="45"/>
      <c r="KQZ44" s="45"/>
      <c r="KRA44" s="45"/>
      <c r="KRB44" s="45"/>
      <c r="KRC44" s="45"/>
      <c r="KRD44" s="45"/>
      <c r="KRE44" s="45"/>
      <c r="KRF44" s="45"/>
      <c r="KRG44" s="45"/>
      <c r="KRH44" s="45"/>
      <c r="KRI44" s="45"/>
      <c r="KRJ44" s="45"/>
      <c r="KRK44" s="45"/>
      <c r="KRL44" s="45"/>
      <c r="KRM44" s="45"/>
      <c r="KRN44" s="45"/>
      <c r="KRO44" s="45"/>
      <c r="KRP44" s="45"/>
      <c r="KRQ44" s="45"/>
      <c r="KRR44" s="45"/>
      <c r="KRS44" s="45"/>
      <c r="KRT44" s="45"/>
      <c r="KRU44" s="45"/>
      <c r="KRV44" s="45"/>
      <c r="KRW44" s="45"/>
      <c r="KRX44" s="45"/>
      <c r="KRY44" s="45"/>
      <c r="KRZ44" s="45"/>
      <c r="KSA44" s="45"/>
      <c r="KSB44" s="45"/>
      <c r="KSC44" s="45"/>
      <c r="KSD44" s="45"/>
      <c r="KSE44" s="45"/>
      <c r="KSF44" s="45"/>
      <c r="KSG44" s="45"/>
      <c r="KSH44" s="45"/>
      <c r="KSI44" s="45"/>
      <c r="KSJ44" s="45"/>
      <c r="KSK44" s="45"/>
      <c r="KSL44" s="45"/>
      <c r="KSM44" s="45"/>
      <c r="KSN44" s="45"/>
      <c r="KSO44" s="45"/>
      <c r="KSP44" s="45"/>
      <c r="KSQ44" s="45"/>
      <c r="KSR44" s="45"/>
      <c r="KSS44" s="45"/>
      <c r="KST44" s="45"/>
      <c r="KSU44" s="45"/>
      <c r="KSV44" s="45"/>
      <c r="KSW44" s="45"/>
      <c r="KSX44" s="45"/>
      <c r="KSY44" s="45"/>
      <c r="KSZ44" s="45"/>
      <c r="KTA44" s="45"/>
      <c r="KTB44" s="45"/>
      <c r="KTC44" s="45"/>
      <c r="KTD44" s="45"/>
      <c r="KTE44" s="45"/>
      <c r="KTF44" s="45"/>
      <c r="KTG44" s="45"/>
      <c r="KTH44" s="45"/>
      <c r="KTI44" s="45"/>
      <c r="KTJ44" s="45"/>
      <c r="KTK44" s="45"/>
      <c r="KTL44" s="45"/>
      <c r="KTM44" s="45"/>
      <c r="KTN44" s="45"/>
      <c r="KTO44" s="45"/>
      <c r="KTP44" s="45"/>
      <c r="KTQ44" s="45"/>
      <c r="KTR44" s="45"/>
      <c r="KTS44" s="45"/>
      <c r="KTT44" s="45"/>
      <c r="KTU44" s="45"/>
      <c r="KTV44" s="45"/>
      <c r="KTW44" s="45"/>
      <c r="KTX44" s="45"/>
      <c r="KTY44" s="45"/>
      <c r="KTZ44" s="45"/>
      <c r="KUA44" s="45"/>
      <c r="KUB44" s="45"/>
      <c r="KUC44" s="45"/>
      <c r="KUD44" s="45"/>
      <c r="KUE44" s="45"/>
      <c r="KUF44" s="45"/>
      <c r="KUG44" s="45"/>
      <c r="KUH44" s="45"/>
      <c r="KUI44" s="45"/>
      <c r="KUJ44" s="45"/>
      <c r="KUK44" s="45"/>
      <c r="KUL44" s="45"/>
      <c r="KUM44" s="45"/>
      <c r="KUN44" s="45"/>
      <c r="KUO44" s="45"/>
      <c r="KUP44" s="45"/>
      <c r="KUQ44" s="45"/>
      <c r="KUR44" s="45"/>
      <c r="KUS44" s="45"/>
      <c r="KUT44" s="45"/>
      <c r="KUU44" s="45"/>
      <c r="KUV44" s="45"/>
      <c r="KUW44" s="45"/>
      <c r="KUX44" s="45"/>
      <c r="KUY44" s="45"/>
      <c r="KUZ44" s="45"/>
      <c r="KVA44" s="45"/>
      <c r="KVB44" s="45"/>
      <c r="KVC44" s="45"/>
      <c r="KVD44" s="45"/>
      <c r="KVE44" s="45"/>
      <c r="KVF44" s="45"/>
      <c r="KVG44" s="45"/>
      <c r="KVH44" s="45"/>
      <c r="KVI44" s="45"/>
      <c r="KVJ44" s="45"/>
      <c r="KVK44" s="45"/>
      <c r="KVL44" s="45"/>
      <c r="KVM44" s="45"/>
      <c r="KVN44" s="45"/>
      <c r="KVO44" s="45"/>
      <c r="KVP44" s="45"/>
      <c r="KVQ44" s="45"/>
      <c r="KVR44" s="45"/>
      <c r="KVS44" s="45"/>
      <c r="KVT44" s="45"/>
      <c r="KVU44" s="45"/>
      <c r="KVV44" s="45"/>
      <c r="KVW44" s="45"/>
      <c r="KVX44" s="45"/>
      <c r="KVY44" s="45"/>
      <c r="KVZ44" s="45"/>
      <c r="KWA44" s="45"/>
      <c r="KWB44" s="45"/>
      <c r="KWC44" s="45"/>
      <c r="KWD44" s="45"/>
      <c r="KWE44" s="45"/>
      <c r="KWF44" s="45"/>
      <c r="KWG44" s="45"/>
      <c r="KWH44" s="45"/>
      <c r="KWI44" s="45"/>
      <c r="KWJ44" s="45"/>
      <c r="KWK44" s="45"/>
      <c r="KWL44" s="45"/>
      <c r="KWM44" s="45"/>
      <c r="KWN44" s="45"/>
      <c r="KWO44" s="45"/>
      <c r="KWP44" s="45"/>
      <c r="KWQ44" s="45"/>
      <c r="KWR44" s="45"/>
      <c r="KWS44" s="45"/>
      <c r="KWT44" s="45"/>
      <c r="KWU44" s="45"/>
      <c r="KWV44" s="45"/>
      <c r="KWW44" s="45"/>
      <c r="KWX44" s="45"/>
      <c r="KWY44" s="45"/>
      <c r="KWZ44" s="45"/>
      <c r="KXA44" s="45"/>
      <c r="KXB44" s="45"/>
      <c r="KXC44" s="45"/>
      <c r="KXD44" s="45"/>
      <c r="KXE44" s="45"/>
      <c r="KXF44" s="45"/>
      <c r="KXG44" s="45"/>
      <c r="KXH44" s="45"/>
      <c r="KXI44" s="45"/>
      <c r="KXJ44" s="45"/>
      <c r="KXK44" s="45"/>
      <c r="KXL44" s="45"/>
      <c r="KXM44" s="45"/>
      <c r="KXN44" s="45"/>
      <c r="KXO44" s="45"/>
      <c r="KXP44" s="45"/>
      <c r="KXQ44" s="45"/>
      <c r="KXR44" s="45"/>
      <c r="KXS44" s="45"/>
      <c r="KXT44" s="45"/>
      <c r="KXU44" s="45"/>
      <c r="KXV44" s="45"/>
      <c r="KXW44" s="45"/>
      <c r="KXX44" s="45"/>
      <c r="KXY44" s="45"/>
      <c r="KXZ44" s="45"/>
      <c r="KYA44" s="45"/>
      <c r="KYB44" s="45"/>
      <c r="KYC44" s="45"/>
      <c r="KYD44" s="45"/>
      <c r="KYE44" s="45"/>
      <c r="KYF44" s="45"/>
      <c r="KYG44" s="45"/>
      <c r="KYH44" s="45"/>
      <c r="KYI44" s="45"/>
      <c r="KYJ44" s="45"/>
      <c r="KYK44" s="45"/>
      <c r="KYL44" s="45"/>
      <c r="KYM44" s="45"/>
      <c r="KYN44" s="45"/>
      <c r="KYO44" s="45"/>
      <c r="KYP44" s="45"/>
      <c r="KYQ44" s="45"/>
      <c r="KYR44" s="45"/>
      <c r="KYS44" s="45"/>
      <c r="KYT44" s="45"/>
      <c r="KYU44" s="45"/>
      <c r="KYV44" s="45"/>
      <c r="KYW44" s="45"/>
      <c r="KYX44" s="45"/>
      <c r="KYY44" s="45"/>
      <c r="KYZ44" s="45"/>
      <c r="KZA44" s="45"/>
      <c r="KZB44" s="45"/>
      <c r="KZC44" s="45"/>
      <c r="KZD44" s="45"/>
      <c r="KZE44" s="45"/>
      <c r="KZF44" s="45"/>
      <c r="KZG44" s="45"/>
      <c r="KZH44" s="45"/>
      <c r="KZI44" s="45"/>
      <c r="KZJ44" s="45"/>
      <c r="KZK44" s="45"/>
      <c r="KZL44" s="45"/>
      <c r="KZM44" s="45"/>
      <c r="KZN44" s="45"/>
      <c r="KZO44" s="45"/>
      <c r="KZP44" s="45"/>
      <c r="KZQ44" s="45"/>
      <c r="KZR44" s="45"/>
      <c r="KZS44" s="45"/>
      <c r="KZT44" s="45"/>
      <c r="KZU44" s="45"/>
      <c r="KZV44" s="45"/>
      <c r="KZW44" s="45"/>
      <c r="KZX44" s="45"/>
      <c r="KZY44" s="45"/>
      <c r="KZZ44" s="45"/>
      <c r="LAA44" s="45"/>
      <c r="LAB44" s="45"/>
      <c r="LAC44" s="45"/>
      <c r="LAD44" s="45"/>
      <c r="LAE44" s="45"/>
      <c r="LAF44" s="45"/>
      <c r="LAG44" s="45"/>
      <c r="LAH44" s="45"/>
      <c r="LAI44" s="45"/>
      <c r="LAJ44" s="45"/>
      <c r="LAK44" s="45"/>
      <c r="LAL44" s="45"/>
      <c r="LAM44" s="45"/>
      <c r="LAN44" s="45"/>
      <c r="LAO44" s="45"/>
      <c r="LAP44" s="45"/>
      <c r="LAQ44" s="45"/>
      <c r="LAR44" s="45"/>
      <c r="LAS44" s="45"/>
      <c r="LAT44" s="45"/>
      <c r="LAU44" s="45"/>
      <c r="LAV44" s="45"/>
      <c r="LAW44" s="45"/>
      <c r="LAX44" s="45"/>
      <c r="LAY44" s="45"/>
      <c r="LAZ44" s="45"/>
      <c r="LBA44" s="45"/>
      <c r="LBB44" s="45"/>
      <c r="LBC44" s="45"/>
      <c r="LBD44" s="45"/>
      <c r="LBE44" s="45"/>
      <c r="LBF44" s="45"/>
      <c r="LBG44" s="45"/>
      <c r="LBH44" s="45"/>
      <c r="LBI44" s="45"/>
      <c r="LBJ44" s="45"/>
      <c r="LBK44" s="45"/>
      <c r="LBL44" s="45"/>
      <c r="LBM44" s="45"/>
      <c r="LBN44" s="45"/>
      <c r="LBO44" s="45"/>
      <c r="LBP44" s="45"/>
      <c r="LBQ44" s="45"/>
      <c r="LBR44" s="45"/>
      <c r="LBS44" s="45"/>
      <c r="LBT44" s="45"/>
      <c r="LBU44" s="45"/>
      <c r="LBV44" s="45"/>
      <c r="LBW44" s="45"/>
      <c r="LBX44" s="45"/>
      <c r="LBY44" s="45"/>
      <c r="LBZ44" s="45"/>
      <c r="LCA44" s="45"/>
      <c r="LCB44" s="45"/>
      <c r="LCC44" s="45"/>
      <c r="LCD44" s="45"/>
      <c r="LCE44" s="45"/>
      <c r="LCF44" s="45"/>
      <c r="LCG44" s="45"/>
      <c r="LCH44" s="45"/>
      <c r="LCI44" s="45"/>
      <c r="LCJ44" s="45"/>
      <c r="LCK44" s="45"/>
      <c r="LCL44" s="45"/>
      <c r="LCM44" s="45"/>
      <c r="LCN44" s="45"/>
      <c r="LCO44" s="45"/>
      <c r="LCP44" s="45"/>
      <c r="LCQ44" s="45"/>
      <c r="LCR44" s="45"/>
      <c r="LCS44" s="45"/>
      <c r="LCT44" s="45"/>
      <c r="LCU44" s="45"/>
      <c r="LCV44" s="45"/>
      <c r="LCW44" s="45"/>
      <c r="LCX44" s="45"/>
      <c r="LCY44" s="45"/>
      <c r="LCZ44" s="45"/>
      <c r="LDA44" s="45"/>
      <c r="LDB44" s="45"/>
      <c r="LDC44" s="45"/>
      <c r="LDD44" s="45"/>
      <c r="LDE44" s="45"/>
      <c r="LDF44" s="45"/>
      <c r="LDG44" s="45"/>
      <c r="LDH44" s="45"/>
      <c r="LDI44" s="45"/>
      <c r="LDJ44" s="45"/>
      <c r="LDK44" s="45"/>
      <c r="LDL44" s="45"/>
      <c r="LDM44" s="45"/>
      <c r="LDN44" s="45"/>
      <c r="LDO44" s="45"/>
      <c r="LDP44" s="45"/>
      <c r="LDQ44" s="45"/>
      <c r="LDR44" s="45"/>
      <c r="LDS44" s="45"/>
      <c r="LDT44" s="45"/>
      <c r="LDU44" s="45"/>
      <c r="LDV44" s="45"/>
      <c r="LDW44" s="45"/>
      <c r="LDX44" s="45"/>
      <c r="LDY44" s="45"/>
      <c r="LDZ44" s="45"/>
      <c r="LEA44" s="45"/>
      <c r="LEB44" s="45"/>
      <c r="LEC44" s="45"/>
      <c r="LED44" s="45"/>
      <c r="LEE44" s="45"/>
      <c r="LEF44" s="45"/>
      <c r="LEG44" s="45"/>
      <c r="LEH44" s="45"/>
      <c r="LEI44" s="45"/>
      <c r="LEJ44" s="45"/>
      <c r="LEK44" s="45"/>
      <c r="LEL44" s="45"/>
      <c r="LEM44" s="45"/>
      <c r="LEN44" s="45"/>
      <c r="LEO44" s="45"/>
      <c r="LEP44" s="45"/>
      <c r="LEQ44" s="45"/>
      <c r="LER44" s="45"/>
      <c r="LES44" s="45"/>
      <c r="LET44" s="45"/>
      <c r="LEU44" s="45"/>
      <c r="LEV44" s="45"/>
      <c r="LEW44" s="45"/>
      <c r="LEX44" s="45"/>
      <c r="LEY44" s="45"/>
      <c r="LEZ44" s="45"/>
      <c r="LFA44" s="45"/>
      <c r="LFB44" s="45"/>
      <c r="LFC44" s="45"/>
      <c r="LFD44" s="45"/>
      <c r="LFE44" s="45"/>
      <c r="LFF44" s="45"/>
      <c r="LFG44" s="45"/>
      <c r="LFH44" s="45"/>
      <c r="LFI44" s="45"/>
      <c r="LFJ44" s="45"/>
      <c r="LFK44" s="45"/>
      <c r="LFL44" s="45"/>
      <c r="LFM44" s="45"/>
      <c r="LFN44" s="45"/>
      <c r="LFO44" s="45"/>
      <c r="LFP44" s="45"/>
      <c r="LFQ44" s="45"/>
      <c r="LFR44" s="45"/>
      <c r="LFS44" s="45"/>
      <c r="LFT44" s="45"/>
      <c r="LFU44" s="45"/>
      <c r="LFV44" s="45"/>
      <c r="LFW44" s="45"/>
      <c r="LFX44" s="45"/>
      <c r="LFY44" s="45"/>
      <c r="LFZ44" s="45"/>
      <c r="LGA44" s="45"/>
      <c r="LGB44" s="45"/>
      <c r="LGC44" s="45"/>
      <c r="LGD44" s="45"/>
      <c r="LGE44" s="45"/>
      <c r="LGF44" s="45"/>
      <c r="LGG44" s="45"/>
      <c r="LGH44" s="45"/>
      <c r="LGI44" s="45"/>
      <c r="LGJ44" s="45"/>
      <c r="LGK44" s="45"/>
      <c r="LGL44" s="45"/>
      <c r="LGM44" s="45"/>
      <c r="LGN44" s="45"/>
      <c r="LGO44" s="45"/>
      <c r="LGP44" s="45"/>
      <c r="LGQ44" s="45"/>
      <c r="LGR44" s="45"/>
      <c r="LGS44" s="45"/>
      <c r="LGT44" s="45"/>
      <c r="LGU44" s="45"/>
      <c r="LGV44" s="45"/>
      <c r="LGW44" s="45"/>
      <c r="LGX44" s="45"/>
      <c r="LGY44" s="45"/>
      <c r="LGZ44" s="45"/>
      <c r="LHA44" s="45"/>
      <c r="LHB44" s="45"/>
      <c r="LHC44" s="45"/>
      <c r="LHD44" s="45"/>
      <c r="LHE44" s="45"/>
      <c r="LHF44" s="45"/>
      <c r="LHG44" s="45"/>
      <c r="LHH44" s="45"/>
      <c r="LHI44" s="45"/>
      <c r="LHJ44" s="45"/>
      <c r="LHK44" s="45"/>
      <c r="LHL44" s="45"/>
      <c r="LHM44" s="45"/>
      <c r="LHN44" s="45"/>
      <c r="LHO44" s="45"/>
      <c r="LHP44" s="45"/>
      <c r="LHQ44" s="45"/>
      <c r="LHR44" s="45"/>
      <c r="LHS44" s="45"/>
      <c r="LHT44" s="45"/>
      <c r="LHU44" s="45"/>
      <c r="LHV44" s="45"/>
      <c r="LHW44" s="45"/>
      <c r="LHX44" s="45"/>
      <c r="LHY44" s="45"/>
      <c r="LHZ44" s="45"/>
      <c r="LIA44" s="45"/>
      <c r="LIB44" s="45"/>
      <c r="LIC44" s="45"/>
      <c r="LID44" s="45"/>
      <c r="LIE44" s="45"/>
      <c r="LIF44" s="45"/>
      <c r="LIG44" s="45"/>
      <c r="LIH44" s="45"/>
      <c r="LII44" s="45"/>
      <c r="LIJ44" s="45"/>
      <c r="LIK44" s="45"/>
      <c r="LIL44" s="45"/>
      <c r="LIM44" s="45"/>
      <c r="LIN44" s="45"/>
      <c r="LIO44" s="45"/>
      <c r="LIP44" s="45"/>
      <c r="LIQ44" s="45"/>
      <c r="LIR44" s="45"/>
      <c r="LIS44" s="45"/>
      <c r="LIT44" s="45"/>
      <c r="LIU44" s="45"/>
      <c r="LIV44" s="45"/>
      <c r="LIW44" s="45"/>
      <c r="LIX44" s="45"/>
      <c r="LIY44" s="45"/>
      <c r="LIZ44" s="45"/>
      <c r="LJA44" s="45"/>
      <c r="LJB44" s="45"/>
      <c r="LJC44" s="45"/>
      <c r="LJD44" s="45"/>
      <c r="LJE44" s="45"/>
      <c r="LJF44" s="45"/>
      <c r="LJG44" s="45"/>
      <c r="LJH44" s="45"/>
      <c r="LJI44" s="45"/>
      <c r="LJJ44" s="45"/>
      <c r="LJK44" s="45"/>
      <c r="LJL44" s="45"/>
      <c r="LJM44" s="45"/>
      <c r="LJN44" s="45"/>
      <c r="LJO44" s="45"/>
      <c r="LJP44" s="45"/>
      <c r="LJQ44" s="45"/>
      <c r="LJR44" s="45"/>
      <c r="LJS44" s="45"/>
      <c r="LJT44" s="45"/>
      <c r="LJU44" s="45"/>
      <c r="LJV44" s="45"/>
      <c r="LJW44" s="45"/>
      <c r="LJX44" s="45"/>
      <c r="LJY44" s="45"/>
      <c r="LJZ44" s="45"/>
      <c r="LKA44" s="45"/>
      <c r="LKB44" s="45"/>
      <c r="LKC44" s="45"/>
      <c r="LKD44" s="45"/>
      <c r="LKE44" s="45"/>
      <c r="LKF44" s="45"/>
      <c r="LKG44" s="45"/>
      <c r="LKH44" s="45"/>
      <c r="LKI44" s="45"/>
      <c r="LKJ44" s="45"/>
      <c r="LKK44" s="45"/>
      <c r="LKL44" s="45"/>
      <c r="LKM44" s="45"/>
      <c r="LKN44" s="45"/>
      <c r="LKO44" s="45"/>
      <c r="LKP44" s="45"/>
      <c r="LKQ44" s="45"/>
      <c r="LKR44" s="45"/>
      <c r="LKS44" s="45"/>
      <c r="LKT44" s="45"/>
      <c r="LKU44" s="45"/>
      <c r="LKV44" s="45"/>
      <c r="LKW44" s="45"/>
      <c r="LKX44" s="45"/>
      <c r="LKY44" s="45"/>
      <c r="LKZ44" s="45"/>
      <c r="LLA44" s="45"/>
      <c r="LLB44" s="45"/>
      <c r="LLC44" s="45"/>
      <c r="LLD44" s="45"/>
      <c r="LLE44" s="45"/>
      <c r="LLF44" s="45"/>
      <c r="LLG44" s="45"/>
      <c r="LLH44" s="45"/>
      <c r="LLI44" s="45"/>
      <c r="LLJ44" s="45"/>
      <c r="LLK44" s="45"/>
      <c r="LLL44" s="45"/>
      <c r="LLM44" s="45"/>
      <c r="LLN44" s="45"/>
      <c r="LLO44" s="45"/>
      <c r="LLP44" s="45"/>
      <c r="LLQ44" s="45"/>
      <c r="LLR44" s="45"/>
      <c r="LLS44" s="45"/>
      <c r="LLT44" s="45"/>
      <c r="LLU44" s="45"/>
      <c r="LLV44" s="45"/>
      <c r="LLW44" s="45"/>
      <c r="LLX44" s="45"/>
      <c r="LLY44" s="45"/>
      <c r="LLZ44" s="45"/>
      <c r="LMA44" s="45"/>
      <c r="LMB44" s="45"/>
      <c r="LMC44" s="45"/>
      <c r="LMD44" s="45"/>
      <c r="LME44" s="45"/>
      <c r="LMF44" s="45"/>
      <c r="LMG44" s="45"/>
      <c r="LMH44" s="45"/>
      <c r="LMI44" s="45"/>
      <c r="LMJ44" s="45"/>
      <c r="LMK44" s="45"/>
      <c r="LML44" s="45"/>
      <c r="LMM44" s="45"/>
      <c r="LMN44" s="45"/>
      <c r="LMO44" s="45"/>
      <c r="LMP44" s="45"/>
      <c r="LMQ44" s="45"/>
      <c r="LMR44" s="45"/>
      <c r="LMS44" s="45"/>
      <c r="LMT44" s="45"/>
      <c r="LMU44" s="45"/>
      <c r="LMV44" s="45"/>
      <c r="LMW44" s="45"/>
      <c r="LMX44" s="45"/>
      <c r="LMY44" s="45"/>
      <c r="LMZ44" s="45"/>
      <c r="LNA44" s="45"/>
      <c r="LNB44" s="45"/>
      <c r="LNC44" s="45"/>
      <c r="LND44" s="45"/>
      <c r="LNE44" s="45"/>
      <c r="LNF44" s="45"/>
      <c r="LNG44" s="45"/>
      <c r="LNH44" s="45"/>
      <c r="LNI44" s="45"/>
      <c r="LNJ44" s="45"/>
      <c r="LNK44" s="45"/>
      <c r="LNL44" s="45"/>
      <c r="LNM44" s="45"/>
      <c r="LNN44" s="45"/>
      <c r="LNO44" s="45"/>
      <c r="LNP44" s="45"/>
      <c r="LNQ44" s="45"/>
      <c r="LNR44" s="45"/>
      <c r="LNS44" s="45"/>
      <c r="LNT44" s="45"/>
      <c r="LNU44" s="45"/>
      <c r="LNV44" s="45"/>
      <c r="LNW44" s="45"/>
      <c r="LNX44" s="45"/>
      <c r="LNY44" s="45"/>
      <c r="LNZ44" s="45"/>
      <c r="LOA44" s="45"/>
      <c r="LOB44" s="45"/>
      <c r="LOC44" s="45"/>
      <c r="LOD44" s="45"/>
      <c r="LOE44" s="45"/>
      <c r="LOF44" s="45"/>
      <c r="LOG44" s="45"/>
      <c r="LOH44" s="45"/>
      <c r="LOI44" s="45"/>
      <c r="LOJ44" s="45"/>
      <c r="LOK44" s="45"/>
      <c r="LOL44" s="45"/>
      <c r="LOM44" s="45"/>
      <c r="LON44" s="45"/>
      <c r="LOO44" s="45"/>
      <c r="LOP44" s="45"/>
      <c r="LOQ44" s="45"/>
      <c r="LOR44" s="45"/>
      <c r="LOS44" s="45"/>
      <c r="LOT44" s="45"/>
      <c r="LOU44" s="45"/>
      <c r="LOV44" s="45"/>
      <c r="LOW44" s="45"/>
      <c r="LOX44" s="45"/>
      <c r="LOY44" s="45"/>
      <c r="LOZ44" s="45"/>
      <c r="LPA44" s="45"/>
      <c r="LPB44" s="45"/>
      <c r="LPC44" s="45"/>
      <c r="LPD44" s="45"/>
      <c r="LPE44" s="45"/>
      <c r="LPF44" s="45"/>
      <c r="LPG44" s="45"/>
      <c r="LPH44" s="45"/>
      <c r="LPI44" s="45"/>
      <c r="LPJ44" s="45"/>
      <c r="LPK44" s="45"/>
      <c r="LPL44" s="45"/>
      <c r="LPM44" s="45"/>
      <c r="LPN44" s="45"/>
      <c r="LPO44" s="45"/>
      <c r="LPP44" s="45"/>
      <c r="LPQ44" s="45"/>
      <c r="LPR44" s="45"/>
      <c r="LPS44" s="45"/>
      <c r="LPT44" s="45"/>
      <c r="LPU44" s="45"/>
      <c r="LPV44" s="45"/>
      <c r="LPW44" s="45"/>
      <c r="LPX44" s="45"/>
      <c r="LPY44" s="45"/>
      <c r="LPZ44" s="45"/>
      <c r="LQA44" s="45"/>
      <c r="LQB44" s="45"/>
      <c r="LQC44" s="45"/>
      <c r="LQD44" s="45"/>
      <c r="LQE44" s="45"/>
      <c r="LQF44" s="45"/>
      <c r="LQG44" s="45"/>
      <c r="LQH44" s="45"/>
      <c r="LQI44" s="45"/>
      <c r="LQJ44" s="45"/>
      <c r="LQK44" s="45"/>
      <c r="LQL44" s="45"/>
      <c r="LQM44" s="45"/>
      <c r="LQN44" s="45"/>
      <c r="LQO44" s="45"/>
      <c r="LQP44" s="45"/>
      <c r="LQQ44" s="45"/>
      <c r="LQR44" s="45"/>
      <c r="LQS44" s="45"/>
      <c r="LQT44" s="45"/>
      <c r="LQU44" s="45"/>
      <c r="LQV44" s="45"/>
      <c r="LQW44" s="45"/>
      <c r="LQX44" s="45"/>
      <c r="LQY44" s="45"/>
      <c r="LQZ44" s="45"/>
      <c r="LRA44" s="45"/>
      <c r="LRB44" s="45"/>
      <c r="LRC44" s="45"/>
      <c r="LRD44" s="45"/>
      <c r="LRE44" s="45"/>
      <c r="LRF44" s="45"/>
      <c r="LRG44" s="45"/>
      <c r="LRH44" s="45"/>
      <c r="LRI44" s="45"/>
      <c r="LRJ44" s="45"/>
      <c r="LRK44" s="45"/>
      <c r="LRL44" s="45"/>
      <c r="LRM44" s="45"/>
      <c r="LRN44" s="45"/>
      <c r="LRO44" s="45"/>
      <c r="LRP44" s="45"/>
      <c r="LRQ44" s="45"/>
      <c r="LRR44" s="45"/>
      <c r="LRS44" s="45"/>
      <c r="LRT44" s="45"/>
      <c r="LRU44" s="45"/>
      <c r="LRV44" s="45"/>
      <c r="LRW44" s="45"/>
      <c r="LRX44" s="45"/>
      <c r="LRY44" s="45"/>
      <c r="LRZ44" s="45"/>
      <c r="LSA44" s="45"/>
      <c r="LSB44" s="45"/>
      <c r="LSC44" s="45"/>
      <c r="LSD44" s="45"/>
      <c r="LSE44" s="45"/>
      <c r="LSF44" s="45"/>
      <c r="LSG44" s="45"/>
      <c r="LSH44" s="45"/>
      <c r="LSI44" s="45"/>
      <c r="LSJ44" s="45"/>
      <c r="LSK44" s="45"/>
      <c r="LSL44" s="45"/>
      <c r="LSM44" s="45"/>
      <c r="LSN44" s="45"/>
      <c r="LSO44" s="45"/>
      <c r="LSP44" s="45"/>
      <c r="LSQ44" s="45"/>
      <c r="LSR44" s="45"/>
      <c r="LSS44" s="45"/>
      <c r="LST44" s="45"/>
      <c r="LSU44" s="45"/>
      <c r="LSV44" s="45"/>
      <c r="LSW44" s="45"/>
      <c r="LSX44" s="45"/>
      <c r="LSY44" s="45"/>
      <c r="LSZ44" s="45"/>
      <c r="LTA44" s="45"/>
      <c r="LTB44" s="45"/>
      <c r="LTC44" s="45"/>
      <c r="LTD44" s="45"/>
      <c r="LTE44" s="45"/>
      <c r="LTF44" s="45"/>
      <c r="LTG44" s="45"/>
      <c r="LTH44" s="45"/>
      <c r="LTI44" s="45"/>
      <c r="LTJ44" s="45"/>
      <c r="LTK44" s="45"/>
      <c r="LTL44" s="45"/>
      <c r="LTM44" s="45"/>
      <c r="LTN44" s="45"/>
      <c r="LTO44" s="45"/>
      <c r="LTP44" s="45"/>
      <c r="LTQ44" s="45"/>
      <c r="LTR44" s="45"/>
      <c r="LTS44" s="45"/>
      <c r="LTT44" s="45"/>
      <c r="LTU44" s="45"/>
      <c r="LTV44" s="45"/>
      <c r="LTW44" s="45"/>
      <c r="LTX44" s="45"/>
      <c r="LTY44" s="45"/>
      <c r="LTZ44" s="45"/>
      <c r="LUA44" s="45"/>
      <c r="LUB44" s="45"/>
      <c r="LUC44" s="45"/>
      <c r="LUD44" s="45"/>
      <c r="LUE44" s="45"/>
      <c r="LUF44" s="45"/>
      <c r="LUG44" s="45"/>
      <c r="LUH44" s="45"/>
      <c r="LUI44" s="45"/>
      <c r="LUJ44" s="45"/>
      <c r="LUK44" s="45"/>
      <c r="LUL44" s="45"/>
      <c r="LUM44" s="45"/>
      <c r="LUN44" s="45"/>
      <c r="LUO44" s="45"/>
      <c r="LUP44" s="45"/>
      <c r="LUQ44" s="45"/>
      <c r="LUR44" s="45"/>
      <c r="LUS44" s="45"/>
      <c r="LUT44" s="45"/>
      <c r="LUU44" s="45"/>
      <c r="LUV44" s="45"/>
      <c r="LUW44" s="45"/>
      <c r="LUX44" s="45"/>
      <c r="LUY44" s="45"/>
      <c r="LUZ44" s="45"/>
      <c r="LVA44" s="45"/>
      <c r="LVB44" s="45"/>
      <c r="LVC44" s="45"/>
      <c r="LVD44" s="45"/>
      <c r="LVE44" s="45"/>
      <c r="LVF44" s="45"/>
      <c r="LVG44" s="45"/>
      <c r="LVH44" s="45"/>
      <c r="LVI44" s="45"/>
      <c r="LVJ44" s="45"/>
      <c r="LVK44" s="45"/>
      <c r="LVL44" s="45"/>
      <c r="LVM44" s="45"/>
      <c r="LVN44" s="45"/>
      <c r="LVO44" s="45"/>
      <c r="LVP44" s="45"/>
      <c r="LVQ44" s="45"/>
      <c r="LVR44" s="45"/>
      <c r="LVS44" s="45"/>
      <c r="LVT44" s="45"/>
      <c r="LVU44" s="45"/>
      <c r="LVV44" s="45"/>
      <c r="LVW44" s="45"/>
      <c r="LVX44" s="45"/>
      <c r="LVY44" s="45"/>
      <c r="LVZ44" s="45"/>
      <c r="LWA44" s="45"/>
      <c r="LWB44" s="45"/>
      <c r="LWC44" s="45"/>
      <c r="LWD44" s="45"/>
      <c r="LWE44" s="45"/>
      <c r="LWF44" s="45"/>
      <c r="LWG44" s="45"/>
      <c r="LWH44" s="45"/>
      <c r="LWI44" s="45"/>
      <c r="LWJ44" s="45"/>
      <c r="LWK44" s="45"/>
      <c r="LWL44" s="45"/>
      <c r="LWM44" s="45"/>
      <c r="LWN44" s="45"/>
      <c r="LWO44" s="45"/>
      <c r="LWP44" s="45"/>
      <c r="LWQ44" s="45"/>
      <c r="LWR44" s="45"/>
      <c r="LWS44" s="45"/>
      <c r="LWT44" s="45"/>
      <c r="LWU44" s="45"/>
      <c r="LWV44" s="45"/>
      <c r="LWW44" s="45"/>
      <c r="LWX44" s="45"/>
      <c r="LWY44" s="45"/>
      <c r="LWZ44" s="45"/>
      <c r="LXA44" s="45"/>
      <c r="LXB44" s="45"/>
      <c r="LXC44" s="45"/>
      <c r="LXD44" s="45"/>
      <c r="LXE44" s="45"/>
      <c r="LXF44" s="45"/>
      <c r="LXG44" s="45"/>
      <c r="LXH44" s="45"/>
      <c r="LXI44" s="45"/>
      <c r="LXJ44" s="45"/>
      <c r="LXK44" s="45"/>
      <c r="LXL44" s="45"/>
      <c r="LXM44" s="45"/>
      <c r="LXN44" s="45"/>
      <c r="LXO44" s="45"/>
      <c r="LXP44" s="45"/>
      <c r="LXQ44" s="45"/>
      <c r="LXR44" s="45"/>
      <c r="LXS44" s="45"/>
      <c r="LXT44" s="45"/>
      <c r="LXU44" s="45"/>
      <c r="LXV44" s="45"/>
      <c r="LXW44" s="45"/>
      <c r="LXX44" s="45"/>
      <c r="LXY44" s="45"/>
      <c r="LXZ44" s="45"/>
      <c r="LYA44" s="45"/>
      <c r="LYB44" s="45"/>
      <c r="LYC44" s="45"/>
      <c r="LYD44" s="45"/>
      <c r="LYE44" s="45"/>
      <c r="LYF44" s="45"/>
      <c r="LYG44" s="45"/>
      <c r="LYH44" s="45"/>
      <c r="LYI44" s="45"/>
      <c r="LYJ44" s="45"/>
      <c r="LYK44" s="45"/>
      <c r="LYL44" s="45"/>
      <c r="LYM44" s="45"/>
      <c r="LYN44" s="45"/>
      <c r="LYO44" s="45"/>
      <c r="LYP44" s="45"/>
      <c r="LYQ44" s="45"/>
      <c r="LYR44" s="45"/>
      <c r="LYS44" s="45"/>
      <c r="LYT44" s="45"/>
      <c r="LYU44" s="45"/>
      <c r="LYV44" s="45"/>
      <c r="LYW44" s="45"/>
      <c r="LYX44" s="45"/>
      <c r="LYY44" s="45"/>
      <c r="LYZ44" s="45"/>
      <c r="LZA44" s="45"/>
      <c r="LZB44" s="45"/>
      <c r="LZC44" s="45"/>
      <c r="LZD44" s="45"/>
      <c r="LZE44" s="45"/>
      <c r="LZF44" s="45"/>
      <c r="LZG44" s="45"/>
      <c r="LZH44" s="45"/>
      <c r="LZI44" s="45"/>
      <c r="LZJ44" s="45"/>
      <c r="LZK44" s="45"/>
      <c r="LZL44" s="45"/>
      <c r="LZM44" s="45"/>
      <c r="LZN44" s="45"/>
      <c r="LZO44" s="45"/>
      <c r="LZP44" s="45"/>
      <c r="LZQ44" s="45"/>
      <c r="LZR44" s="45"/>
      <c r="LZS44" s="45"/>
      <c r="LZT44" s="45"/>
      <c r="LZU44" s="45"/>
      <c r="LZV44" s="45"/>
      <c r="LZW44" s="45"/>
      <c r="LZX44" s="45"/>
      <c r="LZY44" s="45"/>
      <c r="LZZ44" s="45"/>
      <c r="MAA44" s="45"/>
      <c r="MAB44" s="45"/>
      <c r="MAC44" s="45"/>
      <c r="MAD44" s="45"/>
      <c r="MAE44" s="45"/>
      <c r="MAF44" s="45"/>
      <c r="MAG44" s="45"/>
      <c r="MAH44" s="45"/>
      <c r="MAI44" s="45"/>
      <c r="MAJ44" s="45"/>
      <c r="MAK44" s="45"/>
      <c r="MAL44" s="45"/>
      <c r="MAM44" s="45"/>
      <c r="MAN44" s="45"/>
      <c r="MAO44" s="45"/>
      <c r="MAP44" s="45"/>
      <c r="MAQ44" s="45"/>
      <c r="MAR44" s="45"/>
      <c r="MAS44" s="45"/>
      <c r="MAT44" s="45"/>
      <c r="MAU44" s="45"/>
      <c r="MAV44" s="45"/>
      <c r="MAW44" s="45"/>
      <c r="MAX44" s="45"/>
      <c r="MAY44" s="45"/>
      <c r="MAZ44" s="45"/>
      <c r="MBA44" s="45"/>
      <c r="MBB44" s="45"/>
      <c r="MBC44" s="45"/>
      <c r="MBD44" s="45"/>
      <c r="MBE44" s="45"/>
      <c r="MBF44" s="45"/>
      <c r="MBG44" s="45"/>
      <c r="MBH44" s="45"/>
      <c r="MBI44" s="45"/>
      <c r="MBJ44" s="45"/>
      <c r="MBK44" s="45"/>
      <c r="MBL44" s="45"/>
      <c r="MBM44" s="45"/>
      <c r="MBN44" s="45"/>
      <c r="MBO44" s="45"/>
      <c r="MBP44" s="45"/>
      <c r="MBQ44" s="45"/>
      <c r="MBR44" s="45"/>
      <c r="MBS44" s="45"/>
      <c r="MBT44" s="45"/>
      <c r="MBU44" s="45"/>
      <c r="MBV44" s="45"/>
      <c r="MBW44" s="45"/>
      <c r="MBX44" s="45"/>
      <c r="MBY44" s="45"/>
      <c r="MBZ44" s="45"/>
      <c r="MCA44" s="45"/>
      <c r="MCB44" s="45"/>
      <c r="MCC44" s="45"/>
      <c r="MCD44" s="45"/>
      <c r="MCE44" s="45"/>
      <c r="MCF44" s="45"/>
      <c r="MCG44" s="45"/>
      <c r="MCH44" s="45"/>
      <c r="MCI44" s="45"/>
      <c r="MCJ44" s="45"/>
      <c r="MCK44" s="45"/>
      <c r="MCL44" s="45"/>
      <c r="MCM44" s="45"/>
      <c r="MCN44" s="45"/>
      <c r="MCO44" s="45"/>
      <c r="MCP44" s="45"/>
      <c r="MCQ44" s="45"/>
      <c r="MCR44" s="45"/>
      <c r="MCS44" s="45"/>
      <c r="MCT44" s="45"/>
      <c r="MCU44" s="45"/>
      <c r="MCV44" s="45"/>
      <c r="MCW44" s="45"/>
      <c r="MCX44" s="45"/>
      <c r="MCY44" s="45"/>
      <c r="MCZ44" s="45"/>
      <c r="MDA44" s="45"/>
      <c r="MDB44" s="45"/>
      <c r="MDC44" s="45"/>
      <c r="MDD44" s="45"/>
      <c r="MDE44" s="45"/>
      <c r="MDF44" s="45"/>
      <c r="MDG44" s="45"/>
      <c r="MDH44" s="45"/>
      <c r="MDI44" s="45"/>
      <c r="MDJ44" s="45"/>
      <c r="MDK44" s="45"/>
      <c r="MDL44" s="45"/>
      <c r="MDM44" s="45"/>
      <c r="MDN44" s="45"/>
      <c r="MDO44" s="45"/>
      <c r="MDP44" s="45"/>
      <c r="MDQ44" s="45"/>
      <c r="MDR44" s="45"/>
      <c r="MDS44" s="45"/>
      <c r="MDT44" s="45"/>
      <c r="MDU44" s="45"/>
      <c r="MDV44" s="45"/>
      <c r="MDW44" s="45"/>
      <c r="MDX44" s="45"/>
      <c r="MDY44" s="45"/>
      <c r="MDZ44" s="45"/>
      <c r="MEA44" s="45"/>
      <c r="MEB44" s="45"/>
      <c r="MEC44" s="45"/>
      <c r="MED44" s="45"/>
      <c r="MEE44" s="45"/>
      <c r="MEF44" s="45"/>
      <c r="MEG44" s="45"/>
      <c r="MEH44" s="45"/>
      <c r="MEI44" s="45"/>
      <c r="MEJ44" s="45"/>
      <c r="MEK44" s="45"/>
      <c r="MEL44" s="45"/>
      <c r="MEM44" s="45"/>
      <c r="MEN44" s="45"/>
      <c r="MEO44" s="45"/>
      <c r="MEP44" s="45"/>
      <c r="MEQ44" s="45"/>
      <c r="MER44" s="45"/>
      <c r="MES44" s="45"/>
      <c r="MET44" s="45"/>
      <c r="MEU44" s="45"/>
      <c r="MEV44" s="45"/>
      <c r="MEW44" s="45"/>
      <c r="MEX44" s="45"/>
      <c r="MEY44" s="45"/>
      <c r="MEZ44" s="45"/>
      <c r="MFA44" s="45"/>
      <c r="MFB44" s="45"/>
      <c r="MFC44" s="45"/>
      <c r="MFD44" s="45"/>
      <c r="MFE44" s="45"/>
      <c r="MFF44" s="45"/>
      <c r="MFG44" s="45"/>
      <c r="MFH44" s="45"/>
      <c r="MFI44" s="45"/>
      <c r="MFJ44" s="45"/>
      <c r="MFK44" s="45"/>
      <c r="MFL44" s="45"/>
      <c r="MFM44" s="45"/>
      <c r="MFN44" s="45"/>
      <c r="MFO44" s="45"/>
      <c r="MFP44" s="45"/>
      <c r="MFQ44" s="45"/>
      <c r="MFR44" s="45"/>
      <c r="MFS44" s="45"/>
      <c r="MFT44" s="45"/>
      <c r="MFU44" s="45"/>
      <c r="MFV44" s="45"/>
      <c r="MFW44" s="45"/>
      <c r="MFX44" s="45"/>
      <c r="MFY44" s="45"/>
      <c r="MFZ44" s="45"/>
      <c r="MGA44" s="45"/>
      <c r="MGB44" s="45"/>
      <c r="MGC44" s="45"/>
      <c r="MGD44" s="45"/>
      <c r="MGE44" s="45"/>
      <c r="MGF44" s="45"/>
      <c r="MGG44" s="45"/>
      <c r="MGH44" s="45"/>
      <c r="MGI44" s="45"/>
      <c r="MGJ44" s="45"/>
      <c r="MGK44" s="45"/>
      <c r="MGL44" s="45"/>
      <c r="MGM44" s="45"/>
      <c r="MGN44" s="45"/>
      <c r="MGO44" s="45"/>
      <c r="MGP44" s="45"/>
      <c r="MGQ44" s="45"/>
      <c r="MGR44" s="45"/>
      <c r="MGS44" s="45"/>
      <c r="MGT44" s="45"/>
      <c r="MGU44" s="45"/>
      <c r="MGV44" s="45"/>
      <c r="MGW44" s="45"/>
      <c r="MGX44" s="45"/>
      <c r="MGY44" s="45"/>
      <c r="MGZ44" s="45"/>
      <c r="MHA44" s="45"/>
      <c r="MHB44" s="45"/>
      <c r="MHC44" s="45"/>
      <c r="MHD44" s="45"/>
      <c r="MHE44" s="45"/>
      <c r="MHF44" s="45"/>
      <c r="MHG44" s="45"/>
      <c r="MHH44" s="45"/>
      <c r="MHI44" s="45"/>
      <c r="MHJ44" s="45"/>
      <c r="MHK44" s="45"/>
      <c r="MHL44" s="45"/>
      <c r="MHM44" s="45"/>
      <c r="MHN44" s="45"/>
      <c r="MHO44" s="45"/>
      <c r="MHP44" s="45"/>
      <c r="MHQ44" s="45"/>
      <c r="MHR44" s="45"/>
      <c r="MHS44" s="45"/>
      <c r="MHT44" s="45"/>
      <c r="MHU44" s="45"/>
      <c r="MHV44" s="45"/>
      <c r="MHW44" s="45"/>
      <c r="MHX44" s="45"/>
      <c r="MHY44" s="45"/>
      <c r="MHZ44" s="45"/>
      <c r="MIA44" s="45"/>
      <c r="MIB44" s="45"/>
      <c r="MIC44" s="45"/>
      <c r="MID44" s="45"/>
      <c r="MIE44" s="45"/>
      <c r="MIF44" s="45"/>
      <c r="MIG44" s="45"/>
      <c r="MIH44" s="45"/>
      <c r="MII44" s="45"/>
      <c r="MIJ44" s="45"/>
      <c r="MIK44" s="45"/>
      <c r="MIL44" s="45"/>
      <c r="MIM44" s="45"/>
      <c r="MIN44" s="45"/>
      <c r="MIO44" s="45"/>
      <c r="MIP44" s="45"/>
      <c r="MIQ44" s="45"/>
      <c r="MIR44" s="45"/>
      <c r="MIS44" s="45"/>
      <c r="MIT44" s="45"/>
      <c r="MIU44" s="45"/>
      <c r="MIV44" s="45"/>
      <c r="MIW44" s="45"/>
      <c r="MIX44" s="45"/>
      <c r="MIY44" s="45"/>
      <c r="MIZ44" s="45"/>
      <c r="MJA44" s="45"/>
      <c r="MJB44" s="45"/>
      <c r="MJC44" s="45"/>
      <c r="MJD44" s="45"/>
      <c r="MJE44" s="45"/>
      <c r="MJF44" s="45"/>
      <c r="MJG44" s="45"/>
      <c r="MJH44" s="45"/>
      <c r="MJI44" s="45"/>
      <c r="MJJ44" s="45"/>
      <c r="MJK44" s="45"/>
      <c r="MJL44" s="45"/>
      <c r="MJM44" s="45"/>
      <c r="MJN44" s="45"/>
      <c r="MJO44" s="45"/>
      <c r="MJP44" s="45"/>
      <c r="MJQ44" s="45"/>
      <c r="MJR44" s="45"/>
      <c r="MJS44" s="45"/>
      <c r="MJT44" s="45"/>
      <c r="MJU44" s="45"/>
      <c r="MJV44" s="45"/>
      <c r="MJW44" s="45"/>
      <c r="MJX44" s="45"/>
      <c r="MJY44" s="45"/>
      <c r="MJZ44" s="45"/>
      <c r="MKA44" s="45"/>
      <c r="MKB44" s="45"/>
      <c r="MKC44" s="45"/>
      <c r="MKD44" s="45"/>
      <c r="MKE44" s="45"/>
      <c r="MKF44" s="45"/>
      <c r="MKG44" s="45"/>
      <c r="MKH44" s="45"/>
      <c r="MKI44" s="45"/>
      <c r="MKJ44" s="45"/>
      <c r="MKK44" s="45"/>
      <c r="MKL44" s="45"/>
      <c r="MKM44" s="45"/>
      <c r="MKN44" s="45"/>
      <c r="MKO44" s="45"/>
      <c r="MKP44" s="45"/>
      <c r="MKQ44" s="45"/>
      <c r="MKR44" s="45"/>
      <c r="MKS44" s="45"/>
      <c r="MKT44" s="45"/>
      <c r="MKU44" s="45"/>
      <c r="MKV44" s="45"/>
      <c r="MKW44" s="45"/>
      <c r="MKX44" s="45"/>
      <c r="MKY44" s="45"/>
      <c r="MKZ44" s="45"/>
      <c r="MLA44" s="45"/>
      <c r="MLB44" s="45"/>
      <c r="MLC44" s="45"/>
      <c r="MLD44" s="45"/>
      <c r="MLE44" s="45"/>
      <c r="MLF44" s="45"/>
      <c r="MLG44" s="45"/>
      <c r="MLH44" s="45"/>
      <c r="MLI44" s="45"/>
      <c r="MLJ44" s="45"/>
      <c r="MLK44" s="45"/>
      <c r="MLL44" s="45"/>
      <c r="MLM44" s="45"/>
      <c r="MLN44" s="45"/>
      <c r="MLO44" s="45"/>
      <c r="MLP44" s="45"/>
      <c r="MLQ44" s="45"/>
      <c r="MLR44" s="45"/>
      <c r="MLS44" s="45"/>
      <c r="MLT44" s="45"/>
      <c r="MLU44" s="45"/>
      <c r="MLV44" s="45"/>
      <c r="MLW44" s="45"/>
      <c r="MLX44" s="45"/>
      <c r="MLY44" s="45"/>
      <c r="MLZ44" s="45"/>
      <c r="MMA44" s="45"/>
      <c r="MMB44" s="45"/>
      <c r="MMC44" s="45"/>
      <c r="MMD44" s="45"/>
      <c r="MME44" s="45"/>
      <c r="MMF44" s="45"/>
      <c r="MMG44" s="45"/>
      <c r="MMH44" s="45"/>
      <c r="MMI44" s="45"/>
      <c r="MMJ44" s="45"/>
      <c r="MMK44" s="45"/>
      <c r="MML44" s="45"/>
      <c r="MMM44" s="45"/>
      <c r="MMN44" s="45"/>
      <c r="MMO44" s="45"/>
      <c r="MMP44" s="45"/>
      <c r="MMQ44" s="45"/>
      <c r="MMR44" s="45"/>
      <c r="MMS44" s="45"/>
      <c r="MMT44" s="45"/>
      <c r="MMU44" s="45"/>
      <c r="MMV44" s="45"/>
      <c r="MMW44" s="45"/>
      <c r="MMX44" s="45"/>
      <c r="MMY44" s="45"/>
      <c r="MMZ44" s="45"/>
      <c r="MNA44" s="45"/>
      <c r="MNB44" s="45"/>
      <c r="MNC44" s="45"/>
      <c r="MND44" s="45"/>
      <c r="MNE44" s="45"/>
      <c r="MNF44" s="45"/>
      <c r="MNG44" s="45"/>
      <c r="MNH44" s="45"/>
      <c r="MNI44" s="45"/>
      <c r="MNJ44" s="45"/>
      <c r="MNK44" s="45"/>
      <c r="MNL44" s="45"/>
      <c r="MNM44" s="45"/>
      <c r="MNN44" s="45"/>
      <c r="MNO44" s="45"/>
      <c r="MNP44" s="45"/>
      <c r="MNQ44" s="45"/>
      <c r="MNR44" s="45"/>
      <c r="MNS44" s="45"/>
      <c r="MNT44" s="45"/>
      <c r="MNU44" s="45"/>
      <c r="MNV44" s="45"/>
      <c r="MNW44" s="45"/>
      <c r="MNX44" s="45"/>
      <c r="MNY44" s="45"/>
      <c r="MNZ44" s="45"/>
      <c r="MOA44" s="45"/>
      <c r="MOB44" s="45"/>
      <c r="MOC44" s="45"/>
      <c r="MOD44" s="45"/>
      <c r="MOE44" s="45"/>
      <c r="MOF44" s="45"/>
      <c r="MOG44" s="45"/>
      <c r="MOH44" s="45"/>
      <c r="MOI44" s="45"/>
      <c r="MOJ44" s="45"/>
      <c r="MOK44" s="45"/>
      <c r="MOL44" s="45"/>
      <c r="MOM44" s="45"/>
      <c r="MON44" s="45"/>
      <c r="MOO44" s="45"/>
      <c r="MOP44" s="45"/>
      <c r="MOQ44" s="45"/>
      <c r="MOR44" s="45"/>
      <c r="MOS44" s="45"/>
      <c r="MOT44" s="45"/>
      <c r="MOU44" s="45"/>
      <c r="MOV44" s="45"/>
      <c r="MOW44" s="45"/>
      <c r="MOX44" s="45"/>
      <c r="MOY44" s="45"/>
      <c r="MOZ44" s="45"/>
      <c r="MPA44" s="45"/>
      <c r="MPB44" s="45"/>
      <c r="MPC44" s="45"/>
      <c r="MPD44" s="45"/>
      <c r="MPE44" s="45"/>
      <c r="MPF44" s="45"/>
      <c r="MPG44" s="45"/>
      <c r="MPH44" s="45"/>
      <c r="MPI44" s="45"/>
      <c r="MPJ44" s="45"/>
      <c r="MPK44" s="45"/>
      <c r="MPL44" s="45"/>
      <c r="MPM44" s="45"/>
      <c r="MPN44" s="45"/>
      <c r="MPO44" s="45"/>
      <c r="MPP44" s="45"/>
      <c r="MPQ44" s="45"/>
      <c r="MPR44" s="45"/>
      <c r="MPS44" s="45"/>
      <c r="MPT44" s="45"/>
      <c r="MPU44" s="45"/>
      <c r="MPV44" s="45"/>
      <c r="MPW44" s="45"/>
      <c r="MPX44" s="45"/>
      <c r="MPY44" s="45"/>
      <c r="MPZ44" s="45"/>
      <c r="MQA44" s="45"/>
      <c r="MQB44" s="45"/>
      <c r="MQC44" s="45"/>
      <c r="MQD44" s="45"/>
      <c r="MQE44" s="45"/>
      <c r="MQF44" s="45"/>
      <c r="MQG44" s="45"/>
      <c r="MQH44" s="45"/>
      <c r="MQI44" s="45"/>
      <c r="MQJ44" s="45"/>
      <c r="MQK44" s="45"/>
      <c r="MQL44" s="45"/>
      <c r="MQM44" s="45"/>
      <c r="MQN44" s="45"/>
      <c r="MQO44" s="45"/>
      <c r="MQP44" s="45"/>
      <c r="MQQ44" s="45"/>
      <c r="MQR44" s="45"/>
      <c r="MQS44" s="45"/>
      <c r="MQT44" s="45"/>
      <c r="MQU44" s="45"/>
      <c r="MQV44" s="45"/>
      <c r="MQW44" s="45"/>
      <c r="MQX44" s="45"/>
      <c r="MQY44" s="45"/>
      <c r="MQZ44" s="45"/>
      <c r="MRA44" s="45"/>
      <c r="MRB44" s="45"/>
      <c r="MRC44" s="45"/>
      <c r="MRD44" s="45"/>
      <c r="MRE44" s="45"/>
      <c r="MRF44" s="45"/>
      <c r="MRG44" s="45"/>
      <c r="MRH44" s="45"/>
      <c r="MRI44" s="45"/>
      <c r="MRJ44" s="45"/>
      <c r="MRK44" s="45"/>
      <c r="MRL44" s="45"/>
      <c r="MRM44" s="45"/>
      <c r="MRN44" s="45"/>
      <c r="MRO44" s="45"/>
      <c r="MRP44" s="45"/>
      <c r="MRQ44" s="45"/>
      <c r="MRR44" s="45"/>
      <c r="MRS44" s="45"/>
      <c r="MRT44" s="45"/>
      <c r="MRU44" s="45"/>
      <c r="MRV44" s="45"/>
      <c r="MRW44" s="45"/>
      <c r="MRX44" s="45"/>
      <c r="MRY44" s="45"/>
      <c r="MRZ44" s="45"/>
      <c r="MSA44" s="45"/>
      <c r="MSB44" s="45"/>
      <c r="MSC44" s="45"/>
      <c r="MSD44" s="45"/>
      <c r="MSE44" s="45"/>
      <c r="MSF44" s="45"/>
      <c r="MSG44" s="45"/>
      <c r="MSH44" s="45"/>
      <c r="MSI44" s="45"/>
      <c r="MSJ44" s="45"/>
      <c r="MSK44" s="45"/>
      <c r="MSL44" s="45"/>
      <c r="MSM44" s="45"/>
      <c r="MSN44" s="45"/>
      <c r="MSO44" s="45"/>
      <c r="MSP44" s="45"/>
      <c r="MSQ44" s="45"/>
      <c r="MSR44" s="45"/>
      <c r="MSS44" s="45"/>
      <c r="MST44" s="45"/>
      <c r="MSU44" s="45"/>
      <c r="MSV44" s="45"/>
      <c r="MSW44" s="45"/>
      <c r="MSX44" s="45"/>
      <c r="MSY44" s="45"/>
      <c r="MSZ44" s="45"/>
      <c r="MTA44" s="45"/>
      <c r="MTB44" s="45"/>
      <c r="MTC44" s="45"/>
      <c r="MTD44" s="45"/>
      <c r="MTE44" s="45"/>
      <c r="MTF44" s="45"/>
      <c r="MTG44" s="45"/>
      <c r="MTH44" s="45"/>
      <c r="MTI44" s="45"/>
      <c r="MTJ44" s="45"/>
      <c r="MTK44" s="45"/>
      <c r="MTL44" s="45"/>
      <c r="MTM44" s="45"/>
      <c r="MTN44" s="45"/>
      <c r="MTO44" s="45"/>
      <c r="MTP44" s="45"/>
      <c r="MTQ44" s="45"/>
      <c r="MTR44" s="45"/>
      <c r="MTS44" s="45"/>
      <c r="MTT44" s="45"/>
      <c r="MTU44" s="45"/>
      <c r="MTV44" s="45"/>
      <c r="MTW44" s="45"/>
      <c r="MTX44" s="45"/>
      <c r="MTY44" s="45"/>
      <c r="MTZ44" s="45"/>
      <c r="MUA44" s="45"/>
      <c r="MUB44" s="45"/>
      <c r="MUC44" s="45"/>
      <c r="MUD44" s="45"/>
      <c r="MUE44" s="45"/>
      <c r="MUF44" s="45"/>
      <c r="MUG44" s="45"/>
      <c r="MUH44" s="45"/>
      <c r="MUI44" s="45"/>
      <c r="MUJ44" s="45"/>
      <c r="MUK44" s="45"/>
      <c r="MUL44" s="45"/>
      <c r="MUM44" s="45"/>
      <c r="MUN44" s="45"/>
      <c r="MUO44" s="45"/>
      <c r="MUP44" s="45"/>
      <c r="MUQ44" s="45"/>
      <c r="MUR44" s="45"/>
      <c r="MUS44" s="45"/>
      <c r="MUT44" s="45"/>
      <c r="MUU44" s="45"/>
      <c r="MUV44" s="45"/>
      <c r="MUW44" s="45"/>
      <c r="MUX44" s="45"/>
      <c r="MUY44" s="45"/>
      <c r="MUZ44" s="45"/>
      <c r="MVA44" s="45"/>
      <c r="MVB44" s="45"/>
      <c r="MVC44" s="45"/>
      <c r="MVD44" s="45"/>
      <c r="MVE44" s="45"/>
      <c r="MVF44" s="45"/>
      <c r="MVG44" s="45"/>
      <c r="MVH44" s="45"/>
      <c r="MVI44" s="45"/>
      <c r="MVJ44" s="45"/>
      <c r="MVK44" s="45"/>
      <c r="MVL44" s="45"/>
      <c r="MVM44" s="45"/>
      <c r="MVN44" s="45"/>
      <c r="MVO44" s="45"/>
      <c r="MVP44" s="45"/>
      <c r="MVQ44" s="45"/>
      <c r="MVR44" s="45"/>
      <c r="MVS44" s="45"/>
      <c r="MVT44" s="45"/>
      <c r="MVU44" s="45"/>
      <c r="MVV44" s="45"/>
      <c r="MVW44" s="45"/>
      <c r="MVX44" s="45"/>
      <c r="MVY44" s="45"/>
      <c r="MVZ44" s="45"/>
      <c r="MWA44" s="45"/>
      <c r="MWB44" s="45"/>
      <c r="MWC44" s="45"/>
      <c r="MWD44" s="45"/>
      <c r="MWE44" s="45"/>
      <c r="MWF44" s="45"/>
      <c r="MWG44" s="45"/>
      <c r="MWH44" s="45"/>
      <c r="MWI44" s="45"/>
      <c r="MWJ44" s="45"/>
      <c r="MWK44" s="45"/>
      <c r="MWL44" s="45"/>
      <c r="MWM44" s="45"/>
      <c r="MWN44" s="45"/>
      <c r="MWO44" s="45"/>
      <c r="MWP44" s="45"/>
      <c r="MWQ44" s="45"/>
      <c r="MWR44" s="45"/>
      <c r="MWS44" s="45"/>
      <c r="MWT44" s="45"/>
      <c r="MWU44" s="45"/>
      <c r="MWV44" s="45"/>
      <c r="MWW44" s="45"/>
      <c r="MWX44" s="45"/>
      <c r="MWY44" s="45"/>
      <c r="MWZ44" s="45"/>
      <c r="MXA44" s="45"/>
      <c r="MXB44" s="45"/>
      <c r="MXC44" s="45"/>
      <c r="MXD44" s="45"/>
      <c r="MXE44" s="45"/>
      <c r="MXF44" s="45"/>
      <c r="MXG44" s="45"/>
      <c r="MXH44" s="45"/>
      <c r="MXI44" s="45"/>
      <c r="MXJ44" s="45"/>
      <c r="MXK44" s="45"/>
      <c r="MXL44" s="45"/>
      <c r="MXM44" s="45"/>
      <c r="MXN44" s="45"/>
      <c r="MXO44" s="45"/>
      <c r="MXP44" s="45"/>
      <c r="MXQ44" s="45"/>
      <c r="MXR44" s="45"/>
      <c r="MXS44" s="45"/>
      <c r="MXT44" s="45"/>
      <c r="MXU44" s="45"/>
      <c r="MXV44" s="45"/>
      <c r="MXW44" s="45"/>
      <c r="MXX44" s="45"/>
      <c r="MXY44" s="45"/>
      <c r="MXZ44" s="45"/>
      <c r="MYA44" s="45"/>
      <c r="MYB44" s="45"/>
      <c r="MYC44" s="45"/>
      <c r="MYD44" s="45"/>
      <c r="MYE44" s="45"/>
      <c r="MYF44" s="45"/>
      <c r="MYG44" s="45"/>
      <c r="MYH44" s="45"/>
      <c r="MYI44" s="45"/>
      <c r="MYJ44" s="45"/>
      <c r="MYK44" s="45"/>
      <c r="MYL44" s="45"/>
      <c r="MYM44" s="45"/>
      <c r="MYN44" s="45"/>
      <c r="MYO44" s="45"/>
      <c r="MYP44" s="45"/>
      <c r="MYQ44" s="45"/>
      <c r="MYR44" s="45"/>
      <c r="MYS44" s="45"/>
      <c r="MYT44" s="45"/>
      <c r="MYU44" s="45"/>
      <c r="MYV44" s="45"/>
      <c r="MYW44" s="45"/>
      <c r="MYX44" s="45"/>
      <c r="MYY44" s="45"/>
      <c r="MYZ44" s="45"/>
      <c r="MZA44" s="45"/>
      <c r="MZB44" s="45"/>
      <c r="MZC44" s="45"/>
      <c r="MZD44" s="45"/>
      <c r="MZE44" s="45"/>
      <c r="MZF44" s="45"/>
      <c r="MZG44" s="45"/>
      <c r="MZH44" s="45"/>
      <c r="MZI44" s="45"/>
      <c r="MZJ44" s="45"/>
      <c r="MZK44" s="45"/>
      <c r="MZL44" s="45"/>
      <c r="MZM44" s="45"/>
      <c r="MZN44" s="45"/>
      <c r="MZO44" s="45"/>
      <c r="MZP44" s="45"/>
      <c r="MZQ44" s="45"/>
      <c r="MZR44" s="45"/>
      <c r="MZS44" s="45"/>
      <c r="MZT44" s="45"/>
      <c r="MZU44" s="45"/>
      <c r="MZV44" s="45"/>
      <c r="MZW44" s="45"/>
      <c r="MZX44" s="45"/>
      <c r="MZY44" s="45"/>
      <c r="MZZ44" s="45"/>
      <c r="NAA44" s="45"/>
      <c r="NAB44" s="45"/>
      <c r="NAC44" s="45"/>
      <c r="NAD44" s="45"/>
      <c r="NAE44" s="45"/>
      <c r="NAF44" s="45"/>
      <c r="NAG44" s="45"/>
      <c r="NAH44" s="45"/>
      <c r="NAI44" s="45"/>
      <c r="NAJ44" s="45"/>
      <c r="NAK44" s="45"/>
      <c r="NAL44" s="45"/>
      <c r="NAM44" s="45"/>
      <c r="NAN44" s="45"/>
      <c r="NAO44" s="45"/>
      <c r="NAP44" s="45"/>
      <c r="NAQ44" s="45"/>
      <c r="NAR44" s="45"/>
      <c r="NAS44" s="45"/>
      <c r="NAT44" s="45"/>
      <c r="NAU44" s="45"/>
      <c r="NAV44" s="45"/>
      <c r="NAW44" s="45"/>
      <c r="NAX44" s="45"/>
      <c r="NAY44" s="45"/>
      <c r="NAZ44" s="45"/>
      <c r="NBA44" s="45"/>
      <c r="NBB44" s="45"/>
      <c r="NBC44" s="45"/>
      <c r="NBD44" s="45"/>
      <c r="NBE44" s="45"/>
      <c r="NBF44" s="45"/>
      <c r="NBG44" s="45"/>
      <c r="NBH44" s="45"/>
      <c r="NBI44" s="45"/>
      <c r="NBJ44" s="45"/>
      <c r="NBK44" s="45"/>
      <c r="NBL44" s="45"/>
      <c r="NBM44" s="45"/>
      <c r="NBN44" s="45"/>
      <c r="NBO44" s="45"/>
      <c r="NBP44" s="45"/>
      <c r="NBQ44" s="45"/>
      <c r="NBR44" s="45"/>
      <c r="NBS44" s="45"/>
      <c r="NBT44" s="45"/>
      <c r="NBU44" s="45"/>
      <c r="NBV44" s="45"/>
      <c r="NBW44" s="45"/>
      <c r="NBX44" s="45"/>
      <c r="NBY44" s="45"/>
      <c r="NBZ44" s="45"/>
      <c r="NCA44" s="45"/>
      <c r="NCB44" s="45"/>
      <c r="NCC44" s="45"/>
      <c r="NCD44" s="45"/>
      <c r="NCE44" s="45"/>
      <c r="NCF44" s="45"/>
      <c r="NCG44" s="45"/>
      <c r="NCH44" s="45"/>
      <c r="NCI44" s="45"/>
      <c r="NCJ44" s="45"/>
      <c r="NCK44" s="45"/>
      <c r="NCL44" s="45"/>
      <c r="NCM44" s="45"/>
      <c r="NCN44" s="45"/>
      <c r="NCO44" s="45"/>
      <c r="NCP44" s="45"/>
      <c r="NCQ44" s="45"/>
      <c r="NCR44" s="45"/>
      <c r="NCS44" s="45"/>
      <c r="NCT44" s="45"/>
      <c r="NCU44" s="45"/>
      <c r="NCV44" s="45"/>
      <c r="NCW44" s="45"/>
      <c r="NCX44" s="45"/>
      <c r="NCY44" s="45"/>
      <c r="NCZ44" s="45"/>
      <c r="NDA44" s="45"/>
      <c r="NDB44" s="45"/>
      <c r="NDC44" s="45"/>
      <c r="NDD44" s="45"/>
      <c r="NDE44" s="45"/>
      <c r="NDF44" s="45"/>
      <c r="NDG44" s="45"/>
      <c r="NDH44" s="45"/>
      <c r="NDI44" s="45"/>
      <c r="NDJ44" s="45"/>
      <c r="NDK44" s="45"/>
      <c r="NDL44" s="45"/>
      <c r="NDM44" s="45"/>
      <c r="NDN44" s="45"/>
      <c r="NDO44" s="45"/>
      <c r="NDP44" s="45"/>
      <c r="NDQ44" s="45"/>
      <c r="NDR44" s="45"/>
      <c r="NDS44" s="45"/>
      <c r="NDT44" s="45"/>
      <c r="NDU44" s="45"/>
      <c r="NDV44" s="45"/>
      <c r="NDW44" s="45"/>
      <c r="NDX44" s="45"/>
      <c r="NDY44" s="45"/>
      <c r="NDZ44" s="45"/>
      <c r="NEA44" s="45"/>
      <c r="NEB44" s="45"/>
      <c r="NEC44" s="45"/>
      <c r="NED44" s="45"/>
      <c r="NEE44" s="45"/>
      <c r="NEF44" s="45"/>
      <c r="NEG44" s="45"/>
      <c r="NEH44" s="45"/>
      <c r="NEI44" s="45"/>
      <c r="NEJ44" s="45"/>
      <c r="NEK44" s="45"/>
      <c r="NEL44" s="45"/>
      <c r="NEM44" s="45"/>
      <c r="NEN44" s="45"/>
      <c r="NEO44" s="45"/>
      <c r="NEP44" s="45"/>
      <c r="NEQ44" s="45"/>
      <c r="NER44" s="45"/>
      <c r="NES44" s="45"/>
      <c r="NET44" s="45"/>
      <c r="NEU44" s="45"/>
      <c r="NEV44" s="45"/>
      <c r="NEW44" s="45"/>
      <c r="NEX44" s="45"/>
      <c r="NEY44" s="45"/>
      <c r="NEZ44" s="45"/>
      <c r="NFA44" s="45"/>
      <c r="NFB44" s="45"/>
      <c r="NFC44" s="45"/>
      <c r="NFD44" s="45"/>
      <c r="NFE44" s="45"/>
      <c r="NFF44" s="45"/>
      <c r="NFG44" s="45"/>
      <c r="NFH44" s="45"/>
      <c r="NFI44" s="45"/>
      <c r="NFJ44" s="45"/>
      <c r="NFK44" s="45"/>
      <c r="NFL44" s="45"/>
      <c r="NFM44" s="45"/>
      <c r="NFN44" s="45"/>
      <c r="NFO44" s="45"/>
      <c r="NFP44" s="45"/>
      <c r="NFQ44" s="45"/>
      <c r="NFR44" s="45"/>
      <c r="NFS44" s="45"/>
      <c r="NFT44" s="45"/>
      <c r="NFU44" s="45"/>
      <c r="NFV44" s="45"/>
      <c r="NFW44" s="45"/>
      <c r="NFX44" s="45"/>
      <c r="NFY44" s="45"/>
      <c r="NFZ44" s="45"/>
      <c r="NGA44" s="45"/>
      <c r="NGB44" s="45"/>
      <c r="NGC44" s="45"/>
      <c r="NGD44" s="45"/>
      <c r="NGE44" s="45"/>
      <c r="NGF44" s="45"/>
      <c r="NGG44" s="45"/>
      <c r="NGH44" s="45"/>
      <c r="NGI44" s="45"/>
      <c r="NGJ44" s="45"/>
      <c r="NGK44" s="45"/>
      <c r="NGL44" s="45"/>
      <c r="NGM44" s="45"/>
      <c r="NGN44" s="45"/>
      <c r="NGO44" s="45"/>
      <c r="NGP44" s="45"/>
      <c r="NGQ44" s="45"/>
      <c r="NGR44" s="45"/>
      <c r="NGS44" s="45"/>
      <c r="NGT44" s="45"/>
      <c r="NGU44" s="45"/>
      <c r="NGV44" s="45"/>
      <c r="NGW44" s="45"/>
      <c r="NGX44" s="45"/>
      <c r="NGY44" s="45"/>
      <c r="NGZ44" s="45"/>
      <c r="NHA44" s="45"/>
      <c r="NHB44" s="45"/>
      <c r="NHC44" s="45"/>
      <c r="NHD44" s="45"/>
      <c r="NHE44" s="45"/>
      <c r="NHF44" s="45"/>
      <c r="NHG44" s="45"/>
      <c r="NHH44" s="45"/>
      <c r="NHI44" s="45"/>
      <c r="NHJ44" s="45"/>
      <c r="NHK44" s="45"/>
      <c r="NHL44" s="45"/>
      <c r="NHM44" s="45"/>
      <c r="NHN44" s="45"/>
      <c r="NHO44" s="45"/>
      <c r="NHP44" s="45"/>
      <c r="NHQ44" s="45"/>
      <c r="NHR44" s="45"/>
      <c r="NHS44" s="45"/>
      <c r="NHT44" s="45"/>
      <c r="NHU44" s="45"/>
      <c r="NHV44" s="45"/>
      <c r="NHW44" s="45"/>
      <c r="NHX44" s="45"/>
      <c r="NHY44" s="45"/>
      <c r="NHZ44" s="45"/>
      <c r="NIA44" s="45"/>
      <c r="NIB44" s="45"/>
      <c r="NIC44" s="45"/>
      <c r="NID44" s="45"/>
      <c r="NIE44" s="45"/>
      <c r="NIF44" s="45"/>
      <c r="NIG44" s="45"/>
      <c r="NIH44" s="45"/>
      <c r="NII44" s="45"/>
      <c r="NIJ44" s="45"/>
      <c r="NIK44" s="45"/>
      <c r="NIL44" s="45"/>
      <c r="NIM44" s="45"/>
      <c r="NIN44" s="45"/>
      <c r="NIO44" s="45"/>
      <c r="NIP44" s="45"/>
      <c r="NIQ44" s="45"/>
      <c r="NIR44" s="45"/>
      <c r="NIS44" s="45"/>
      <c r="NIT44" s="45"/>
      <c r="NIU44" s="45"/>
      <c r="NIV44" s="45"/>
      <c r="NIW44" s="45"/>
      <c r="NIX44" s="45"/>
      <c r="NIY44" s="45"/>
      <c r="NIZ44" s="45"/>
      <c r="NJA44" s="45"/>
      <c r="NJB44" s="45"/>
      <c r="NJC44" s="45"/>
      <c r="NJD44" s="45"/>
      <c r="NJE44" s="45"/>
      <c r="NJF44" s="45"/>
      <c r="NJG44" s="45"/>
      <c r="NJH44" s="45"/>
      <c r="NJI44" s="45"/>
      <c r="NJJ44" s="45"/>
      <c r="NJK44" s="45"/>
      <c r="NJL44" s="45"/>
      <c r="NJM44" s="45"/>
      <c r="NJN44" s="45"/>
      <c r="NJO44" s="45"/>
      <c r="NJP44" s="45"/>
      <c r="NJQ44" s="45"/>
      <c r="NJR44" s="45"/>
      <c r="NJS44" s="45"/>
      <c r="NJT44" s="45"/>
      <c r="NJU44" s="45"/>
      <c r="NJV44" s="45"/>
      <c r="NJW44" s="45"/>
      <c r="NJX44" s="45"/>
      <c r="NJY44" s="45"/>
      <c r="NJZ44" s="45"/>
      <c r="NKA44" s="45"/>
      <c r="NKB44" s="45"/>
      <c r="NKC44" s="45"/>
      <c r="NKD44" s="45"/>
      <c r="NKE44" s="45"/>
      <c r="NKF44" s="45"/>
      <c r="NKG44" s="45"/>
      <c r="NKH44" s="45"/>
      <c r="NKI44" s="45"/>
      <c r="NKJ44" s="45"/>
      <c r="NKK44" s="45"/>
      <c r="NKL44" s="45"/>
      <c r="NKM44" s="45"/>
      <c r="NKN44" s="45"/>
      <c r="NKO44" s="45"/>
      <c r="NKP44" s="45"/>
      <c r="NKQ44" s="45"/>
      <c r="NKR44" s="45"/>
      <c r="NKS44" s="45"/>
      <c r="NKT44" s="45"/>
      <c r="NKU44" s="45"/>
      <c r="NKV44" s="45"/>
      <c r="NKW44" s="45"/>
      <c r="NKX44" s="45"/>
      <c r="NKY44" s="45"/>
      <c r="NKZ44" s="45"/>
      <c r="NLA44" s="45"/>
      <c r="NLB44" s="45"/>
      <c r="NLC44" s="45"/>
      <c r="NLD44" s="45"/>
      <c r="NLE44" s="45"/>
      <c r="NLF44" s="45"/>
      <c r="NLG44" s="45"/>
      <c r="NLH44" s="45"/>
      <c r="NLI44" s="45"/>
      <c r="NLJ44" s="45"/>
      <c r="NLK44" s="45"/>
      <c r="NLL44" s="45"/>
      <c r="NLM44" s="45"/>
      <c r="NLN44" s="45"/>
      <c r="NLO44" s="45"/>
      <c r="NLP44" s="45"/>
      <c r="NLQ44" s="45"/>
      <c r="NLR44" s="45"/>
      <c r="NLS44" s="45"/>
      <c r="NLT44" s="45"/>
      <c r="NLU44" s="45"/>
      <c r="NLV44" s="45"/>
      <c r="NLW44" s="45"/>
      <c r="NLX44" s="45"/>
      <c r="NLY44" s="45"/>
      <c r="NLZ44" s="45"/>
      <c r="NMA44" s="45"/>
      <c r="NMB44" s="45"/>
      <c r="NMC44" s="45"/>
      <c r="NMD44" s="45"/>
      <c r="NME44" s="45"/>
      <c r="NMF44" s="45"/>
      <c r="NMG44" s="45"/>
      <c r="NMH44" s="45"/>
      <c r="NMI44" s="45"/>
      <c r="NMJ44" s="45"/>
      <c r="NMK44" s="45"/>
      <c r="NML44" s="45"/>
      <c r="NMM44" s="45"/>
      <c r="NMN44" s="45"/>
      <c r="NMO44" s="45"/>
      <c r="NMP44" s="45"/>
      <c r="NMQ44" s="45"/>
      <c r="NMR44" s="45"/>
      <c r="NMS44" s="45"/>
      <c r="NMT44" s="45"/>
      <c r="NMU44" s="45"/>
      <c r="NMV44" s="45"/>
      <c r="NMW44" s="45"/>
      <c r="NMX44" s="45"/>
      <c r="NMY44" s="45"/>
      <c r="NMZ44" s="45"/>
      <c r="NNA44" s="45"/>
      <c r="NNB44" s="45"/>
      <c r="NNC44" s="45"/>
      <c r="NND44" s="45"/>
      <c r="NNE44" s="45"/>
      <c r="NNF44" s="45"/>
      <c r="NNG44" s="45"/>
      <c r="NNH44" s="45"/>
      <c r="NNI44" s="45"/>
      <c r="NNJ44" s="45"/>
      <c r="NNK44" s="45"/>
      <c r="NNL44" s="45"/>
      <c r="NNM44" s="45"/>
      <c r="NNN44" s="45"/>
      <c r="NNO44" s="45"/>
      <c r="NNP44" s="45"/>
      <c r="NNQ44" s="45"/>
      <c r="NNR44" s="45"/>
      <c r="NNS44" s="45"/>
      <c r="NNT44" s="45"/>
      <c r="NNU44" s="45"/>
      <c r="NNV44" s="45"/>
      <c r="NNW44" s="45"/>
      <c r="NNX44" s="45"/>
      <c r="NNY44" s="45"/>
      <c r="NNZ44" s="45"/>
      <c r="NOA44" s="45"/>
      <c r="NOB44" s="45"/>
      <c r="NOC44" s="45"/>
      <c r="NOD44" s="45"/>
      <c r="NOE44" s="45"/>
      <c r="NOF44" s="45"/>
      <c r="NOG44" s="45"/>
      <c r="NOH44" s="45"/>
      <c r="NOI44" s="45"/>
      <c r="NOJ44" s="45"/>
      <c r="NOK44" s="45"/>
      <c r="NOL44" s="45"/>
      <c r="NOM44" s="45"/>
      <c r="NON44" s="45"/>
      <c r="NOO44" s="45"/>
      <c r="NOP44" s="45"/>
      <c r="NOQ44" s="45"/>
      <c r="NOR44" s="45"/>
      <c r="NOS44" s="45"/>
      <c r="NOT44" s="45"/>
      <c r="NOU44" s="45"/>
      <c r="NOV44" s="45"/>
      <c r="NOW44" s="45"/>
      <c r="NOX44" s="45"/>
      <c r="NOY44" s="45"/>
      <c r="NOZ44" s="45"/>
      <c r="NPA44" s="45"/>
      <c r="NPB44" s="45"/>
      <c r="NPC44" s="45"/>
      <c r="NPD44" s="45"/>
      <c r="NPE44" s="45"/>
      <c r="NPF44" s="45"/>
      <c r="NPG44" s="45"/>
      <c r="NPH44" s="45"/>
      <c r="NPI44" s="45"/>
      <c r="NPJ44" s="45"/>
      <c r="NPK44" s="45"/>
      <c r="NPL44" s="45"/>
      <c r="NPM44" s="45"/>
      <c r="NPN44" s="45"/>
      <c r="NPO44" s="45"/>
      <c r="NPP44" s="45"/>
      <c r="NPQ44" s="45"/>
      <c r="NPR44" s="45"/>
      <c r="NPS44" s="45"/>
      <c r="NPT44" s="45"/>
      <c r="NPU44" s="45"/>
      <c r="NPV44" s="45"/>
      <c r="NPW44" s="45"/>
      <c r="NPX44" s="45"/>
      <c r="NPY44" s="45"/>
      <c r="NPZ44" s="45"/>
      <c r="NQA44" s="45"/>
      <c r="NQB44" s="45"/>
      <c r="NQC44" s="45"/>
      <c r="NQD44" s="45"/>
      <c r="NQE44" s="45"/>
      <c r="NQF44" s="45"/>
      <c r="NQG44" s="45"/>
      <c r="NQH44" s="45"/>
      <c r="NQI44" s="45"/>
      <c r="NQJ44" s="45"/>
      <c r="NQK44" s="45"/>
      <c r="NQL44" s="45"/>
      <c r="NQM44" s="45"/>
      <c r="NQN44" s="45"/>
      <c r="NQO44" s="45"/>
      <c r="NQP44" s="45"/>
      <c r="NQQ44" s="45"/>
      <c r="NQR44" s="45"/>
      <c r="NQS44" s="45"/>
      <c r="NQT44" s="45"/>
      <c r="NQU44" s="45"/>
      <c r="NQV44" s="45"/>
      <c r="NQW44" s="45"/>
      <c r="NQX44" s="45"/>
      <c r="NQY44" s="45"/>
      <c r="NQZ44" s="45"/>
      <c r="NRA44" s="45"/>
      <c r="NRB44" s="45"/>
      <c r="NRC44" s="45"/>
      <c r="NRD44" s="45"/>
      <c r="NRE44" s="45"/>
      <c r="NRF44" s="45"/>
      <c r="NRG44" s="45"/>
      <c r="NRH44" s="45"/>
      <c r="NRI44" s="45"/>
      <c r="NRJ44" s="45"/>
      <c r="NRK44" s="45"/>
      <c r="NRL44" s="45"/>
      <c r="NRM44" s="45"/>
      <c r="NRN44" s="45"/>
      <c r="NRO44" s="45"/>
      <c r="NRP44" s="45"/>
      <c r="NRQ44" s="45"/>
      <c r="NRR44" s="45"/>
      <c r="NRS44" s="45"/>
      <c r="NRT44" s="45"/>
      <c r="NRU44" s="45"/>
      <c r="NRV44" s="45"/>
      <c r="NRW44" s="45"/>
      <c r="NRX44" s="45"/>
      <c r="NRY44" s="45"/>
      <c r="NRZ44" s="45"/>
      <c r="NSA44" s="45"/>
      <c r="NSB44" s="45"/>
      <c r="NSC44" s="45"/>
      <c r="NSD44" s="45"/>
      <c r="NSE44" s="45"/>
      <c r="NSF44" s="45"/>
      <c r="NSG44" s="45"/>
      <c r="NSH44" s="45"/>
      <c r="NSI44" s="45"/>
      <c r="NSJ44" s="45"/>
      <c r="NSK44" s="45"/>
      <c r="NSL44" s="45"/>
      <c r="NSM44" s="45"/>
      <c r="NSN44" s="45"/>
      <c r="NSO44" s="45"/>
      <c r="NSP44" s="45"/>
      <c r="NSQ44" s="45"/>
      <c r="NSR44" s="45"/>
      <c r="NSS44" s="45"/>
      <c r="NST44" s="45"/>
      <c r="NSU44" s="45"/>
      <c r="NSV44" s="45"/>
      <c r="NSW44" s="45"/>
      <c r="NSX44" s="45"/>
      <c r="NSY44" s="45"/>
      <c r="NSZ44" s="45"/>
      <c r="NTA44" s="45"/>
      <c r="NTB44" s="45"/>
      <c r="NTC44" s="45"/>
      <c r="NTD44" s="45"/>
      <c r="NTE44" s="45"/>
      <c r="NTF44" s="45"/>
      <c r="NTG44" s="45"/>
      <c r="NTH44" s="45"/>
      <c r="NTI44" s="45"/>
      <c r="NTJ44" s="45"/>
      <c r="NTK44" s="45"/>
      <c r="NTL44" s="45"/>
      <c r="NTM44" s="45"/>
      <c r="NTN44" s="45"/>
      <c r="NTO44" s="45"/>
      <c r="NTP44" s="45"/>
      <c r="NTQ44" s="45"/>
      <c r="NTR44" s="45"/>
      <c r="NTS44" s="45"/>
      <c r="NTT44" s="45"/>
      <c r="NTU44" s="45"/>
      <c r="NTV44" s="45"/>
      <c r="NTW44" s="45"/>
      <c r="NTX44" s="45"/>
      <c r="NTY44" s="45"/>
      <c r="NTZ44" s="45"/>
      <c r="NUA44" s="45"/>
      <c r="NUB44" s="45"/>
      <c r="NUC44" s="45"/>
      <c r="NUD44" s="45"/>
      <c r="NUE44" s="45"/>
      <c r="NUF44" s="45"/>
      <c r="NUG44" s="45"/>
      <c r="NUH44" s="45"/>
      <c r="NUI44" s="45"/>
      <c r="NUJ44" s="45"/>
      <c r="NUK44" s="45"/>
      <c r="NUL44" s="45"/>
      <c r="NUM44" s="45"/>
      <c r="NUN44" s="45"/>
      <c r="NUO44" s="45"/>
      <c r="NUP44" s="45"/>
      <c r="NUQ44" s="45"/>
      <c r="NUR44" s="45"/>
      <c r="NUS44" s="45"/>
      <c r="NUT44" s="45"/>
      <c r="NUU44" s="45"/>
      <c r="NUV44" s="45"/>
      <c r="NUW44" s="45"/>
      <c r="NUX44" s="45"/>
      <c r="NUY44" s="45"/>
      <c r="NUZ44" s="45"/>
      <c r="NVA44" s="45"/>
      <c r="NVB44" s="45"/>
      <c r="NVC44" s="45"/>
      <c r="NVD44" s="45"/>
      <c r="NVE44" s="45"/>
      <c r="NVF44" s="45"/>
      <c r="NVG44" s="45"/>
      <c r="NVH44" s="45"/>
      <c r="NVI44" s="45"/>
      <c r="NVJ44" s="45"/>
      <c r="NVK44" s="45"/>
      <c r="NVL44" s="45"/>
      <c r="NVM44" s="45"/>
      <c r="NVN44" s="45"/>
      <c r="NVO44" s="45"/>
      <c r="NVP44" s="45"/>
      <c r="NVQ44" s="45"/>
      <c r="NVR44" s="45"/>
      <c r="NVS44" s="45"/>
      <c r="NVT44" s="45"/>
      <c r="NVU44" s="45"/>
      <c r="NVV44" s="45"/>
      <c r="NVW44" s="45"/>
      <c r="NVX44" s="45"/>
      <c r="NVY44" s="45"/>
      <c r="NVZ44" s="45"/>
      <c r="NWA44" s="45"/>
      <c r="NWB44" s="45"/>
      <c r="NWC44" s="45"/>
      <c r="NWD44" s="45"/>
      <c r="NWE44" s="45"/>
      <c r="NWF44" s="45"/>
      <c r="NWG44" s="45"/>
      <c r="NWH44" s="45"/>
      <c r="NWI44" s="45"/>
      <c r="NWJ44" s="45"/>
      <c r="NWK44" s="45"/>
      <c r="NWL44" s="45"/>
      <c r="NWM44" s="45"/>
      <c r="NWN44" s="45"/>
      <c r="NWO44" s="45"/>
      <c r="NWP44" s="45"/>
      <c r="NWQ44" s="45"/>
      <c r="NWR44" s="45"/>
      <c r="NWS44" s="45"/>
      <c r="NWT44" s="45"/>
      <c r="NWU44" s="45"/>
      <c r="NWV44" s="45"/>
      <c r="NWW44" s="45"/>
      <c r="NWX44" s="45"/>
      <c r="NWY44" s="45"/>
      <c r="NWZ44" s="45"/>
      <c r="NXA44" s="45"/>
      <c r="NXB44" s="45"/>
      <c r="NXC44" s="45"/>
      <c r="NXD44" s="45"/>
      <c r="NXE44" s="45"/>
      <c r="NXF44" s="45"/>
      <c r="NXG44" s="45"/>
      <c r="NXH44" s="45"/>
      <c r="NXI44" s="45"/>
      <c r="NXJ44" s="45"/>
      <c r="NXK44" s="45"/>
      <c r="NXL44" s="45"/>
      <c r="NXM44" s="45"/>
      <c r="NXN44" s="45"/>
      <c r="NXO44" s="45"/>
      <c r="NXP44" s="45"/>
      <c r="NXQ44" s="45"/>
      <c r="NXR44" s="45"/>
      <c r="NXS44" s="45"/>
      <c r="NXT44" s="45"/>
      <c r="NXU44" s="45"/>
      <c r="NXV44" s="45"/>
      <c r="NXW44" s="45"/>
      <c r="NXX44" s="45"/>
      <c r="NXY44" s="45"/>
      <c r="NXZ44" s="45"/>
      <c r="NYA44" s="45"/>
      <c r="NYB44" s="45"/>
      <c r="NYC44" s="45"/>
      <c r="NYD44" s="45"/>
      <c r="NYE44" s="45"/>
      <c r="NYF44" s="45"/>
      <c r="NYG44" s="45"/>
      <c r="NYH44" s="45"/>
      <c r="NYI44" s="45"/>
      <c r="NYJ44" s="45"/>
      <c r="NYK44" s="45"/>
      <c r="NYL44" s="45"/>
      <c r="NYM44" s="45"/>
      <c r="NYN44" s="45"/>
      <c r="NYO44" s="45"/>
      <c r="NYP44" s="45"/>
      <c r="NYQ44" s="45"/>
      <c r="NYR44" s="45"/>
      <c r="NYS44" s="45"/>
      <c r="NYT44" s="45"/>
      <c r="NYU44" s="45"/>
      <c r="NYV44" s="45"/>
      <c r="NYW44" s="45"/>
      <c r="NYX44" s="45"/>
      <c r="NYY44" s="45"/>
      <c r="NYZ44" s="45"/>
      <c r="NZA44" s="45"/>
      <c r="NZB44" s="45"/>
      <c r="NZC44" s="45"/>
      <c r="NZD44" s="45"/>
      <c r="NZE44" s="45"/>
      <c r="NZF44" s="45"/>
      <c r="NZG44" s="45"/>
      <c r="NZH44" s="45"/>
      <c r="NZI44" s="45"/>
      <c r="NZJ44" s="45"/>
      <c r="NZK44" s="45"/>
      <c r="NZL44" s="45"/>
      <c r="NZM44" s="45"/>
      <c r="NZN44" s="45"/>
      <c r="NZO44" s="45"/>
      <c r="NZP44" s="45"/>
      <c r="NZQ44" s="45"/>
      <c r="NZR44" s="45"/>
      <c r="NZS44" s="45"/>
      <c r="NZT44" s="45"/>
      <c r="NZU44" s="45"/>
      <c r="NZV44" s="45"/>
      <c r="NZW44" s="45"/>
      <c r="NZX44" s="45"/>
      <c r="NZY44" s="45"/>
      <c r="NZZ44" s="45"/>
      <c r="OAA44" s="45"/>
      <c r="OAB44" s="45"/>
      <c r="OAC44" s="45"/>
      <c r="OAD44" s="45"/>
      <c r="OAE44" s="45"/>
      <c r="OAF44" s="45"/>
      <c r="OAG44" s="45"/>
      <c r="OAH44" s="45"/>
      <c r="OAI44" s="45"/>
      <c r="OAJ44" s="45"/>
      <c r="OAK44" s="45"/>
      <c r="OAL44" s="45"/>
      <c r="OAM44" s="45"/>
      <c r="OAN44" s="45"/>
      <c r="OAO44" s="45"/>
      <c r="OAP44" s="45"/>
      <c r="OAQ44" s="45"/>
      <c r="OAR44" s="45"/>
      <c r="OAS44" s="45"/>
      <c r="OAT44" s="45"/>
      <c r="OAU44" s="45"/>
      <c r="OAV44" s="45"/>
      <c r="OAW44" s="45"/>
      <c r="OAX44" s="45"/>
      <c r="OAY44" s="45"/>
      <c r="OAZ44" s="45"/>
      <c r="OBA44" s="45"/>
      <c r="OBB44" s="45"/>
      <c r="OBC44" s="45"/>
      <c r="OBD44" s="45"/>
      <c r="OBE44" s="45"/>
      <c r="OBF44" s="45"/>
      <c r="OBG44" s="45"/>
      <c r="OBH44" s="45"/>
      <c r="OBI44" s="45"/>
      <c r="OBJ44" s="45"/>
      <c r="OBK44" s="45"/>
      <c r="OBL44" s="45"/>
      <c r="OBM44" s="45"/>
      <c r="OBN44" s="45"/>
      <c r="OBO44" s="45"/>
      <c r="OBP44" s="45"/>
      <c r="OBQ44" s="45"/>
      <c r="OBR44" s="45"/>
      <c r="OBS44" s="45"/>
      <c r="OBT44" s="45"/>
      <c r="OBU44" s="45"/>
      <c r="OBV44" s="45"/>
      <c r="OBW44" s="45"/>
      <c r="OBX44" s="45"/>
      <c r="OBY44" s="45"/>
      <c r="OBZ44" s="45"/>
      <c r="OCA44" s="45"/>
      <c r="OCB44" s="45"/>
      <c r="OCC44" s="45"/>
      <c r="OCD44" s="45"/>
      <c r="OCE44" s="45"/>
      <c r="OCF44" s="45"/>
      <c r="OCG44" s="45"/>
      <c r="OCH44" s="45"/>
      <c r="OCI44" s="45"/>
      <c r="OCJ44" s="45"/>
      <c r="OCK44" s="45"/>
      <c r="OCL44" s="45"/>
      <c r="OCM44" s="45"/>
      <c r="OCN44" s="45"/>
      <c r="OCO44" s="45"/>
      <c r="OCP44" s="45"/>
      <c r="OCQ44" s="45"/>
      <c r="OCR44" s="45"/>
      <c r="OCS44" s="45"/>
      <c r="OCT44" s="45"/>
      <c r="OCU44" s="45"/>
      <c r="OCV44" s="45"/>
      <c r="OCW44" s="45"/>
      <c r="OCX44" s="45"/>
      <c r="OCY44" s="45"/>
      <c r="OCZ44" s="45"/>
      <c r="ODA44" s="45"/>
      <c r="ODB44" s="45"/>
      <c r="ODC44" s="45"/>
      <c r="ODD44" s="45"/>
      <c r="ODE44" s="45"/>
      <c r="ODF44" s="45"/>
      <c r="ODG44" s="45"/>
      <c r="ODH44" s="45"/>
      <c r="ODI44" s="45"/>
      <c r="ODJ44" s="45"/>
      <c r="ODK44" s="45"/>
      <c r="ODL44" s="45"/>
      <c r="ODM44" s="45"/>
      <c r="ODN44" s="45"/>
      <c r="ODO44" s="45"/>
      <c r="ODP44" s="45"/>
      <c r="ODQ44" s="45"/>
      <c r="ODR44" s="45"/>
      <c r="ODS44" s="45"/>
      <c r="ODT44" s="45"/>
      <c r="ODU44" s="45"/>
      <c r="ODV44" s="45"/>
      <c r="ODW44" s="45"/>
      <c r="ODX44" s="45"/>
      <c r="ODY44" s="45"/>
      <c r="ODZ44" s="45"/>
      <c r="OEA44" s="45"/>
      <c r="OEB44" s="45"/>
      <c r="OEC44" s="45"/>
      <c r="OED44" s="45"/>
      <c r="OEE44" s="45"/>
      <c r="OEF44" s="45"/>
      <c r="OEG44" s="45"/>
      <c r="OEH44" s="45"/>
      <c r="OEI44" s="45"/>
      <c r="OEJ44" s="45"/>
      <c r="OEK44" s="45"/>
      <c r="OEL44" s="45"/>
      <c r="OEM44" s="45"/>
      <c r="OEN44" s="45"/>
      <c r="OEO44" s="45"/>
      <c r="OEP44" s="45"/>
      <c r="OEQ44" s="45"/>
      <c r="OER44" s="45"/>
      <c r="OES44" s="45"/>
      <c r="OET44" s="45"/>
      <c r="OEU44" s="45"/>
      <c r="OEV44" s="45"/>
      <c r="OEW44" s="45"/>
      <c r="OEX44" s="45"/>
      <c r="OEY44" s="45"/>
      <c r="OEZ44" s="45"/>
      <c r="OFA44" s="45"/>
      <c r="OFB44" s="45"/>
      <c r="OFC44" s="45"/>
      <c r="OFD44" s="45"/>
      <c r="OFE44" s="45"/>
      <c r="OFF44" s="45"/>
      <c r="OFG44" s="45"/>
      <c r="OFH44" s="45"/>
      <c r="OFI44" s="45"/>
      <c r="OFJ44" s="45"/>
      <c r="OFK44" s="45"/>
      <c r="OFL44" s="45"/>
      <c r="OFM44" s="45"/>
      <c r="OFN44" s="45"/>
      <c r="OFO44" s="45"/>
      <c r="OFP44" s="45"/>
      <c r="OFQ44" s="45"/>
      <c r="OFR44" s="45"/>
      <c r="OFS44" s="45"/>
      <c r="OFT44" s="45"/>
      <c r="OFU44" s="45"/>
      <c r="OFV44" s="45"/>
      <c r="OFW44" s="45"/>
      <c r="OFX44" s="45"/>
      <c r="OFY44" s="45"/>
      <c r="OFZ44" s="45"/>
      <c r="OGA44" s="45"/>
      <c r="OGB44" s="45"/>
      <c r="OGC44" s="45"/>
      <c r="OGD44" s="45"/>
      <c r="OGE44" s="45"/>
      <c r="OGF44" s="45"/>
      <c r="OGG44" s="45"/>
      <c r="OGH44" s="45"/>
      <c r="OGI44" s="45"/>
      <c r="OGJ44" s="45"/>
      <c r="OGK44" s="45"/>
      <c r="OGL44" s="45"/>
      <c r="OGM44" s="45"/>
      <c r="OGN44" s="45"/>
      <c r="OGO44" s="45"/>
      <c r="OGP44" s="45"/>
      <c r="OGQ44" s="45"/>
      <c r="OGR44" s="45"/>
      <c r="OGS44" s="45"/>
      <c r="OGT44" s="45"/>
      <c r="OGU44" s="45"/>
      <c r="OGV44" s="45"/>
      <c r="OGW44" s="45"/>
      <c r="OGX44" s="45"/>
      <c r="OGY44" s="45"/>
      <c r="OGZ44" s="45"/>
      <c r="OHA44" s="45"/>
      <c r="OHB44" s="45"/>
      <c r="OHC44" s="45"/>
      <c r="OHD44" s="45"/>
      <c r="OHE44" s="45"/>
      <c r="OHF44" s="45"/>
      <c r="OHG44" s="45"/>
      <c r="OHH44" s="45"/>
      <c r="OHI44" s="45"/>
      <c r="OHJ44" s="45"/>
      <c r="OHK44" s="45"/>
      <c r="OHL44" s="45"/>
      <c r="OHM44" s="45"/>
      <c r="OHN44" s="45"/>
      <c r="OHO44" s="45"/>
      <c r="OHP44" s="45"/>
      <c r="OHQ44" s="45"/>
      <c r="OHR44" s="45"/>
      <c r="OHS44" s="45"/>
      <c r="OHT44" s="45"/>
      <c r="OHU44" s="45"/>
      <c r="OHV44" s="45"/>
      <c r="OHW44" s="45"/>
      <c r="OHX44" s="45"/>
      <c r="OHY44" s="45"/>
      <c r="OHZ44" s="45"/>
      <c r="OIA44" s="45"/>
      <c r="OIB44" s="45"/>
      <c r="OIC44" s="45"/>
      <c r="OID44" s="45"/>
      <c r="OIE44" s="45"/>
      <c r="OIF44" s="45"/>
      <c r="OIG44" s="45"/>
      <c r="OIH44" s="45"/>
      <c r="OII44" s="45"/>
      <c r="OIJ44" s="45"/>
      <c r="OIK44" s="45"/>
      <c r="OIL44" s="45"/>
      <c r="OIM44" s="45"/>
      <c r="OIN44" s="45"/>
      <c r="OIO44" s="45"/>
      <c r="OIP44" s="45"/>
      <c r="OIQ44" s="45"/>
      <c r="OIR44" s="45"/>
      <c r="OIS44" s="45"/>
      <c r="OIT44" s="45"/>
      <c r="OIU44" s="45"/>
      <c r="OIV44" s="45"/>
      <c r="OIW44" s="45"/>
      <c r="OIX44" s="45"/>
      <c r="OIY44" s="45"/>
      <c r="OIZ44" s="45"/>
      <c r="OJA44" s="45"/>
      <c r="OJB44" s="45"/>
      <c r="OJC44" s="45"/>
      <c r="OJD44" s="45"/>
      <c r="OJE44" s="45"/>
      <c r="OJF44" s="45"/>
      <c r="OJG44" s="45"/>
      <c r="OJH44" s="45"/>
      <c r="OJI44" s="45"/>
      <c r="OJJ44" s="45"/>
      <c r="OJK44" s="45"/>
      <c r="OJL44" s="45"/>
      <c r="OJM44" s="45"/>
      <c r="OJN44" s="45"/>
      <c r="OJO44" s="45"/>
      <c r="OJP44" s="45"/>
      <c r="OJQ44" s="45"/>
      <c r="OJR44" s="45"/>
      <c r="OJS44" s="45"/>
      <c r="OJT44" s="45"/>
      <c r="OJU44" s="45"/>
      <c r="OJV44" s="45"/>
      <c r="OJW44" s="45"/>
      <c r="OJX44" s="45"/>
      <c r="OJY44" s="45"/>
      <c r="OJZ44" s="45"/>
      <c r="OKA44" s="45"/>
      <c r="OKB44" s="45"/>
      <c r="OKC44" s="45"/>
      <c r="OKD44" s="45"/>
      <c r="OKE44" s="45"/>
      <c r="OKF44" s="45"/>
      <c r="OKG44" s="45"/>
      <c r="OKH44" s="45"/>
      <c r="OKI44" s="45"/>
      <c r="OKJ44" s="45"/>
      <c r="OKK44" s="45"/>
      <c r="OKL44" s="45"/>
      <c r="OKM44" s="45"/>
      <c r="OKN44" s="45"/>
      <c r="OKO44" s="45"/>
      <c r="OKP44" s="45"/>
      <c r="OKQ44" s="45"/>
      <c r="OKR44" s="45"/>
      <c r="OKS44" s="45"/>
      <c r="OKT44" s="45"/>
      <c r="OKU44" s="45"/>
      <c r="OKV44" s="45"/>
      <c r="OKW44" s="45"/>
      <c r="OKX44" s="45"/>
      <c r="OKY44" s="45"/>
      <c r="OKZ44" s="45"/>
      <c r="OLA44" s="45"/>
      <c r="OLB44" s="45"/>
      <c r="OLC44" s="45"/>
      <c r="OLD44" s="45"/>
      <c r="OLE44" s="45"/>
      <c r="OLF44" s="45"/>
      <c r="OLG44" s="45"/>
      <c r="OLH44" s="45"/>
      <c r="OLI44" s="45"/>
      <c r="OLJ44" s="45"/>
      <c r="OLK44" s="45"/>
      <c r="OLL44" s="45"/>
      <c r="OLM44" s="45"/>
      <c r="OLN44" s="45"/>
      <c r="OLO44" s="45"/>
      <c r="OLP44" s="45"/>
      <c r="OLQ44" s="45"/>
      <c r="OLR44" s="45"/>
      <c r="OLS44" s="45"/>
      <c r="OLT44" s="45"/>
      <c r="OLU44" s="45"/>
      <c r="OLV44" s="45"/>
      <c r="OLW44" s="45"/>
      <c r="OLX44" s="45"/>
      <c r="OLY44" s="45"/>
      <c r="OLZ44" s="45"/>
      <c r="OMA44" s="45"/>
      <c r="OMB44" s="45"/>
      <c r="OMC44" s="45"/>
      <c r="OMD44" s="45"/>
      <c r="OME44" s="45"/>
      <c r="OMF44" s="45"/>
      <c r="OMG44" s="45"/>
      <c r="OMH44" s="45"/>
      <c r="OMI44" s="45"/>
      <c r="OMJ44" s="45"/>
      <c r="OMK44" s="45"/>
      <c r="OML44" s="45"/>
      <c r="OMM44" s="45"/>
      <c r="OMN44" s="45"/>
      <c r="OMO44" s="45"/>
      <c r="OMP44" s="45"/>
      <c r="OMQ44" s="45"/>
      <c r="OMR44" s="45"/>
      <c r="OMS44" s="45"/>
      <c r="OMT44" s="45"/>
      <c r="OMU44" s="45"/>
      <c r="OMV44" s="45"/>
      <c r="OMW44" s="45"/>
      <c r="OMX44" s="45"/>
      <c r="OMY44" s="45"/>
      <c r="OMZ44" s="45"/>
      <c r="ONA44" s="45"/>
      <c r="ONB44" s="45"/>
      <c r="ONC44" s="45"/>
      <c r="OND44" s="45"/>
      <c r="ONE44" s="45"/>
      <c r="ONF44" s="45"/>
      <c r="ONG44" s="45"/>
      <c r="ONH44" s="45"/>
      <c r="ONI44" s="45"/>
      <c r="ONJ44" s="45"/>
      <c r="ONK44" s="45"/>
      <c r="ONL44" s="45"/>
      <c r="ONM44" s="45"/>
      <c r="ONN44" s="45"/>
      <c r="ONO44" s="45"/>
      <c r="ONP44" s="45"/>
      <c r="ONQ44" s="45"/>
      <c r="ONR44" s="45"/>
      <c r="ONS44" s="45"/>
      <c r="ONT44" s="45"/>
      <c r="ONU44" s="45"/>
      <c r="ONV44" s="45"/>
      <c r="ONW44" s="45"/>
      <c r="ONX44" s="45"/>
      <c r="ONY44" s="45"/>
      <c r="ONZ44" s="45"/>
      <c r="OOA44" s="45"/>
      <c r="OOB44" s="45"/>
      <c r="OOC44" s="45"/>
      <c r="OOD44" s="45"/>
      <c r="OOE44" s="45"/>
      <c r="OOF44" s="45"/>
      <c r="OOG44" s="45"/>
      <c r="OOH44" s="45"/>
      <c r="OOI44" s="45"/>
      <c r="OOJ44" s="45"/>
      <c r="OOK44" s="45"/>
      <c r="OOL44" s="45"/>
      <c r="OOM44" s="45"/>
      <c r="OON44" s="45"/>
      <c r="OOO44" s="45"/>
      <c r="OOP44" s="45"/>
      <c r="OOQ44" s="45"/>
      <c r="OOR44" s="45"/>
      <c r="OOS44" s="45"/>
      <c r="OOT44" s="45"/>
      <c r="OOU44" s="45"/>
      <c r="OOV44" s="45"/>
      <c r="OOW44" s="45"/>
      <c r="OOX44" s="45"/>
      <c r="OOY44" s="45"/>
      <c r="OOZ44" s="45"/>
      <c r="OPA44" s="45"/>
      <c r="OPB44" s="45"/>
      <c r="OPC44" s="45"/>
      <c r="OPD44" s="45"/>
      <c r="OPE44" s="45"/>
      <c r="OPF44" s="45"/>
      <c r="OPG44" s="45"/>
      <c r="OPH44" s="45"/>
      <c r="OPI44" s="45"/>
      <c r="OPJ44" s="45"/>
      <c r="OPK44" s="45"/>
      <c r="OPL44" s="45"/>
      <c r="OPM44" s="45"/>
      <c r="OPN44" s="45"/>
      <c r="OPO44" s="45"/>
      <c r="OPP44" s="45"/>
      <c r="OPQ44" s="45"/>
      <c r="OPR44" s="45"/>
      <c r="OPS44" s="45"/>
      <c r="OPT44" s="45"/>
      <c r="OPU44" s="45"/>
      <c r="OPV44" s="45"/>
      <c r="OPW44" s="45"/>
      <c r="OPX44" s="45"/>
      <c r="OPY44" s="45"/>
      <c r="OPZ44" s="45"/>
      <c r="OQA44" s="45"/>
      <c r="OQB44" s="45"/>
      <c r="OQC44" s="45"/>
      <c r="OQD44" s="45"/>
      <c r="OQE44" s="45"/>
      <c r="OQF44" s="45"/>
      <c r="OQG44" s="45"/>
      <c r="OQH44" s="45"/>
      <c r="OQI44" s="45"/>
      <c r="OQJ44" s="45"/>
      <c r="OQK44" s="45"/>
      <c r="OQL44" s="45"/>
      <c r="OQM44" s="45"/>
      <c r="OQN44" s="45"/>
      <c r="OQO44" s="45"/>
      <c r="OQP44" s="45"/>
      <c r="OQQ44" s="45"/>
      <c r="OQR44" s="45"/>
      <c r="OQS44" s="45"/>
      <c r="OQT44" s="45"/>
      <c r="OQU44" s="45"/>
      <c r="OQV44" s="45"/>
      <c r="OQW44" s="45"/>
      <c r="OQX44" s="45"/>
      <c r="OQY44" s="45"/>
      <c r="OQZ44" s="45"/>
      <c r="ORA44" s="45"/>
      <c r="ORB44" s="45"/>
      <c r="ORC44" s="45"/>
      <c r="ORD44" s="45"/>
      <c r="ORE44" s="45"/>
      <c r="ORF44" s="45"/>
      <c r="ORG44" s="45"/>
      <c r="ORH44" s="45"/>
      <c r="ORI44" s="45"/>
      <c r="ORJ44" s="45"/>
      <c r="ORK44" s="45"/>
      <c r="ORL44" s="45"/>
      <c r="ORM44" s="45"/>
      <c r="ORN44" s="45"/>
      <c r="ORO44" s="45"/>
      <c r="ORP44" s="45"/>
      <c r="ORQ44" s="45"/>
      <c r="ORR44" s="45"/>
      <c r="ORS44" s="45"/>
      <c r="ORT44" s="45"/>
      <c r="ORU44" s="45"/>
      <c r="ORV44" s="45"/>
      <c r="ORW44" s="45"/>
      <c r="ORX44" s="45"/>
      <c r="ORY44" s="45"/>
      <c r="ORZ44" s="45"/>
      <c r="OSA44" s="45"/>
      <c r="OSB44" s="45"/>
      <c r="OSC44" s="45"/>
      <c r="OSD44" s="45"/>
      <c r="OSE44" s="45"/>
      <c r="OSF44" s="45"/>
      <c r="OSG44" s="45"/>
      <c r="OSH44" s="45"/>
      <c r="OSI44" s="45"/>
      <c r="OSJ44" s="45"/>
      <c r="OSK44" s="45"/>
      <c r="OSL44" s="45"/>
      <c r="OSM44" s="45"/>
      <c r="OSN44" s="45"/>
      <c r="OSO44" s="45"/>
      <c r="OSP44" s="45"/>
      <c r="OSQ44" s="45"/>
      <c r="OSR44" s="45"/>
      <c r="OSS44" s="45"/>
      <c r="OST44" s="45"/>
      <c r="OSU44" s="45"/>
      <c r="OSV44" s="45"/>
      <c r="OSW44" s="45"/>
      <c r="OSX44" s="45"/>
      <c r="OSY44" s="45"/>
      <c r="OSZ44" s="45"/>
      <c r="OTA44" s="45"/>
      <c r="OTB44" s="45"/>
      <c r="OTC44" s="45"/>
      <c r="OTD44" s="45"/>
      <c r="OTE44" s="45"/>
      <c r="OTF44" s="45"/>
      <c r="OTG44" s="45"/>
      <c r="OTH44" s="45"/>
      <c r="OTI44" s="45"/>
      <c r="OTJ44" s="45"/>
      <c r="OTK44" s="45"/>
      <c r="OTL44" s="45"/>
      <c r="OTM44" s="45"/>
      <c r="OTN44" s="45"/>
      <c r="OTO44" s="45"/>
      <c r="OTP44" s="45"/>
      <c r="OTQ44" s="45"/>
      <c r="OTR44" s="45"/>
      <c r="OTS44" s="45"/>
      <c r="OTT44" s="45"/>
      <c r="OTU44" s="45"/>
      <c r="OTV44" s="45"/>
      <c r="OTW44" s="45"/>
      <c r="OTX44" s="45"/>
      <c r="OTY44" s="45"/>
      <c r="OTZ44" s="45"/>
      <c r="OUA44" s="45"/>
      <c r="OUB44" s="45"/>
      <c r="OUC44" s="45"/>
      <c r="OUD44" s="45"/>
      <c r="OUE44" s="45"/>
      <c r="OUF44" s="45"/>
      <c r="OUG44" s="45"/>
      <c r="OUH44" s="45"/>
      <c r="OUI44" s="45"/>
      <c r="OUJ44" s="45"/>
      <c r="OUK44" s="45"/>
      <c r="OUL44" s="45"/>
      <c r="OUM44" s="45"/>
      <c r="OUN44" s="45"/>
      <c r="OUO44" s="45"/>
      <c r="OUP44" s="45"/>
      <c r="OUQ44" s="45"/>
      <c r="OUR44" s="45"/>
      <c r="OUS44" s="45"/>
      <c r="OUT44" s="45"/>
      <c r="OUU44" s="45"/>
      <c r="OUV44" s="45"/>
      <c r="OUW44" s="45"/>
      <c r="OUX44" s="45"/>
      <c r="OUY44" s="45"/>
      <c r="OUZ44" s="45"/>
      <c r="OVA44" s="45"/>
      <c r="OVB44" s="45"/>
      <c r="OVC44" s="45"/>
      <c r="OVD44" s="45"/>
      <c r="OVE44" s="45"/>
      <c r="OVF44" s="45"/>
      <c r="OVG44" s="45"/>
      <c r="OVH44" s="45"/>
      <c r="OVI44" s="45"/>
      <c r="OVJ44" s="45"/>
      <c r="OVK44" s="45"/>
      <c r="OVL44" s="45"/>
      <c r="OVM44" s="45"/>
      <c r="OVN44" s="45"/>
      <c r="OVO44" s="45"/>
      <c r="OVP44" s="45"/>
      <c r="OVQ44" s="45"/>
      <c r="OVR44" s="45"/>
      <c r="OVS44" s="45"/>
      <c r="OVT44" s="45"/>
      <c r="OVU44" s="45"/>
      <c r="OVV44" s="45"/>
      <c r="OVW44" s="45"/>
      <c r="OVX44" s="45"/>
      <c r="OVY44" s="45"/>
      <c r="OVZ44" s="45"/>
      <c r="OWA44" s="45"/>
      <c r="OWB44" s="45"/>
      <c r="OWC44" s="45"/>
      <c r="OWD44" s="45"/>
      <c r="OWE44" s="45"/>
      <c r="OWF44" s="45"/>
      <c r="OWG44" s="45"/>
      <c r="OWH44" s="45"/>
      <c r="OWI44" s="45"/>
      <c r="OWJ44" s="45"/>
      <c r="OWK44" s="45"/>
      <c r="OWL44" s="45"/>
      <c r="OWM44" s="45"/>
      <c r="OWN44" s="45"/>
      <c r="OWO44" s="45"/>
      <c r="OWP44" s="45"/>
      <c r="OWQ44" s="45"/>
      <c r="OWR44" s="45"/>
      <c r="OWS44" s="45"/>
      <c r="OWT44" s="45"/>
      <c r="OWU44" s="45"/>
      <c r="OWV44" s="45"/>
      <c r="OWW44" s="45"/>
      <c r="OWX44" s="45"/>
      <c r="OWY44" s="45"/>
      <c r="OWZ44" s="45"/>
      <c r="OXA44" s="45"/>
      <c r="OXB44" s="45"/>
      <c r="OXC44" s="45"/>
      <c r="OXD44" s="45"/>
      <c r="OXE44" s="45"/>
      <c r="OXF44" s="45"/>
      <c r="OXG44" s="45"/>
      <c r="OXH44" s="45"/>
      <c r="OXI44" s="45"/>
      <c r="OXJ44" s="45"/>
      <c r="OXK44" s="45"/>
      <c r="OXL44" s="45"/>
      <c r="OXM44" s="45"/>
      <c r="OXN44" s="45"/>
      <c r="OXO44" s="45"/>
      <c r="OXP44" s="45"/>
      <c r="OXQ44" s="45"/>
      <c r="OXR44" s="45"/>
      <c r="OXS44" s="45"/>
      <c r="OXT44" s="45"/>
      <c r="OXU44" s="45"/>
      <c r="OXV44" s="45"/>
      <c r="OXW44" s="45"/>
      <c r="OXX44" s="45"/>
      <c r="OXY44" s="45"/>
      <c r="OXZ44" s="45"/>
      <c r="OYA44" s="45"/>
      <c r="OYB44" s="45"/>
      <c r="OYC44" s="45"/>
      <c r="OYD44" s="45"/>
      <c r="OYE44" s="45"/>
      <c r="OYF44" s="45"/>
      <c r="OYG44" s="45"/>
      <c r="OYH44" s="45"/>
      <c r="OYI44" s="45"/>
      <c r="OYJ44" s="45"/>
      <c r="OYK44" s="45"/>
      <c r="OYL44" s="45"/>
      <c r="OYM44" s="45"/>
      <c r="OYN44" s="45"/>
      <c r="OYO44" s="45"/>
      <c r="OYP44" s="45"/>
      <c r="OYQ44" s="45"/>
      <c r="OYR44" s="45"/>
      <c r="OYS44" s="45"/>
      <c r="OYT44" s="45"/>
      <c r="OYU44" s="45"/>
      <c r="OYV44" s="45"/>
      <c r="OYW44" s="45"/>
      <c r="OYX44" s="45"/>
      <c r="OYY44" s="45"/>
      <c r="OYZ44" s="45"/>
      <c r="OZA44" s="45"/>
      <c r="OZB44" s="45"/>
      <c r="OZC44" s="45"/>
      <c r="OZD44" s="45"/>
      <c r="OZE44" s="45"/>
      <c r="OZF44" s="45"/>
      <c r="OZG44" s="45"/>
      <c r="OZH44" s="45"/>
      <c r="OZI44" s="45"/>
      <c r="OZJ44" s="45"/>
      <c r="OZK44" s="45"/>
      <c r="OZL44" s="45"/>
      <c r="OZM44" s="45"/>
      <c r="OZN44" s="45"/>
      <c r="OZO44" s="45"/>
      <c r="OZP44" s="45"/>
      <c r="OZQ44" s="45"/>
      <c r="OZR44" s="45"/>
      <c r="OZS44" s="45"/>
      <c r="OZT44" s="45"/>
      <c r="OZU44" s="45"/>
      <c r="OZV44" s="45"/>
      <c r="OZW44" s="45"/>
      <c r="OZX44" s="45"/>
      <c r="OZY44" s="45"/>
      <c r="OZZ44" s="45"/>
      <c r="PAA44" s="45"/>
      <c r="PAB44" s="45"/>
      <c r="PAC44" s="45"/>
      <c r="PAD44" s="45"/>
      <c r="PAE44" s="45"/>
      <c r="PAF44" s="45"/>
      <c r="PAG44" s="45"/>
      <c r="PAH44" s="45"/>
      <c r="PAI44" s="45"/>
      <c r="PAJ44" s="45"/>
      <c r="PAK44" s="45"/>
      <c r="PAL44" s="45"/>
      <c r="PAM44" s="45"/>
      <c r="PAN44" s="45"/>
      <c r="PAO44" s="45"/>
      <c r="PAP44" s="45"/>
      <c r="PAQ44" s="45"/>
      <c r="PAR44" s="45"/>
      <c r="PAS44" s="45"/>
      <c r="PAT44" s="45"/>
      <c r="PAU44" s="45"/>
      <c r="PAV44" s="45"/>
      <c r="PAW44" s="45"/>
      <c r="PAX44" s="45"/>
      <c r="PAY44" s="45"/>
      <c r="PAZ44" s="45"/>
      <c r="PBA44" s="45"/>
      <c r="PBB44" s="45"/>
      <c r="PBC44" s="45"/>
      <c r="PBD44" s="45"/>
      <c r="PBE44" s="45"/>
      <c r="PBF44" s="45"/>
      <c r="PBG44" s="45"/>
      <c r="PBH44" s="45"/>
      <c r="PBI44" s="45"/>
      <c r="PBJ44" s="45"/>
      <c r="PBK44" s="45"/>
      <c r="PBL44" s="45"/>
      <c r="PBM44" s="45"/>
      <c r="PBN44" s="45"/>
      <c r="PBO44" s="45"/>
      <c r="PBP44" s="45"/>
      <c r="PBQ44" s="45"/>
      <c r="PBR44" s="45"/>
      <c r="PBS44" s="45"/>
      <c r="PBT44" s="45"/>
      <c r="PBU44" s="45"/>
      <c r="PBV44" s="45"/>
      <c r="PBW44" s="45"/>
      <c r="PBX44" s="45"/>
      <c r="PBY44" s="45"/>
      <c r="PBZ44" s="45"/>
      <c r="PCA44" s="45"/>
      <c r="PCB44" s="45"/>
      <c r="PCC44" s="45"/>
      <c r="PCD44" s="45"/>
      <c r="PCE44" s="45"/>
      <c r="PCF44" s="45"/>
      <c r="PCG44" s="45"/>
      <c r="PCH44" s="45"/>
      <c r="PCI44" s="45"/>
      <c r="PCJ44" s="45"/>
      <c r="PCK44" s="45"/>
      <c r="PCL44" s="45"/>
      <c r="PCM44" s="45"/>
      <c r="PCN44" s="45"/>
      <c r="PCO44" s="45"/>
      <c r="PCP44" s="45"/>
      <c r="PCQ44" s="45"/>
      <c r="PCR44" s="45"/>
      <c r="PCS44" s="45"/>
      <c r="PCT44" s="45"/>
      <c r="PCU44" s="45"/>
      <c r="PCV44" s="45"/>
      <c r="PCW44" s="45"/>
      <c r="PCX44" s="45"/>
      <c r="PCY44" s="45"/>
      <c r="PCZ44" s="45"/>
      <c r="PDA44" s="45"/>
      <c r="PDB44" s="45"/>
      <c r="PDC44" s="45"/>
      <c r="PDD44" s="45"/>
      <c r="PDE44" s="45"/>
      <c r="PDF44" s="45"/>
      <c r="PDG44" s="45"/>
      <c r="PDH44" s="45"/>
      <c r="PDI44" s="45"/>
      <c r="PDJ44" s="45"/>
      <c r="PDK44" s="45"/>
      <c r="PDL44" s="45"/>
      <c r="PDM44" s="45"/>
      <c r="PDN44" s="45"/>
      <c r="PDO44" s="45"/>
      <c r="PDP44" s="45"/>
      <c r="PDQ44" s="45"/>
      <c r="PDR44" s="45"/>
      <c r="PDS44" s="45"/>
      <c r="PDT44" s="45"/>
      <c r="PDU44" s="45"/>
      <c r="PDV44" s="45"/>
      <c r="PDW44" s="45"/>
      <c r="PDX44" s="45"/>
      <c r="PDY44" s="45"/>
      <c r="PDZ44" s="45"/>
      <c r="PEA44" s="45"/>
      <c r="PEB44" s="45"/>
      <c r="PEC44" s="45"/>
      <c r="PED44" s="45"/>
      <c r="PEE44" s="45"/>
      <c r="PEF44" s="45"/>
      <c r="PEG44" s="45"/>
      <c r="PEH44" s="45"/>
      <c r="PEI44" s="45"/>
      <c r="PEJ44" s="45"/>
      <c r="PEK44" s="45"/>
      <c r="PEL44" s="45"/>
      <c r="PEM44" s="45"/>
      <c r="PEN44" s="45"/>
      <c r="PEO44" s="45"/>
      <c r="PEP44" s="45"/>
      <c r="PEQ44" s="45"/>
      <c r="PER44" s="45"/>
      <c r="PES44" s="45"/>
      <c r="PET44" s="45"/>
      <c r="PEU44" s="45"/>
      <c r="PEV44" s="45"/>
      <c r="PEW44" s="45"/>
      <c r="PEX44" s="45"/>
      <c r="PEY44" s="45"/>
      <c r="PEZ44" s="45"/>
      <c r="PFA44" s="45"/>
      <c r="PFB44" s="45"/>
      <c r="PFC44" s="45"/>
      <c r="PFD44" s="45"/>
      <c r="PFE44" s="45"/>
      <c r="PFF44" s="45"/>
      <c r="PFG44" s="45"/>
      <c r="PFH44" s="45"/>
      <c r="PFI44" s="45"/>
      <c r="PFJ44" s="45"/>
      <c r="PFK44" s="45"/>
      <c r="PFL44" s="45"/>
      <c r="PFM44" s="45"/>
      <c r="PFN44" s="45"/>
      <c r="PFO44" s="45"/>
      <c r="PFP44" s="45"/>
      <c r="PFQ44" s="45"/>
      <c r="PFR44" s="45"/>
      <c r="PFS44" s="45"/>
      <c r="PFT44" s="45"/>
      <c r="PFU44" s="45"/>
      <c r="PFV44" s="45"/>
      <c r="PFW44" s="45"/>
      <c r="PFX44" s="45"/>
      <c r="PFY44" s="45"/>
      <c r="PFZ44" s="45"/>
      <c r="PGA44" s="45"/>
      <c r="PGB44" s="45"/>
      <c r="PGC44" s="45"/>
      <c r="PGD44" s="45"/>
      <c r="PGE44" s="45"/>
      <c r="PGF44" s="45"/>
      <c r="PGG44" s="45"/>
      <c r="PGH44" s="45"/>
      <c r="PGI44" s="45"/>
      <c r="PGJ44" s="45"/>
      <c r="PGK44" s="45"/>
      <c r="PGL44" s="45"/>
      <c r="PGM44" s="45"/>
      <c r="PGN44" s="45"/>
      <c r="PGO44" s="45"/>
      <c r="PGP44" s="45"/>
      <c r="PGQ44" s="45"/>
      <c r="PGR44" s="45"/>
      <c r="PGS44" s="45"/>
      <c r="PGT44" s="45"/>
      <c r="PGU44" s="45"/>
      <c r="PGV44" s="45"/>
      <c r="PGW44" s="45"/>
      <c r="PGX44" s="45"/>
      <c r="PGY44" s="45"/>
      <c r="PGZ44" s="45"/>
      <c r="PHA44" s="45"/>
      <c r="PHB44" s="45"/>
      <c r="PHC44" s="45"/>
      <c r="PHD44" s="45"/>
      <c r="PHE44" s="45"/>
      <c r="PHF44" s="45"/>
      <c r="PHG44" s="45"/>
      <c r="PHH44" s="45"/>
      <c r="PHI44" s="45"/>
      <c r="PHJ44" s="45"/>
      <c r="PHK44" s="45"/>
      <c r="PHL44" s="45"/>
      <c r="PHM44" s="45"/>
      <c r="PHN44" s="45"/>
      <c r="PHO44" s="45"/>
      <c r="PHP44" s="45"/>
      <c r="PHQ44" s="45"/>
      <c r="PHR44" s="45"/>
      <c r="PHS44" s="45"/>
      <c r="PHT44" s="45"/>
      <c r="PHU44" s="45"/>
      <c r="PHV44" s="45"/>
      <c r="PHW44" s="45"/>
      <c r="PHX44" s="45"/>
      <c r="PHY44" s="45"/>
      <c r="PHZ44" s="45"/>
      <c r="PIA44" s="45"/>
      <c r="PIB44" s="45"/>
      <c r="PIC44" s="45"/>
      <c r="PID44" s="45"/>
      <c r="PIE44" s="45"/>
      <c r="PIF44" s="45"/>
      <c r="PIG44" s="45"/>
      <c r="PIH44" s="45"/>
      <c r="PII44" s="45"/>
      <c r="PIJ44" s="45"/>
      <c r="PIK44" s="45"/>
      <c r="PIL44" s="45"/>
      <c r="PIM44" s="45"/>
      <c r="PIN44" s="45"/>
      <c r="PIO44" s="45"/>
      <c r="PIP44" s="45"/>
      <c r="PIQ44" s="45"/>
      <c r="PIR44" s="45"/>
      <c r="PIS44" s="45"/>
      <c r="PIT44" s="45"/>
      <c r="PIU44" s="45"/>
      <c r="PIV44" s="45"/>
      <c r="PIW44" s="45"/>
      <c r="PIX44" s="45"/>
      <c r="PIY44" s="45"/>
      <c r="PIZ44" s="45"/>
      <c r="PJA44" s="45"/>
      <c r="PJB44" s="45"/>
      <c r="PJC44" s="45"/>
      <c r="PJD44" s="45"/>
      <c r="PJE44" s="45"/>
      <c r="PJF44" s="45"/>
      <c r="PJG44" s="45"/>
      <c r="PJH44" s="45"/>
      <c r="PJI44" s="45"/>
      <c r="PJJ44" s="45"/>
      <c r="PJK44" s="45"/>
      <c r="PJL44" s="45"/>
      <c r="PJM44" s="45"/>
      <c r="PJN44" s="45"/>
      <c r="PJO44" s="45"/>
      <c r="PJP44" s="45"/>
      <c r="PJQ44" s="45"/>
      <c r="PJR44" s="45"/>
      <c r="PJS44" s="45"/>
      <c r="PJT44" s="45"/>
      <c r="PJU44" s="45"/>
      <c r="PJV44" s="45"/>
      <c r="PJW44" s="45"/>
      <c r="PJX44" s="45"/>
      <c r="PJY44" s="45"/>
      <c r="PJZ44" s="45"/>
      <c r="PKA44" s="45"/>
      <c r="PKB44" s="45"/>
      <c r="PKC44" s="45"/>
      <c r="PKD44" s="45"/>
      <c r="PKE44" s="45"/>
      <c r="PKF44" s="45"/>
      <c r="PKG44" s="45"/>
      <c r="PKH44" s="45"/>
      <c r="PKI44" s="45"/>
      <c r="PKJ44" s="45"/>
      <c r="PKK44" s="45"/>
      <c r="PKL44" s="45"/>
      <c r="PKM44" s="45"/>
      <c r="PKN44" s="45"/>
      <c r="PKO44" s="45"/>
      <c r="PKP44" s="45"/>
      <c r="PKQ44" s="45"/>
      <c r="PKR44" s="45"/>
      <c r="PKS44" s="45"/>
      <c r="PKT44" s="45"/>
      <c r="PKU44" s="45"/>
      <c r="PKV44" s="45"/>
      <c r="PKW44" s="45"/>
      <c r="PKX44" s="45"/>
      <c r="PKY44" s="45"/>
      <c r="PKZ44" s="45"/>
      <c r="PLA44" s="45"/>
      <c r="PLB44" s="45"/>
      <c r="PLC44" s="45"/>
      <c r="PLD44" s="45"/>
      <c r="PLE44" s="45"/>
      <c r="PLF44" s="45"/>
      <c r="PLG44" s="45"/>
      <c r="PLH44" s="45"/>
      <c r="PLI44" s="45"/>
      <c r="PLJ44" s="45"/>
      <c r="PLK44" s="45"/>
      <c r="PLL44" s="45"/>
      <c r="PLM44" s="45"/>
      <c r="PLN44" s="45"/>
      <c r="PLO44" s="45"/>
      <c r="PLP44" s="45"/>
      <c r="PLQ44" s="45"/>
      <c r="PLR44" s="45"/>
      <c r="PLS44" s="45"/>
      <c r="PLT44" s="45"/>
      <c r="PLU44" s="45"/>
      <c r="PLV44" s="45"/>
      <c r="PLW44" s="45"/>
      <c r="PLX44" s="45"/>
      <c r="PLY44" s="45"/>
      <c r="PLZ44" s="45"/>
      <c r="PMA44" s="45"/>
      <c r="PMB44" s="45"/>
      <c r="PMC44" s="45"/>
      <c r="PMD44" s="45"/>
      <c r="PME44" s="45"/>
      <c r="PMF44" s="45"/>
      <c r="PMG44" s="45"/>
      <c r="PMH44" s="45"/>
      <c r="PMI44" s="45"/>
      <c r="PMJ44" s="45"/>
      <c r="PMK44" s="45"/>
      <c r="PML44" s="45"/>
      <c r="PMM44" s="45"/>
      <c r="PMN44" s="45"/>
      <c r="PMO44" s="45"/>
      <c r="PMP44" s="45"/>
      <c r="PMQ44" s="45"/>
      <c r="PMR44" s="45"/>
      <c r="PMS44" s="45"/>
      <c r="PMT44" s="45"/>
      <c r="PMU44" s="45"/>
      <c r="PMV44" s="45"/>
      <c r="PMW44" s="45"/>
      <c r="PMX44" s="45"/>
      <c r="PMY44" s="45"/>
      <c r="PMZ44" s="45"/>
      <c r="PNA44" s="45"/>
      <c r="PNB44" s="45"/>
      <c r="PNC44" s="45"/>
      <c r="PND44" s="45"/>
      <c r="PNE44" s="45"/>
      <c r="PNF44" s="45"/>
      <c r="PNG44" s="45"/>
      <c r="PNH44" s="45"/>
      <c r="PNI44" s="45"/>
      <c r="PNJ44" s="45"/>
      <c r="PNK44" s="45"/>
      <c r="PNL44" s="45"/>
      <c r="PNM44" s="45"/>
      <c r="PNN44" s="45"/>
      <c r="PNO44" s="45"/>
      <c r="PNP44" s="45"/>
      <c r="PNQ44" s="45"/>
      <c r="PNR44" s="45"/>
      <c r="PNS44" s="45"/>
      <c r="PNT44" s="45"/>
      <c r="PNU44" s="45"/>
      <c r="PNV44" s="45"/>
      <c r="PNW44" s="45"/>
      <c r="PNX44" s="45"/>
      <c r="PNY44" s="45"/>
      <c r="PNZ44" s="45"/>
      <c r="POA44" s="45"/>
      <c r="POB44" s="45"/>
      <c r="POC44" s="45"/>
      <c r="POD44" s="45"/>
      <c r="POE44" s="45"/>
      <c r="POF44" s="45"/>
      <c r="POG44" s="45"/>
      <c r="POH44" s="45"/>
      <c r="POI44" s="45"/>
      <c r="POJ44" s="45"/>
      <c r="POK44" s="45"/>
      <c r="POL44" s="45"/>
      <c r="POM44" s="45"/>
      <c r="PON44" s="45"/>
      <c r="POO44" s="45"/>
      <c r="POP44" s="45"/>
      <c r="POQ44" s="45"/>
      <c r="POR44" s="45"/>
      <c r="POS44" s="45"/>
      <c r="POT44" s="45"/>
      <c r="POU44" s="45"/>
      <c r="POV44" s="45"/>
      <c r="POW44" s="45"/>
      <c r="POX44" s="45"/>
      <c r="POY44" s="45"/>
      <c r="POZ44" s="45"/>
      <c r="PPA44" s="45"/>
      <c r="PPB44" s="45"/>
      <c r="PPC44" s="45"/>
      <c r="PPD44" s="45"/>
      <c r="PPE44" s="45"/>
      <c r="PPF44" s="45"/>
      <c r="PPG44" s="45"/>
      <c r="PPH44" s="45"/>
      <c r="PPI44" s="45"/>
      <c r="PPJ44" s="45"/>
      <c r="PPK44" s="45"/>
      <c r="PPL44" s="45"/>
      <c r="PPM44" s="45"/>
      <c r="PPN44" s="45"/>
      <c r="PPO44" s="45"/>
      <c r="PPP44" s="45"/>
      <c r="PPQ44" s="45"/>
      <c r="PPR44" s="45"/>
      <c r="PPS44" s="45"/>
      <c r="PPT44" s="45"/>
      <c r="PPU44" s="45"/>
      <c r="PPV44" s="45"/>
      <c r="PPW44" s="45"/>
      <c r="PPX44" s="45"/>
      <c r="PPY44" s="45"/>
      <c r="PPZ44" s="45"/>
      <c r="PQA44" s="45"/>
      <c r="PQB44" s="45"/>
      <c r="PQC44" s="45"/>
      <c r="PQD44" s="45"/>
      <c r="PQE44" s="45"/>
      <c r="PQF44" s="45"/>
      <c r="PQG44" s="45"/>
      <c r="PQH44" s="45"/>
      <c r="PQI44" s="45"/>
      <c r="PQJ44" s="45"/>
      <c r="PQK44" s="45"/>
      <c r="PQL44" s="45"/>
      <c r="PQM44" s="45"/>
      <c r="PQN44" s="45"/>
      <c r="PQO44" s="45"/>
      <c r="PQP44" s="45"/>
      <c r="PQQ44" s="45"/>
      <c r="PQR44" s="45"/>
      <c r="PQS44" s="45"/>
      <c r="PQT44" s="45"/>
      <c r="PQU44" s="45"/>
      <c r="PQV44" s="45"/>
      <c r="PQW44" s="45"/>
      <c r="PQX44" s="45"/>
      <c r="PQY44" s="45"/>
      <c r="PQZ44" s="45"/>
      <c r="PRA44" s="45"/>
      <c r="PRB44" s="45"/>
      <c r="PRC44" s="45"/>
      <c r="PRD44" s="45"/>
      <c r="PRE44" s="45"/>
      <c r="PRF44" s="45"/>
      <c r="PRG44" s="45"/>
      <c r="PRH44" s="45"/>
      <c r="PRI44" s="45"/>
      <c r="PRJ44" s="45"/>
      <c r="PRK44" s="45"/>
      <c r="PRL44" s="45"/>
      <c r="PRM44" s="45"/>
      <c r="PRN44" s="45"/>
      <c r="PRO44" s="45"/>
      <c r="PRP44" s="45"/>
      <c r="PRQ44" s="45"/>
      <c r="PRR44" s="45"/>
      <c r="PRS44" s="45"/>
      <c r="PRT44" s="45"/>
      <c r="PRU44" s="45"/>
      <c r="PRV44" s="45"/>
      <c r="PRW44" s="45"/>
      <c r="PRX44" s="45"/>
      <c r="PRY44" s="45"/>
      <c r="PRZ44" s="45"/>
      <c r="PSA44" s="45"/>
      <c r="PSB44" s="45"/>
      <c r="PSC44" s="45"/>
      <c r="PSD44" s="45"/>
      <c r="PSE44" s="45"/>
      <c r="PSF44" s="45"/>
      <c r="PSG44" s="45"/>
      <c r="PSH44" s="45"/>
      <c r="PSI44" s="45"/>
      <c r="PSJ44" s="45"/>
      <c r="PSK44" s="45"/>
      <c r="PSL44" s="45"/>
      <c r="PSM44" s="45"/>
      <c r="PSN44" s="45"/>
      <c r="PSO44" s="45"/>
      <c r="PSP44" s="45"/>
      <c r="PSQ44" s="45"/>
      <c r="PSR44" s="45"/>
      <c r="PSS44" s="45"/>
      <c r="PST44" s="45"/>
      <c r="PSU44" s="45"/>
      <c r="PSV44" s="45"/>
      <c r="PSW44" s="45"/>
      <c r="PSX44" s="45"/>
      <c r="PSY44" s="45"/>
      <c r="PSZ44" s="45"/>
      <c r="PTA44" s="45"/>
      <c r="PTB44" s="45"/>
      <c r="PTC44" s="45"/>
      <c r="PTD44" s="45"/>
      <c r="PTE44" s="45"/>
      <c r="PTF44" s="45"/>
      <c r="PTG44" s="45"/>
      <c r="PTH44" s="45"/>
      <c r="PTI44" s="45"/>
      <c r="PTJ44" s="45"/>
      <c r="PTK44" s="45"/>
      <c r="PTL44" s="45"/>
      <c r="PTM44" s="45"/>
      <c r="PTN44" s="45"/>
      <c r="PTO44" s="45"/>
      <c r="PTP44" s="45"/>
      <c r="PTQ44" s="45"/>
      <c r="PTR44" s="45"/>
      <c r="PTS44" s="45"/>
      <c r="PTT44" s="45"/>
      <c r="PTU44" s="45"/>
      <c r="PTV44" s="45"/>
      <c r="PTW44" s="45"/>
      <c r="PTX44" s="45"/>
      <c r="PTY44" s="45"/>
      <c r="PTZ44" s="45"/>
      <c r="PUA44" s="45"/>
      <c r="PUB44" s="45"/>
      <c r="PUC44" s="45"/>
      <c r="PUD44" s="45"/>
      <c r="PUE44" s="45"/>
      <c r="PUF44" s="45"/>
      <c r="PUG44" s="45"/>
      <c r="PUH44" s="45"/>
      <c r="PUI44" s="45"/>
      <c r="PUJ44" s="45"/>
      <c r="PUK44" s="45"/>
      <c r="PUL44" s="45"/>
      <c r="PUM44" s="45"/>
      <c r="PUN44" s="45"/>
      <c r="PUO44" s="45"/>
      <c r="PUP44" s="45"/>
      <c r="PUQ44" s="45"/>
      <c r="PUR44" s="45"/>
      <c r="PUS44" s="45"/>
      <c r="PUT44" s="45"/>
      <c r="PUU44" s="45"/>
      <c r="PUV44" s="45"/>
      <c r="PUW44" s="45"/>
      <c r="PUX44" s="45"/>
      <c r="PUY44" s="45"/>
      <c r="PUZ44" s="45"/>
      <c r="PVA44" s="45"/>
      <c r="PVB44" s="45"/>
      <c r="PVC44" s="45"/>
      <c r="PVD44" s="45"/>
      <c r="PVE44" s="45"/>
      <c r="PVF44" s="45"/>
      <c r="PVG44" s="45"/>
      <c r="PVH44" s="45"/>
      <c r="PVI44" s="45"/>
      <c r="PVJ44" s="45"/>
      <c r="PVK44" s="45"/>
      <c r="PVL44" s="45"/>
      <c r="PVM44" s="45"/>
      <c r="PVN44" s="45"/>
      <c r="PVO44" s="45"/>
      <c r="PVP44" s="45"/>
      <c r="PVQ44" s="45"/>
      <c r="PVR44" s="45"/>
      <c r="PVS44" s="45"/>
      <c r="PVT44" s="45"/>
      <c r="PVU44" s="45"/>
      <c r="PVV44" s="45"/>
      <c r="PVW44" s="45"/>
      <c r="PVX44" s="45"/>
      <c r="PVY44" s="45"/>
      <c r="PVZ44" s="45"/>
      <c r="PWA44" s="45"/>
      <c r="PWB44" s="45"/>
      <c r="PWC44" s="45"/>
      <c r="PWD44" s="45"/>
      <c r="PWE44" s="45"/>
      <c r="PWF44" s="45"/>
      <c r="PWG44" s="45"/>
      <c r="PWH44" s="45"/>
      <c r="PWI44" s="45"/>
      <c r="PWJ44" s="45"/>
      <c r="PWK44" s="45"/>
      <c r="PWL44" s="45"/>
      <c r="PWM44" s="45"/>
      <c r="PWN44" s="45"/>
      <c r="PWO44" s="45"/>
      <c r="PWP44" s="45"/>
      <c r="PWQ44" s="45"/>
      <c r="PWR44" s="45"/>
      <c r="PWS44" s="45"/>
      <c r="PWT44" s="45"/>
      <c r="PWU44" s="45"/>
      <c r="PWV44" s="45"/>
      <c r="PWW44" s="45"/>
      <c r="PWX44" s="45"/>
      <c r="PWY44" s="45"/>
      <c r="PWZ44" s="45"/>
      <c r="PXA44" s="45"/>
      <c r="PXB44" s="45"/>
      <c r="PXC44" s="45"/>
      <c r="PXD44" s="45"/>
      <c r="PXE44" s="45"/>
      <c r="PXF44" s="45"/>
      <c r="PXG44" s="45"/>
      <c r="PXH44" s="45"/>
      <c r="PXI44" s="45"/>
      <c r="PXJ44" s="45"/>
      <c r="PXK44" s="45"/>
      <c r="PXL44" s="45"/>
      <c r="PXM44" s="45"/>
      <c r="PXN44" s="45"/>
      <c r="PXO44" s="45"/>
      <c r="PXP44" s="45"/>
      <c r="PXQ44" s="45"/>
      <c r="PXR44" s="45"/>
      <c r="PXS44" s="45"/>
      <c r="PXT44" s="45"/>
      <c r="PXU44" s="45"/>
      <c r="PXV44" s="45"/>
      <c r="PXW44" s="45"/>
      <c r="PXX44" s="45"/>
      <c r="PXY44" s="45"/>
      <c r="PXZ44" s="45"/>
      <c r="PYA44" s="45"/>
      <c r="PYB44" s="45"/>
      <c r="PYC44" s="45"/>
      <c r="PYD44" s="45"/>
      <c r="PYE44" s="45"/>
      <c r="PYF44" s="45"/>
      <c r="PYG44" s="45"/>
      <c r="PYH44" s="45"/>
      <c r="PYI44" s="45"/>
      <c r="PYJ44" s="45"/>
      <c r="PYK44" s="45"/>
      <c r="PYL44" s="45"/>
      <c r="PYM44" s="45"/>
      <c r="PYN44" s="45"/>
      <c r="PYO44" s="45"/>
      <c r="PYP44" s="45"/>
      <c r="PYQ44" s="45"/>
      <c r="PYR44" s="45"/>
      <c r="PYS44" s="45"/>
      <c r="PYT44" s="45"/>
      <c r="PYU44" s="45"/>
      <c r="PYV44" s="45"/>
      <c r="PYW44" s="45"/>
      <c r="PYX44" s="45"/>
      <c r="PYY44" s="45"/>
      <c r="PYZ44" s="45"/>
      <c r="PZA44" s="45"/>
      <c r="PZB44" s="45"/>
      <c r="PZC44" s="45"/>
      <c r="PZD44" s="45"/>
      <c r="PZE44" s="45"/>
      <c r="PZF44" s="45"/>
      <c r="PZG44" s="45"/>
      <c r="PZH44" s="45"/>
      <c r="PZI44" s="45"/>
      <c r="PZJ44" s="45"/>
      <c r="PZK44" s="45"/>
      <c r="PZL44" s="45"/>
      <c r="PZM44" s="45"/>
      <c r="PZN44" s="45"/>
      <c r="PZO44" s="45"/>
      <c r="PZP44" s="45"/>
      <c r="PZQ44" s="45"/>
      <c r="PZR44" s="45"/>
      <c r="PZS44" s="45"/>
      <c r="PZT44" s="45"/>
      <c r="PZU44" s="45"/>
      <c r="PZV44" s="45"/>
      <c r="PZW44" s="45"/>
      <c r="PZX44" s="45"/>
      <c r="PZY44" s="45"/>
      <c r="PZZ44" s="45"/>
      <c r="QAA44" s="45"/>
      <c r="QAB44" s="45"/>
      <c r="QAC44" s="45"/>
      <c r="QAD44" s="45"/>
      <c r="QAE44" s="45"/>
      <c r="QAF44" s="45"/>
      <c r="QAG44" s="45"/>
      <c r="QAH44" s="45"/>
      <c r="QAI44" s="45"/>
      <c r="QAJ44" s="45"/>
      <c r="QAK44" s="45"/>
      <c r="QAL44" s="45"/>
      <c r="QAM44" s="45"/>
      <c r="QAN44" s="45"/>
      <c r="QAO44" s="45"/>
      <c r="QAP44" s="45"/>
      <c r="QAQ44" s="45"/>
      <c r="QAR44" s="45"/>
      <c r="QAS44" s="45"/>
      <c r="QAT44" s="45"/>
      <c r="QAU44" s="45"/>
      <c r="QAV44" s="45"/>
      <c r="QAW44" s="45"/>
      <c r="QAX44" s="45"/>
      <c r="QAY44" s="45"/>
      <c r="QAZ44" s="45"/>
      <c r="QBA44" s="45"/>
      <c r="QBB44" s="45"/>
      <c r="QBC44" s="45"/>
      <c r="QBD44" s="45"/>
      <c r="QBE44" s="45"/>
      <c r="QBF44" s="45"/>
      <c r="QBG44" s="45"/>
      <c r="QBH44" s="45"/>
      <c r="QBI44" s="45"/>
      <c r="QBJ44" s="45"/>
      <c r="QBK44" s="45"/>
      <c r="QBL44" s="45"/>
      <c r="QBM44" s="45"/>
      <c r="QBN44" s="45"/>
      <c r="QBO44" s="45"/>
      <c r="QBP44" s="45"/>
      <c r="QBQ44" s="45"/>
      <c r="QBR44" s="45"/>
      <c r="QBS44" s="45"/>
      <c r="QBT44" s="45"/>
      <c r="QBU44" s="45"/>
      <c r="QBV44" s="45"/>
      <c r="QBW44" s="45"/>
      <c r="QBX44" s="45"/>
      <c r="QBY44" s="45"/>
      <c r="QBZ44" s="45"/>
      <c r="QCA44" s="45"/>
      <c r="QCB44" s="45"/>
      <c r="QCC44" s="45"/>
      <c r="QCD44" s="45"/>
      <c r="QCE44" s="45"/>
      <c r="QCF44" s="45"/>
      <c r="QCG44" s="45"/>
      <c r="QCH44" s="45"/>
      <c r="QCI44" s="45"/>
      <c r="QCJ44" s="45"/>
      <c r="QCK44" s="45"/>
      <c r="QCL44" s="45"/>
      <c r="QCM44" s="45"/>
      <c r="QCN44" s="45"/>
      <c r="QCO44" s="45"/>
      <c r="QCP44" s="45"/>
      <c r="QCQ44" s="45"/>
      <c r="QCR44" s="45"/>
      <c r="QCS44" s="45"/>
      <c r="QCT44" s="45"/>
      <c r="QCU44" s="45"/>
      <c r="QCV44" s="45"/>
      <c r="QCW44" s="45"/>
      <c r="QCX44" s="45"/>
      <c r="QCY44" s="45"/>
      <c r="QCZ44" s="45"/>
      <c r="QDA44" s="45"/>
      <c r="QDB44" s="45"/>
      <c r="QDC44" s="45"/>
      <c r="QDD44" s="45"/>
      <c r="QDE44" s="45"/>
      <c r="QDF44" s="45"/>
      <c r="QDG44" s="45"/>
      <c r="QDH44" s="45"/>
      <c r="QDI44" s="45"/>
      <c r="QDJ44" s="45"/>
      <c r="QDK44" s="45"/>
      <c r="QDL44" s="45"/>
      <c r="QDM44" s="45"/>
      <c r="QDN44" s="45"/>
      <c r="QDO44" s="45"/>
      <c r="QDP44" s="45"/>
      <c r="QDQ44" s="45"/>
      <c r="QDR44" s="45"/>
      <c r="QDS44" s="45"/>
      <c r="QDT44" s="45"/>
      <c r="QDU44" s="45"/>
      <c r="QDV44" s="45"/>
      <c r="QDW44" s="45"/>
      <c r="QDX44" s="45"/>
      <c r="QDY44" s="45"/>
      <c r="QDZ44" s="45"/>
      <c r="QEA44" s="45"/>
      <c r="QEB44" s="45"/>
      <c r="QEC44" s="45"/>
      <c r="QED44" s="45"/>
      <c r="QEE44" s="45"/>
      <c r="QEF44" s="45"/>
      <c r="QEG44" s="45"/>
      <c r="QEH44" s="45"/>
      <c r="QEI44" s="45"/>
      <c r="QEJ44" s="45"/>
      <c r="QEK44" s="45"/>
      <c r="QEL44" s="45"/>
      <c r="QEM44" s="45"/>
      <c r="QEN44" s="45"/>
      <c r="QEO44" s="45"/>
      <c r="QEP44" s="45"/>
      <c r="QEQ44" s="45"/>
      <c r="QER44" s="45"/>
      <c r="QES44" s="45"/>
      <c r="QET44" s="45"/>
      <c r="QEU44" s="45"/>
      <c r="QEV44" s="45"/>
      <c r="QEW44" s="45"/>
      <c r="QEX44" s="45"/>
      <c r="QEY44" s="45"/>
      <c r="QEZ44" s="45"/>
      <c r="QFA44" s="45"/>
      <c r="QFB44" s="45"/>
      <c r="QFC44" s="45"/>
      <c r="QFD44" s="45"/>
      <c r="QFE44" s="45"/>
      <c r="QFF44" s="45"/>
      <c r="QFG44" s="45"/>
      <c r="QFH44" s="45"/>
      <c r="QFI44" s="45"/>
      <c r="QFJ44" s="45"/>
      <c r="QFK44" s="45"/>
      <c r="QFL44" s="45"/>
      <c r="QFM44" s="45"/>
      <c r="QFN44" s="45"/>
      <c r="QFO44" s="45"/>
      <c r="QFP44" s="45"/>
      <c r="QFQ44" s="45"/>
      <c r="QFR44" s="45"/>
      <c r="QFS44" s="45"/>
      <c r="QFT44" s="45"/>
      <c r="QFU44" s="45"/>
      <c r="QFV44" s="45"/>
      <c r="QFW44" s="45"/>
      <c r="QFX44" s="45"/>
      <c r="QFY44" s="45"/>
      <c r="QFZ44" s="45"/>
      <c r="QGA44" s="45"/>
      <c r="QGB44" s="45"/>
      <c r="QGC44" s="45"/>
      <c r="QGD44" s="45"/>
      <c r="QGE44" s="45"/>
      <c r="QGF44" s="45"/>
      <c r="QGG44" s="45"/>
      <c r="QGH44" s="45"/>
      <c r="QGI44" s="45"/>
      <c r="QGJ44" s="45"/>
      <c r="QGK44" s="45"/>
      <c r="QGL44" s="45"/>
      <c r="QGM44" s="45"/>
      <c r="QGN44" s="45"/>
      <c r="QGO44" s="45"/>
      <c r="QGP44" s="45"/>
      <c r="QGQ44" s="45"/>
      <c r="QGR44" s="45"/>
      <c r="QGS44" s="45"/>
      <c r="QGT44" s="45"/>
      <c r="QGU44" s="45"/>
      <c r="QGV44" s="45"/>
      <c r="QGW44" s="45"/>
      <c r="QGX44" s="45"/>
      <c r="QGY44" s="45"/>
      <c r="QGZ44" s="45"/>
      <c r="QHA44" s="45"/>
      <c r="QHB44" s="45"/>
      <c r="QHC44" s="45"/>
      <c r="QHD44" s="45"/>
      <c r="QHE44" s="45"/>
      <c r="QHF44" s="45"/>
      <c r="QHG44" s="45"/>
      <c r="QHH44" s="45"/>
      <c r="QHI44" s="45"/>
      <c r="QHJ44" s="45"/>
      <c r="QHK44" s="45"/>
      <c r="QHL44" s="45"/>
      <c r="QHM44" s="45"/>
      <c r="QHN44" s="45"/>
      <c r="QHO44" s="45"/>
      <c r="QHP44" s="45"/>
      <c r="QHQ44" s="45"/>
      <c r="QHR44" s="45"/>
      <c r="QHS44" s="45"/>
      <c r="QHT44" s="45"/>
      <c r="QHU44" s="45"/>
      <c r="QHV44" s="45"/>
      <c r="QHW44" s="45"/>
      <c r="QHX44" s="45"/>
      <c r="QHY44" s="45"/>
      <c r="QHZ44" s="45"/>
      <c r="QIA44" s="45"/>
      <c r="QIB44" s="45"/>
      <c r="QIC44" s="45"/>
      <c r="QID44" s="45"/>
      <c r="QIE44" s="45"/>
      <c r="QIF44" s="45"/>
      <c r="QIG44" s="45"/>
      <c r="QIH44" s="45"/>
      <c r="QII44" s="45"/>
      <c r="QIJ44" s="45"/>
      <c r="QIK44" s="45"/>
      <c r="QIL44" s="45"/>
      <c r="QIM44" s="45"/>
      <c r="QIN44" s="45"/>
      <c r="QIO44" s="45"/>
      <c r="QIP44" s="45"/>
      <c r="QIQ44" s="45"/>
      <c r="QIR44" s="45"/>
      <c r="QIS44" s="45"/>
      <c r="QIT44" s="45"/>
      <c r="QIU44" s="45"/>
      <c r="QIV44" s="45"/>
      <c r="QIW44" s="45"/>
      <c r="QIX44" s="45"/>
      <c r="QIY44" s="45"/>
      <c r="QIZ44" s="45"/>
      <c r="QJA44" s="45"/>
      <c r="QJB44" s="45"/>
      <c r="QJC44" s="45"/>
      <c r="QJD44" s="45"/>
      <c r="QJE44" s="45"/>
      <c r="QJF44" s="45"/>
      <c r="QJG44" s="45"/>
      <c r="QJH44" s="45"/>
      <c r="QJI44" s="45"/>
      <c r="QJJ44" s="45"/>
      <c r="QJK44" s="45"/>
      <c r="QJL44" s="45"/>
      <c r="QJM44" s="45"/>
      <c r="QJN44" s="45"/>
      <c r="QJO44" s="45"/>
      <c r="QJP44" s="45"/>
      <c r="QJQ44" s="45"/>
      <c r="QJR44" s="45"/>
      <c r="QJS44" s="45"/>
      <c r="QJT44" s="45"/>
      <c r="QJU44" s="45"/>
      <c r="QJV44" s="45"/>
      <c r="QJW44" s="45"/>
      <c r="QJX44" s="45"/>
      <c r="QJY44" s="45"/>
      <c r="QJZ44" s="45"/>
      <c r="QKA44" s="45"/>
      <c r="QKB44" s="45"/>
      <c r="QKC44" s="45"/>
      <c r="QKD44" s="45"/>
      <c r="QKE44" s="45"/>
      <c r="QKF44" s="45"/>
      <c r="QKG44" s="45"/>
      <c r="QKH44" s="45"/>
      <c r="QKI44" s="45"/>
      <c r="QKJ44" s="45"/>
      <c r="QKK44" s="45"/>
      <c r="QKL44" s="45"/>
      <c r="QKM44" s="45"/>
      <c r="QKN44" s="45"/>
      <c r="QKO44" s="45"/>
      <c r="QKP44" s="45"/>
      <c r="QKQ44" s="45"/>
      <c r="QKR44" s="45"/>
      <c r="QKS44" s="45"/>
      <c r="QKT44" s="45"/>
      <c r="QKU44" s="45"/>
      <c r="QKV44" s="45"/>
      <c r="QKW44" s="45"/>
      <c r="QKX44" s="45"/>
      <c r="QKY44" s="45"/>
      <c r="QKZ44" s="45"/>
      <c r="QLA44" s="45"/>
      <c r="QLB44" s="45"/>
      <c r="QLC44" s="45"/>
      <c r="QLD44" s="45"/>
      <c r="QLE44" s="45"/>
      <c r="QLF44" s="45"/>
      <c r="QLG44" s="45"/>
      <c r="QLH44" s="45"/>
      <c r="QLI44" s="45"/>
      <c r="QLJ44" s="45"/>
      <c r="QLK44" s="45"/>
      <c r="QLL44" s="45"/>
      <c r="QLM44" s="45"/>
      <c r="QLN44" s="45"/>
      <c r="QLO44" s="45"/>
      <c r="QLP44" s="45"/>
      <c r="QLQ44" s="45"/>
      <c r="QLR44" s="45"/>
      <c r="QLS44" s="45"/>
      <c r="QLT44" s="45"/>
      <c r="QLU44" s="45"/>
      <c r="QLV44" s="45"/>
      <c r="QLW44" s="45"/>
      <c r="QLX44" s="45"/>
      <c r="QLY44" s="45"/>
      <c r="QLZ44" s="45"/>
      <c r="QMA44" s="45"/>
      <c r="QMB44" s="45"/>
      <c r="QMC44" s="45"/>
      <c r="QMD44" s="45"/>
      <c r="QME44" s="45"/>
      <c r="QMF44" s="45"/>
      <c r="QMG44" s="45"/>
      <c r="QMH44" s="45"/>
      <c r="QMI44" s="45"/>
      <c r="QMJ44" s="45"/>
      <c r="QMK44" s="45"/>
      <c r="QML44" s="45"/>
      <c r="QMM44" s="45"/>
      <c r="QMN44" s="45"/>
      <c r="QMO44" s="45"/>
      <c r="QMP44" s="45"/>
      <c r="QMQ44" s="45"/>
      <c r="QMR44" s="45"/>
      <c r="QMS44" s="45"/>
      <c r="QMT44" s="45"/>
      <c r="QMU44" s="45"/>
      <c r="QMV44" s="45"/>
      <c r="QMW44" s="45"/>
      <c r="QMX44" s="45"/>
      <c r="QMY44" s="45"/>
      <c r="QMZ44" s="45"/>
      <c r="QNA44" s="45"/>
      <c r="QNB44" s="45"/>
      <c r="QNC44" s="45"/>
      <c r="QND44" s="45"/>
      <c r="QNE44" s="45"/>
      <c r="QNF44" s="45"/>
      <c r="QNG44" s="45"/>
      <c r="QNH44" s="45"/>
      <c r="QNI44" s="45"/>
      <c r="QNJ44" s="45"/>
      <c r="QNK44" s="45"/>
      <c r="QNL44" s="45"/>
      <c r="QNM44" s="45"/>
      <c r="QNN44" s="45"/>
      <c r="QNO44" s="45"/>
      <c r="QNP44" s="45"/>
      <c r="QNQ44" s="45"/>
      <c r="QNR44" s="45"/>
      <c r="QNS44" s="45"/>
      <c r="QNT44" s="45"/>
      <c r="QNU44" s="45"/>
      <c r="QNV44" s="45"/>
      <c r="QNW44" s="45"/>
      <c r="QNX44" s="45"/>
      <c r="QNY44" s="45"/>
      <c r="QNZ44" s="45"/>
      <c r="QOA44" s="45"/>
      <c r="QOB44" s="45"/>
      <c r="QOC44" s="45"/>
      <c r="QOD44" s="45"/>
      <c r="QOE44" s="45"/>
      <c r="QOF44" s="45"/>
      <c r="QOG44" s="45"/>
      <c r="QOH44" s="45"/>
      <c r="QOI44" s="45"/>
      <c r="QOJ44" s="45"/>
      <c r="QOK44" s="45"/>
      <c r="QOL44" s="45"/>
      <c r="QOM44" s="45"/>
      <c r="QON44" s="45"/>
      <c r="QOO44" s="45"/>
      <c r="QOP44" s="45"/>
      <c r="QOQ44" s="45"/>
      <c r="QOR44" s="45"/>
      <c r="QOS44" s="45"/>
      <c r="QOT44" s="45"/>
      <c r="QOU44" s="45"/>
      <c r="QOV44" s="45"/>
      <c r="QOW44" s="45"/>
      <c r="QOX44" s="45"/>
      <c r="QOY44" s="45"/>
      <c r="QOZ44" s="45"/>
      <c r="QPA44" s="45"/>
      <c r="QPB44" s="45"/>
      <c r="QPC44" s="45"/>
      <c r="QPD44" s="45"/>
      <c r="QPE44" s="45"/>
      <c r="QPF44" s="45"/>
      <c r="QPG44" s="45"/>
      <c r="QPH44" s="45"/>
      <c r="QPI44" s="45"/>
      <c r="QPJ44" s="45"/>
      <c r="QPK44" s="45"/>
      <c r="QPL44" s="45"/>
      <c r="QPM44" s="45"/>
      <c r="QPN44" s="45"/>
      <c r="QPO44" s="45"/>
      <c r="QPP44" s="45"/>
      <c r="QPQ44" s="45"/>
      <c r="QPR44" s="45"/>
      <c r="QPS44" s="45"/>
      <c r="QPT44" s="45"/>
      <c r="QPU44" s="45"/>
      <c r="QPV44" s="45"/>
      <c r="QPW44" s="45"/>
      <c r="QPX44" s="45"/>
      <c r="QPY44" s="45"/>
      <c r="QPZ44" s="45"/>
      <c r="QQA44" s="45"/>
      <c r="QQB44" s="45"/>
      <c r="QQC44" s="45"/>
      <c r="QQD44" s="45"/>
      <c r="QQE44" s="45"/>
      <c r="QQF44" s="45"/>
      <c r="QQG44" s="45"/>
      <c r="QQH44" s="45"/>
      <c r="QQI44" s="45"/>
      <c r="QQJ44" s="45"/>
      <c r="QQK44" s="45"/>
      <c r="QQL44" s="45"/>
      <c r="QQM44" s="45"/>
      <c r="QQN44" s="45"/>
      <c r="QQO44" s="45"/>
      <c r="QQP44" s="45"/>
      <c r="QQQ44" s="45"/>
      <c r="QQR44" s="45"/>
      <c r="QQS44" s="45"/>
      <c r="QQT44" s="45"/>
      <c r="QQU44" s="45"/>
      <c r="QQV44" s="45"/>
      <c r="QQW44" s="45"/>
      <c r="QQX44" s="45"/>
      <c r="QQY44" s="45"/>
      <c r="QQZ44" s="45"/>
      <c r="QRA44" s="45"/>
      <c r="QRB44" s="45"/>
      <c r="QRC44" s="45"/>
      <c r="QRD44" s="45"/>
      <c r="QRE44" s="45"/>
      <c r="QRF44" s="45"/>
      <c r="QRG44" s="45"/>
      <c r="QRH44" s="45"/>
      <c r="QRI44" s="45"/>
      <c r="QRJ44" s="45"/>
      <c r="QRK44" s="45"/>
      <c r="QRL44" s="45"/>
      <c r="QRM44" s="45"/>
      <c r="QRN44" s="45"/>
      <c r="QRO44" s="45"/>
      <c r="QRP44" s="45"/>
      <c r="QRQ44" s="45"/>
      <c r="QRR44" s="45"/>
      <c r="QRS44" s="45"/>
      <c r="QRT44" s="45"/>
      <c r="QRU44" s="45"/>
      <c r="QRV44" s="45"/>
      <c r="QRW44" s="45"/>
      <c r="QRX44" s="45"/>
      <c r="QRY44" s="45"/>
      <c r="QRZ44" s="45"/>
      <c r="QSA44" s="45"/>
      <c r="QSB44" s="45"/>
      <c r="QSC44" s="45"/>
      <c r="QSD44" s="45"/>
      <c r="QSE44" s="45"/>
      <c r="QSF44" s="45"/>
      <c r="QSG44" s="45"/>
      <c r="QSH44" s="45"/>
      <c r="QSI44" s="45"/>
      <c r="QSJ44" s="45"/>
      <c r="QSK44" s="45"/>
      <c r="QSL44" s="45"/>
      <c r="QSM44" s="45"/>
      <c r="QSN44" s="45"/>
      <c r="QSO44" s="45"/>
      <c r="QSP44" s="45"/>
      <c r="QSQ44" s="45"/>
      <c r="QSR44" s="45"/>
      <c r="QSS44" s="45"/>
      <c r="QST44" s="45"/>
      <c r="QSU44" s="45"/>
      <c r="QSV44" s="45"/>
      <c r="QSW44" s="45"/>
      <c r="QSX44" s="45"/>
      <c r="QSY44" s="45"/>
      <c r="QSZ44" s="45"/>
      <c r="QTA44" s="45"/>
      <c r="QTB44" s="45"/>
      <c r="QTC44" s="45"/>
      <c r="QTD44" s="45"/>
      <c r="QTE44" s="45"/>
      <c r="QTF44" s="45"/>
      <c r="QTG44" s="45"/>
      <c r="QTH44" s="45"/>
      <c r="QTI44" s="45"/>
      <c r="QTJ44" s="45"/>
      <c r="QTK44" s="45"/>
      <c r="QTL44" s="45"/>
      <c r="QTM44" s="45"/>
      <c r="QTN44" s="45"/>
      <c r="QTO44" s="45"/>
      <c r="QTP44" s="45"/>
      <c r="QTQ44" s="45"/>
      <c r="QTR44" s="45"/>
      <c r="QTS44" s="45"/>
      <c r="QTT44" s="45"/>
      <c r="QTU44" s="45"/>
      <c r="QTV44" s="45"/>
      <c r="QTW44" s="45"/>
      <c r="QTX44" s="45"/>
      <c r="QTY44" s="45"/>
      <c r="QTZ44" s="45"/>
      <c r="QUA44" s="45"/>
      <c r="QUB44" s="45"/>
      <c r="QUC44" s="45"/>
      <c r="QUD44" s="45"/>
      <c r="QUE44" s="45"/>
      <c r="QUF44" s="45"/>
      <c r="QUG44" s="45"/>
      <c r="QUH44" s="45"/>
      <c r="QUI44" s="45"/>
      <c r="QUJ44" s="45"/>
      <c r="QUK44" s="45"/>
      <c r="QUL44" s="45"/>
      <c r="QUM44" s="45"/>
      <c r="QUN44" s="45"/>
      <c r="QUO44" s="45"/>
      <c r="QUP44" s="45"/>
      <c r="QUQ44" s="45"/>
      <c r="QUR44" s="45"/>
      <c r="QUS44" s="45"/>
      <c r="QUT44" s="45"/>
      <c r="QUU44" s="45"/>
      <c r="QUV44" s="45"/>
      <c r="QUW44" s="45"/>
      <c r="QUX44" s="45"/>
      <c r="QUY44" s="45"/>
      <c r="QUZ44" s="45"/>
      <c r="QVA44" s="45"/>
      <c r="QVB44" s="45"/>
      <c r="QVC44" s="45"/>
      <c r="QVD44" s="45"/>
      <c r="QVE44" s="45"/>
      <c r="QVF44" s="45"/>
      <c r="QVG44" s="45"/>
      <c r="QVH44" s="45"/>
      <c r="QVI44" s="45"/>
      <c r="QVJ44" s="45"/>
      <c r="QVK44" s="45"/>
      <c r="QVL44" s="45"/>
      <c r="QVM44" s="45"/>
      <c r="QVN44" s="45"/>
      <c r="QVO44" s="45"/>
      <c r="QVP44" s="45"/>
      <c r="QVQ44" s="45"/>
      <c r="QVR44" s="45"/>
      <c r="QVS44" s="45"/>
      <c r="QVT44" s="45"/>
      <c r="QVU44" s="45"/>
      <c r="QVV44" s="45"/>
      <c r="QVW44" s="45"/>
      <c r="QVX44" s="45"/>
      <c r="QVY44" s="45"/>
      <c r="QVZ44" s="45"/>
      <c r="QWA44" s="45"/>
      <c r="QWB44" s="45"/>
      <c r="QWC44" s="45"/>
      <c r="QWD44" s="45"/>
      <c r="QWE44" s="45"/>
      <c r="QWF44" s="45"/>
      <c r="QWG44" s="45"/>
      <c r="QWH44" s="45"/>
      <c r="QWI44" s="45"/>
      <c r="QWJ44" s="45"/>
      <c r="QWK44" s="45"/>
      <c r="QWL44" s="45"/>
      <c r="QWM44" s="45"/>
      <c r="QWN44" s="45"/>
      <c r="QWO44" s="45"/>
      <c r="QWP44" s="45"/>
      <c r="QWQ44" s="45"/>
      <c r="QWR44" s="45"/>
      <c r="QWS44" s="45"/>
      <c r="QWT44" s="45"/>
      <c r="QWU44" s="45"/>
      <c r="QWV44" s="45"/>
      <c r="QWW44" s="45"/>
      <c r="QWX44" s="45"/>
      <c r="QWY44" s="45"/>
      <c r="QWZ44" s="45"/>
      <c r="QXA44" s="45"/>
      <c r="QXB44" s="45"/>
      <c r="QXC44" s="45"/>
      <c r="QXD44" s="45"/>
      <c r="QXE44" s="45"/>
      <c r="QXF44" s="45"/>
      <c r="QXG44" s="45"/>
      <c r="QXH44" s="45"/>
      <c r="QXI44" s="45"/>
      <c r="QXJ44" s="45"/>
      <c r="QXK44" s="45"/>
      <c r="QXL44" s="45"/>
      <c r="QXM44" s="45"/>
      <c r="QXN44" s="45"/>
      <c r="QXO44" s="45"/>
      <c r="QXP44" s="45"/>
      <c r="QXQ44" s="45"/>
      <c r="QXR44" s="45"/>
      <c r="QXS44" s="45"/>
      <c r="QXT44" s="45"/>
      <c r="QXU44" s="45"/>
      <c r="QXV44" s="45"/>
      <c r="QXW44" s="45"/>
      <c r="QXX44" s="45"/>
      <c r="QXY44" s="45"/>
      <c r="QXZ44" s="45"/>
      <c r="QYA44" s="45"/>
      <c r="QYB44" s="45"/>
      <c r="QYC44" s="45"/>
      <c r="QYD44" s="45"/>
      <c r="QYE44" s="45"/>
      <c r="QYF44" s="45"/>
      <c r="QYG44" s="45"/>
      <c r="QYH44" s="45"/>
      <c r="QYI44" s="45"/>
      <c r="QYJ44" s="45"/>
      <c r="QYK44" s="45"/>
      <c r="QYL44" s="45"/>
      <c r="QYM44" s="45"/>
      <c r="QYN44" s="45"/>
      <c r="QYO44" s="45"/>
      <c r="QYP44" s="45"/>
      <c r="QYQ44" s="45"/>
      <c r="QYR44" s="45"/>
      <c r="QYS44" s="45"/>
      <c r="QYT44" s="45"/>
      <c r="QYU44" s="45"/>
      <c r="QYV44" s="45"/>
      <c r="QYW44" s="45"/>
      <c r="QYX44" s="45"/>
      <c r="QYY44" s="45"/>
      <c r="QYZ44" s="45"/>
      <c r="QZA44" s="45"/>
      <c r="QZB44" s="45"/>
      <c r="QZC44" s="45"/>
      <c r="QZD44" s="45"/>
      <c r="QZE44" s="45"/>
      <c r="QZF44" s="45"/>
      <c r="QZG44" s="45"/>
      <c r="QZH44" s="45"/>
      <c r="QZI44" s="45"/>
      <c r="QZJ44" s="45"/>
      <c r="QZK44" s="45"/>
      <c r="QZL44" s="45"/>
      <c r="QZM44" s="45"/>
      <c r="QZN44" s="45"/>
      <c r="QZO44" s="45"/>
      <c r="QZP44" s="45"/>
      <c r="QZQ44" s="45"/>
      <c r="QZR44" s="45"/>
      <c r="QZS44" s="45"/>
      <c r="QZT44" s="45"/>
      <c r="QZU44" s="45"/>
      <c r="QZV44" s="45"/>
      <c r="QZW44" s="45"/>
      <c r="QZX44" s="45"/>
      <c r="QZY44" s="45"/>
      <c r="QZZ44" s="45"/>
      <c r="RAA44" s="45"/>
      <c r="RAB44" s="45"/>
      <c r="RAC44" s="45"/>
      <c r="RAD44" s="45"/>
      <c r="RAE44" s="45"/>
      <c r="RAF44" s="45"/>
      <c r="RAG44" s="45"/>
      <c r="RAH44" s="45"/>
      <c r="RAI44" s="45"/>
      <c r="RAJ44" s="45"/>
      <c r="RAK44" s="45"/>
      <c r="RAL44" s="45"/>
      <c r="RAM44" s="45"/>
      <c r="RAN44" s="45"/>
      <c r="RAO44" s="45"/>
      <c r="RAP44" s="45"/>
      <c r="RAQ44" s="45"/>
      <c r="RAR44" s="45"/>
      <c r="RAS44" s="45"/>
      <c r="RAT44" s="45"/>
      <c r="RAU44" s="45"/>
      <c r="RAV44" s="45"/>
      <c r="RAW44" s="45"/>
      <c r="RAX44" s="45"/>
      <c r="RAY44" s="45"/>
      <c r="RAZ44" s="45"/>
      <c r="RBA44" s="45"/>
      <c r="RBB44" s="45"/>
      <c r="RBC44" s="45"/>
      <c r="RBD44" s="45"/>
      <c r="RBE44" s="45"/>
      <c r="RBF44" s="45"/>
      <c r="RBG44" s="45"/>
      <c r="RBH44" s="45"/>
      <c r="RBI44" s="45"/>
      <c r="RBJ44" s="45"/>
      <c r="RBK44" s="45"/>
      <c r="RBL44" s="45"/>
      <c r="RBM44" s="45"/>
      <c r="RBN44" s="45"/>
      <c r="RBO44" s="45"/>
      <c r="RBP44" s="45"/>
      <c r="RBQ44" s="45"/>
      <c r="RBR44" s="45"/>
      <c r="RBS44" s="45"/>
      <c r="RBT44" s="45"/>
      <c r="RBU44" s="45"/>
      <c r="RBV44" s="45"/>
      <c r="RBW44" s="45"/>
      <c r="RBX44" s="45"/>
      <c r="RBY44" s="45"/>
      <c r="RBZ44" s="45"/>
      <c r="RCA44" s="45"/>
      <c r="RCB44" s="45"/>
      <c r="RCC44" s="45"/>
      <c r="RCD44" s="45"/>
      <c r="RCE44" s="45"/>
      <c r="RCF44" s="45"/>
      <c r="RCG44" s="45"/>
      <c r="RCH44" s="45"/>
      <c r="RCI44" s="45"/>
      <c r="RCJ44" s="45"/>
      <c r="RCK44" s="45"/>
      <c r="RCL44" s="45"/>
      <c r="RCM44" s="45"/>
      <c r="RCN44" s="45"/>
      <c r="RCO44" s="45"/>
      <c r="RCP44" s="45"/>
      <c r="RCQ44" s="45"/>
      <c r="RCR44" s="45"/>
      <c r="RCS44" s="45"/>
      <c r="RCT44" s="45"/>
      <c r="RCU44" s="45"/>
      <c r="RCV44" s="45"/>
      <c r="RCW44" s="45"/>
      <c r="RCX44" s="45"/>
      <c r="RCY44" s="45"/>
      <c r="RCZ44" s="45"/>
      <c r="RDA44" s="45"/>
      <c r="RDB44" s="45"/>
      <c r="RDC44" s="45"/>
      <c r="RDD44" s="45"/>
      <c r="RDE44" s="45"/>
      <c r="RDF44" s="45"/>
      <c r="RDG44" s="45"/>
      <c r="RDH44" s="45"/>
      <c r="RDI44" s="45"/>
      <c r="RDJ44" s="45"/>
      <c r="RDK44" s="45"/>
      <c r="RDL44" s="45"/>
      <c r="RDM44" s="45"/>
      <c r="RDN44" s="45"/>
      <c r="RDO44" s="45"/>
      <c r="RDP44" s="45"/>
      <c r="RDQ44" s="45"/>
      <c r="RDR44" s="45"/>
      <c r="RDS44" s="45"/>
      <c r="RDT44" s="45"/>
      <c r="RDU44" s="45"/>
      <c r="RDV44" s="45"/>
      <c r="RDW44" s="45"/>
      <c r="RDX44" s="45"/>
      <c r="RDY44" s="45"/>
      <c r="RDZ44" s="45"/>
      <c r="REA44" s="45"/>
      <c r="REB44" s="45"/>
      <c r="REC44" s="45"/>
      <c r="RED44" s="45"/>
      <c r="REE44" s="45"/>
      <c r="REF44" s="45"/>
      <c r="REG44" s="45"/>
      <c r="REH44" s="45"/>
      <c r="REI44" s="45"/>
      <c r="REJ44" s="45"/>
      <c r="REK44" s="45"/>
      <c r="REL44" s="45"/>
      <c r="REM44" s="45"/>
      <c r="REN44" s="45"/>
      <c r="REO44" s="45"/>
      <c r="REP44" s="45"/>
      <c r="REQ44" s="45"/>
      <c r="RER44" s="45"/>
      <c r="RES44" s="45"/>
      <c r="RET44" s="45"/>
      <c r="REU44" s="45"/>
      <c r="REV44" s="45"/>
      <c r="REW44" s="45"/>
      <c r="REX44" s="45"/>
      <c r="REY44" s="45"/>
      <c r="REZ44" s="45"/>
      <c r="RFA44" s="45"/>
      <c r="RFB44" s="45"/>
      <c r="RFC44" s="45"/>
      <c r="RFD44" s="45"/>
      <c r="RFE44" s="45"/>
      <c r="RFF44" s="45"/>
      <c r="RFG44" s="45"/>
      <c r="RFH44" s="45"/>
      <c r="RFI44" s="45"/>
      <c r="RFJ44" s="45"/>
      <c r="RFK44" s="45"/>
      <c r="RFL44" s="45"/>
      <c r="RFM44" s="45"/>
      <c r="RFN44" s="45"/>
      <c r="RFO44" s="45"/>
      <c r="RFP44" s="45"/>
      <c r="RFQ44" s="45"/>
      <c r="RFR44" s="45"/>
      <c r="RFS44" s="45"/>
      <c r="RFT44" s="45"/>
      <c r="RFU44" s="45"/>
      <c r="RFV44" s="45"/>
      <c r="RFW44" s="45"/>
      <c r="RFX44" s="45"/>
      <c r="RFY44" s="45"/>
      <c r="RFZ44" s="45"/>
      <c r="RGA44" s="45"/>
      <c r="RGB44" s="45"/>
      <c r="RGC44" s="45"/>
      <c r="RGD44" s="45"/>
      <c r="RGE44" s="45"/>
      <c r="RGF44" s="45"/>
      <c r="RGG44" s="45"/>
      <c r="RGH44" s="45"/>
      <c r="RGI44" s="45"/>
      <c r="RGJ44" s="45"/>
      <c r="RGK44" s="45"/>
      <c r="RGL44" s="45"/>
      <c r="RGM44" s="45"/>
      <c r="RGN44" s="45"/>
      <c r="RGO44" s="45"/>
      <c r="RGP44" s="45"/>
      <c r="RGQ44" s="45"/>
      <c r="RGR44" s="45"/>
      <c r="RGS44" s="45"/>
      <c r="RGT44" s="45"/>
      <c r="RGU44" s="45"/>
      <c r="RGV44" s="45"/>
      <c r="RGW44" s="45"/>
      <c r="RGX44" s="45"/>
      <c r="RGY44" s="45"/>
      <c r="RGZ44" s="45"/>
      <c r="RHA44" s="45"/>
      <c r="RHB44" s="45"/>
      <c r="RHC44" s="45"/>
      <c r="RHD44" s="45"/>
      <c r="RHE44" s="45"/>
      <c r="RHF44" s="45"/>
      <c r="RHG44" s="45"/>
      <c r="RHH44" s="45"/>
      <c r="RHI44" s="45"/>
      <c r="RHJ44" s="45"/>
      <c r="RHK44" s="45"/>
      <c r="RHL44" s="45"/>
      <c r="RHM44" s="45"/>
      <c r="RHN44" s="45"/>
      <c r="RHO44" s="45"/>
      <c r="RHP44" s="45"/>
      <c r="RHQ44" s="45"/>
      <c r="RHR44" s="45"/>
      <c r="RHS44" s="45"/>
      <c r="RHT44" s="45"/>
      <c r="RHU44" s="45"/>
      <c r="RHV44" s="45"/>
      <c r="RHW44" s="45"/>
      <c r="RHX44" s="45"/>
      <c r="RHY44" s="45"/>
      <c r="RHZ44" s="45"/>
      <c r="RIA44" s="45"/>
      <c r="RIB44" s="45"/>
      <c r="RIC44" s="45"/>
      <c r="RID44" s="45"/>
      <c r="RIE44" s="45"/>
      <c r="RIF44" s="45"/>
      <c r="RIG44" s="45"/>
      <c r="RIH44" s="45"/>
      <c r="RII44" s="45"/>
      <c r="RIJ44" s="45"/>
      <c r="RIK44" s="45"/>
      <c r="RIL44" s="45"/>
      <c r="RIM44" s="45"/>
      <c r="RIN44" s="45"/>
      <c r="RIO44" s="45"/>
      <c r="RIP44" s="45"/>
      <c r="RIQ44" s="45"/>
      <c r="RIR44" s="45"/>
      <c r="RIS44" s="45"/>
      <c r="RIT44" s="45"/>
      <c r="RIU44" s="45"/>
      <c r="RIV44" s="45"/>
      <c r="RIW44" s="45"/>
      <c r="RIX44" s="45"/>
      <c r="RIY44" s="45"/>
      <c r="RIZ44" s="45"/>
      <c r="RJA44" s="45"/>
      <c r="RJB44" s="45"/>
      <c r="RJC44" s="45"/>
      <c r="RJD44" s="45"/>
      <c r="RJE44" s="45"/>
      <c r="RJF44" s="45"/>
      <c r="RJG44" s="45"/>
      <c r="RJH44" s="45"/>
      <c r="RJI44" s="45"/>
      <c r="RJJ44" s="45"/>
      <c r="RJK44" s="45"/>
      <c r="RJL44" s="45"/>
      <c r="RJM44" s="45"/>
      <c r="RJN44" s="45"/>
      <c r="RJO44" s="45"/>
      <c r="RJP44" s="45"/>
      <c r="RJQ44" s="45"/>
      <c r="RJR44" s="45"/>
      <c r="RJS44" s="45"/>
      <c r="RJT44" s="45"/>
      <c r="RJU44" s="45"/>
      <c r="RJV44" s="45"/>
      <c r="RJW44" s="45"/>
      <c r="RJX44" s="45"/>
      <c r="RJY44" s="45"/>
      <c r="RJZ44" s="45"/>
      <c r="RKA44" s="45"/>
      <c r="RKB44" s="45"/>
      <c r="RKC44" s="45"/>
      <c r="RKD44" s="45"/>
      <c r="RKE44" s="45"/>
      <c r="RKF44" s="45"/>
      <c r="RKG44" s="45"/>
      <c r="RKH44" s="45"/>
      <c r="RKI44" s="45"/>
      <c r="RKJ44" s="45"/>
      <c r="RKK44" s="45"/>
      <c r="RKL44" s="45"/>
      <c r="RKM44" s="45"/>
      <c r="RKN44" s="45"/>
      <c r="RKO44" s="45"/>
      <c r="RKP44" s="45"/>
      <c r="RKQ44" s="45"/>
      <c r="RKR44" s="45"/>
      <c r="RKS44" s="45"/>
      <c r="RKT44" s="45"/>
      <c r="RKU44" s="45"/>
      <c r="RKV44" s="45"/>
      <c r="RKW44" s="45"/>
      <c r="RKX44" s="45"/>
      <c r="RKY44" s="45"/>
      <c r="RKZ44" s="45"/>
      <c r="RLA44" s="45"/>
      <c r="RLB44" s="45"/>
      <c r="RLC44" s="45"/>
      <c r="RLD44" s="45"/>
      <c r="RLE44" s="45"/>
      <c r="RLF44" s="45"/>
      <c r="RLG44" s="45"/>
      <c r="RLH44" s="45"/>
      <c r="RLI44" s="45"/>
      <c r="RLJ44" s="45"/>
      <c r="RLK44" s="45"/>
      <c r="RLL44" s="45"/>
      <c r="RLM44" s="45"/>
      <c r="RLN44" s="45"/>
      <c r="RLO44" s="45"/>
      <c r="RLP44" s="45"/>
      <c r="RLQ44" s="45"/>
      <c r="RLR44" s="45"/>
      <c r="RLS44" s="45"/>
      <c r="RLT44" s="45"/>
      <c r="RLU44" s="45"/>
      <c r="RLV44" s="45"/>
      <c r="RLW44" s="45"/>
      <c r="RLX44" s="45"/>
      <c r="RLY44" s="45"/>
      <c r="RLZ44" s="45"/>
      <c r="RMA44" s="45"/>
      <c r="RMB44" s="45"/>
      <c r="RMC44" s="45"/>
      <c r="RMD44" s="45"/>
      <c r="RME44" s="45"/>
      <c r="RMF44" s="45"/>
      <c r="RMG44" s="45"/>
      <c r="RMH44" s="45"/>
      <c r="RMI44" s="45"/>
      <c r="RMJ44" s="45"/>
      <c r="RMK44" s="45"/>
      <c r="RML44" s="45"/>
      <c r="RMM44" s="45"/>
      <c r="RMN44" s="45"/>
      <c r="RMO44" s="45"/>
      <c r="RMP44" s="45"/>
      <c r="RMQ44" s="45"/>
      <c r="RMR44" s="45"/>
      <c r="RMS44" s="45"/>
      <c r="RMT44" s="45"/>
      <c r="RMU44" s="45"/>
      <c r="RMV44" s="45"/>
      <c r="RMW44" s="45"/>
      <c r="RMX44" s="45"/>
      <c r="RMY44" s="45"/>
      <c r="RMZ44" s="45"/>
      <c r="RNA44" s="45"/>
      <c r="RNB44" s="45"/>
      <c r="RNC44" s="45"/>
      <c r="RND44" s="45"/>
      <c r="RNE44" s="45"/>
      <c r="RNF44" s="45"/>
      <c r="RNG44" s="45"/>
      <c r="RNH44" s="45"/>
      <c r="RNI44" s="45"/>
      <c r="RNJ44" s="45"/>
      <c r="RNK44" s="45"/>
      <c r="RNL44" s="45"/>
      <c r="RNM44" s="45"/>
      <c r="RNN44" s="45"/>
      <c r="RNO44" s="45"/>
      <c r="RNP44" s="45"/>
      <c r="RNQ44" s="45"/>
      <c r="RNR44" s="45"/>
      <c r="RNS44" s="45"/>
      <c r="RNT44" s="45"/>
      <c r="RNU44" s="45"/>
      <c r="RNV44" s="45"/>
      <c r="RNW44" s="45"/>
      <c r="RNX44" s="45"/>
      <c r="RNY44" s="45"/>
      <c r="RNZ44" s="45"/>
      <c r="ROA44" s="45"/>
      <c r="ROB44" s="45"/>
      <c r="ROC44" s="45"/>
      <c r="ROD44" s="45"/>
      <c r="ROE44" s="45"/>
      <c r="ROF44" s="45"/>
      <c r="ROG44" s="45"/>
      <c r="ROH44" s="45"/>
      <c r="ROI44" s="45"/>
      <c r="ROJ44" s="45"/>
      <c r="ROK44" s="45"/>
      <c r="ROL44" s="45"/>
      <c r="ROM44" s="45"/>
      <c r="RON44" s="45"/>
      <c r="ROO44" s="45"/>
      <c r="ROP44" s="45"/>
      <c r="ROQ44" s="45"/>
      <c r="ROR44" s="45"/>
      <c r="ROS44" s="45"/>
      <c r="ROT44" s="45"/>
      <c r="ROU44" s="45"/>
      <c r="ROV44" s="45"/>
      <c r="ROW44" s="45"/>
      <c r="ROX44" s="45"/>
      <c r="ROY44" s="45"/>
      <c r="ROZ44" s="45"/>
      <c r="RPA44" s="45"/>
      <c r="RPB44" s="45"/>
      <c r="RPC44" s="45"/>
      <c r="RPD44" s="45"/>
      <c r="RPE44" s="45"/>
      <c r="RPF44" s="45"/>
      <c r="RPG44" s="45"/>
      <c r="RPH44" s="45"/>
      <c r="RPI44" s="45"/>
      <c r="RPJ44" s="45"/>
      <c r="RPK44" s="45"/>
      <c r="RPL44" s="45"/>
      <c r="RPM44" s="45"/>
      <c r="RPN44" s="45"/>
      <c r="RPO44" s="45"/>
      <c r="RPP44" s="45"/>
      <c r="RPQ44" s="45"/>
      <c r="RPR44" s="45"/>
      <c r="RPS44" s="45"/>
      <c r="RPT44" s="45"/>
      <c r="RPU44" s="45"/>
      <c r="RPV44" s="45"/>
      <c r="RPW44" s="45"/>
      <c r="RPX44" s="45"/>
      <c r="RPY44" s="45"/>
      <c r="RPZ44" s="45"/>
      <c r="RQA44" s="45"/>
      <c r="RQB44" s="45"/>
      <c r="RQC44" s="45"/>
      <c r="RQD44" s="45"/>
      <c r="RQE44" s="45"/>
      <c r="RQF44" s="45"/>
      <c r="RQG44" s="45"/>
      <c r="RQH44" s="45"/>
      <c r="RQI44" s="45"/>
      <c r="RQJ44" s="45"/>
      <c r="RQK44" s="45"/>
      <c r="RQL44" s="45"/>
      <c r="RQM44" s="45"/>
      <c r="RQN44" s="45"/>
      <c r="RQO44" s="45"/>
      <c r="RQP44" s="45"/>
      <c r="RQQ44" s="45"/>
      <c r="RQR44" s="45"/>
      <c r="RQS44" s="45"/>
      <c r="RQT44" s="45"/>
      <c r="RQU44" s="45"/>
      <c r="RQV44" s="45"/>
      <c r="RQW44" s="45"/>
      <c r="RQX44" s="45"/>
      <c r="RQY44" s="45"/>
      <c r="RQZ44" s="45"/>
      <c r="RRA44" s="45"/>
      <c r="RRB44" s="45"/>
      <c r="RRC44" s="45"/>
      <c r="RRD44" s="45"/>
      <c r="RRE44" s="45"/>
      <c r="RRF44" s="45"/>
      <c r="RRG44" s="45"/>
      <c r="RRH44" s="45"/>
      <c r="RRI44" s="45"/>
      <c r="RRJ44" s="45"/>
      <c r="RRK44" s="45"/>
      <c r="RRL44" s="45"/>
      <c r="RRM44" s="45"/>
      <c r="RRN44" s="45"/>
      <c r="RRO44" s="45"/>
      <c r="RRP44" s="45"/>
      <c r="RRQ44" s="45"/>
      <c r="RRR44" s="45"/>
      <c r="RRS44" s="45"/>
      <c r="RRT44" s="45"/>
      <c r="RRU44" s="45"/>
      <c r="RRV44" s="45"/>
      <c r="RRW44" s="45"/>
      <c r="RRX44" s="45"/>
      <c r="RRY44" s="45"/>
      <c r="RRZ44" s="45"/>
      <c r="RSA44" s="45"/>
      <c r="RSB44" s="45"/>
      <c r="RSC44" s="45"/>
      <c r="RSD44" s="45"/>
      <c r="RSE44" s="45"/>
      <c r="RSF44" s="45"/>
      <c r="RSG44" s="45"/>
      <c r="RSH44" s="45"/>
      <c r="RSI44" s="45"/>
      <c r="RSJ44" s="45"/>
      <c r="RSK44" s="45"/>
      <c r="RSL44" s="45"/>
      <c r="RSM44" s="45"/>
      <c r="RSN44" s="45"/>
      <c r="RSO44" s="45"/>
      <c r="RSP44" s="45"/>
      <c r="RSQ44" s="45"/>
      <c r="RSR44" s="45"/>
      <c r="RSS44" s="45"/>
      <c r="RST44" s="45"/>
      <c r="RSU44" s="45"/>
      <c r="RSV44" s="45"/>
      <c r="RSW44" s="45"/>
      <c r="RSX44" s="45"/>
      <c r="RSY44" s="45"/>
      <c r="RSZ44" s="45"/>
      <c r="RTA44" s="45"/>
      <c r="RTB44" s="45"/>
      <c r="RTC44" s="45"/>
      <c r="RTD44" s="45"/>
      <c r="RTE44" s="45"/>
      <c r="RTF44" s="45"/>
      <c r="RTG44" s="45"/>
      <c r="RTH44" s="45"/>
      <c r="RTI44" s="45"/>
      <c r="RTJ44" s="45"/>
      <c r="RTK44" s="45"/>
      <c r="RTL44" s="45"/>
      <c r="RTM44" s="45"/>
      <c r="RTN44" s="45"/>
      <c r="RTO44" s="45"/>
      <c r="RTP44" s="45"/>
      <c r="RTQ44" s="45"/>
      <c r="RTR44" s="45"/>
      <c r="RTS44" s="45"/>
      <c r="RTT44" s="45"/>
      <c r="RTU44" s="45"/>
      <c r="RTV44" s="45"/>
      <c r="RTW44" s="45"/>
      <c r="RTX44" s="45"/>
      <c r="RTY44" s="45"/>
      <c r="RTZ44" s="45"/>
      <c r="RUA44" s="45"/>
      <c r="RUB44" s="45"/>
      <c r="RUC44" s="45"/>
      <c r="RUD44" s="45"/>
      <c r="RUE44" s="45"/>
      <c r="RUF44" s="45"/>
      <c r="RUG44" s="45"/>
      <c r="RUH44" s="45"/>
      <c r="RUI44" s="45"/>
      <c r="RUJ44" s="45"/>
      <c r="RUK44" s="45"/>
      <c r="RUL44" s="45"/>
      <c r="RUM44" s="45"/>
      <c r="RUN44" s="45"/>
      <c r="RUO44" s="45"/>
      <c r="RUP44" s="45"/>
      <c r="RUQ44" s="45"/>
      <c r="RUR44" s="45"/>
      <c r="RUS44" s="45"/>
      <c r="RUT44" s="45"/>
      <c r="RUU44" s="45"/>
      <c r="RUV44" s="45"/>
      <c r="RUW44" s="45"/>
      <c r="RUX44" s="45"/>
      <c r="RUY44" s="45"/>
      <c r="RUZ44" s="45"/>
      <c r="RVA44" s="45"/>
      <c r="RVB44" s="45"/>
      <c r="RVC44" s="45"/>
      <c r="RVD44" s="45"/>
      <c r="RVE44" s="45"/>
      <c r="RVF44" s="45"/>
      <c r="RVG44" s="45"/>
      <c r="RVH44" s="45"/>
      <c r="RVI44" s="45"/>
      <c r="RVJ44" s="45"/>
      <c r="RVK44" s="45"/>
      <c r="RVL44" s="45"/>
      <c r="RVM44" s="45"/>
      <c r="RVN44" s="45"/>
      <c r="RVO44" s="45"/>
      <c r="RVP44" s="45"/>
      <c r="RVQ44" s="45"/>
      <c r="RVR44" s="45"/>
      <c r="RVS44" s="45"/>
      <c r="RVT44" s="45"/>
      <c r="RVU44" s="45"/>
      <c r="RVV44" s="45"/>
      <c r="RVW44" s="45"/>
      <c r="RVX44" s="45"/>
      <c r="RVY44" s="45"/>
      <c r="RVZ44" s="45"/>
      <c r="RWA44" s="45"/>
      <c r="RWB44" s="45"/>
      <c r="RWC44" s="45"/>
      <c r="RWD44" s="45"/>
      <c r="RWE44" s="45"/>
      <c r="RWF44" s="45"/>
      <c r="RWG44" s="45"/>
      <c r="RWH44" s="45"/>
      <c r="RWI44" s="45"/>
      <c r="RWJ44" s="45"/>
      <c r="RWK44" s="45"/>
      <c r="RWL44" s="45"/>
      <c r="RWM44" s="45"/>
      <c r="RWN44" s="45"/>
      <c r="RWO44" s="45"/>
      <c r="RWP44" s="45"/>
      <c r="RWQ44" s="45"/>
      <c r="RWR44" s="45"/>
      <c r="RWS44" s="45"/>
      <c r="RWT44" s="45"/>
      <c r="RWU44" s="45"/>
      <c r="RWV44" s="45"/>
      <c r="RWW44" s="45"/>
      <c r="RWX44" s="45"/>
      <c r="RWY44" s="45"/>
      <c r="RWZ44" s="45"/>
      <c r="RXA44" s="45"/>
      <c r="RXB44" s="45"/>
      <c r="RXC44" s="45"/>
      <c r="RXD44" s="45"/>
      <c r="RXE44" s="45"/>
      <c r="RXF44" s="45"/>
      <c r="RXG44" s="45"/>
      <c r="RXH44" s="45"/>
      <c r="RXI44" s="45"/>
      <c r="RXJ44" s="45"/>
      <c r="RXK44" s="45"/>
      <c r="RXL44" s="45"/>
      <c r="RXM44" s="45"/>
      <c r="RXN44" s="45"/>
      <c r="RXO44" s="45"/>
      <c r="RXP44" s="45"/>
      <c r="RXQ44" s="45"/>
      <c r="RXR44" s="45"/>
      <c r="RXS44" s="45"/>
      <c r="RXT44" s="45"/>
      <c r="RXU44" s="45"/>
      <c r="RXV44" s="45"/>
      <c r="RXW44" s="45"/>
      <c r="RXX44" s="45"/>
      <c r="RXY44" s="45"/>
      <c r="RXZ44" s="45"/>
      <c r="RYA44" s="45"/>
      <c r="RYB44" s="45"/>
      <c r="RYC44" s="45"/>
      <c r="RYD44" s="45"/>
      <c r="RYE44" s="45"/>
      <c r="RYF44" s="45"/>
      <c r="RYG44" s="45"/>
      <c r="RYH44" s="45"/>
      <c r="RYI44" s="45"/>
      <c r="RYJ44" s="45"/>
      <c r="RYK44" s="45"/>
      <c r="RYL44" s="45"/>
      <c r="RYM44" s="45"/>
      <c r="RYN44" s="45"/>
      <c r="RYO44" s="45"/>
      <c r="RYP44" s="45"/>
      <c r="RYQ44" s="45"/>
      <c r="RYR44" s="45"/>
      <c r="RYS44" s="45"/>
      <c r="RYT44" s="45"/>
      <c r="RYU44" s="45"/>
      <c r="RYV44" s="45"/>
      <c r="RYW44" s="45"/>
      <c r="RYX44" s="45"/>
      <c r="RYY44" s="45"/>
      <c r="RYZ44" s="45"/>
      <c r="RZA44" s="45"/>
      <c r="RZB44" s="45"/>
      <c r="RZC44" s="45"/>
      <c r="RZD44" s="45"/>
      <c r="RZE44" s="45"/>
      <c r="RZF44" s="45"/>
      <c r="RZG44" s="45"/>
      <c r="RZH44" s="45"/>
      <c r="RZI44" s="45"/>
      <c r="RZJ44" s="45"/>
      <c r="RZK44" s="45"/>
      <c r="RZL44" s="45"/>
      <c r="RZM44" s="45"/>
      <c r="RZN44" s="45"/>
      <c r="RZO44" s="45"/>
      <c r="RZP44" s="45"/>
      <c r="RZQ44" s="45"/>
      <c r="RZR44" s="45"/>
      <c r="RZS44" s="45"/>
      <c r="RZT44" s="45"/>
      <c r="RZU44" s="45"/>
      <c r="RZV44" s="45"/>
      <c r="RZW44" s="45"/>
      <c r="RZX44" s="45"/>
      <c r="RZY44" s="45"/>
      <c r="RZZ44" s="45"/>
      <c r="SAA44" s="45"/>
      <c r="SAB44" s="45"/>
      <c r="SAC44" s="45"/>
      <c r="SAD44" s="45"/>
      <c r="SAE44" s="45"/>
      <c r="SAF44" s="45"/>
      <c r="SAG44" s="45"/>
      <c r="SAH44" s="45"/>
      <c r="SAI44" s="45"/>
      <c r="SAJ44" s="45"/>
      <c r="SAK44" s="45"/>
      <c r="SAL44" s="45"/>
      <c r="SAM44" s="45"/>
      <c r="SAN44" s="45"/>
      <c r="SAO44" s="45"/>
      <c r="SAP44" s="45"/>
      <c r="SAQ44" s="45"/>
      <c r="SAR44" s="45"/>
      <c r="SAS44" s="45"/>
      <c r="SAT44" s="45"/>
      <c r="SAU44" s="45"/>
      <c r="SAV44" s="45"/>
      <c r="SAW44" s="45"/>
      <c r="SAX44" s="45"/>
      <c r="SAY44" s="45"/>
      <c r="SAZ44" s="45"/>
      <c r="SBA44" s="45"/>
      <c r="SBB44" s="45"/>
      <c r="SBC44" s="45"/>
      <c r="SBD44" s="45"/>
      <c r="SBE44" s="45"/>
      <c r="SBF44" s="45"/>
      <c r="SBG44" s="45"/>
      <c r="SBH44" s="45"/>
      <c r="SBI44" s="45"/>
      <c r="SBJ44" s="45"/>
      <c r="SBK44" s="45"/>
      <c r="SBL44" s="45"/>
      <c r="SBM44" s="45"/>
      <c r="SBN44" s="45"/>
      <c r="SBO44" s="45"/>
      <c r="SBP44" s="45"/>
      <c r="SBQ44" s="45"/>
      <c r="SBR44" s="45"/>
      <c r="SBS44" s="45"/>
      <c r="SBT44" s="45"/>
      <c r="SBU44" s="45"/>
      <c r="SBV44" s="45"/>
      <c r="SBW44" s="45"/>
      <c r="SBX44" s="45"/>
      <c r="SBY44" s="45"/>
      <c r="SBZ44" s="45"/>
      <c r="SCA44" s="45"/>
      <c r="SCB44" s="45"/>
      <c r="SCC44" s="45"/>
      <c r="SCD44" s="45"/>
      <c r="SCE44" s="45"/>
      <c r="SCF44" s="45"/>
      <c r="SCG44" s="45"/>
      <c r="SCH44" s="45"/>
      <c r="SCI44" s="45"/>
      <c r="SCJ44" s="45"/>
      <c r="SCK44" s="45"/>
      <c r="SCL44" s="45"/>
      <c r="SCM44" s="45"/>
      <c r="SCN44" s="45"/>
      <c r="SCO44" s="45"/>
      <c r="SCP44" s="45"/>
      <c r="SCQ44" s="45"/>
      <c r="SCR44" s="45"/>
      <c r="SCS44" s="45"/>
      <c r="SCT44" s="45"/>
      <c r="SCU44" s="45"/>
      <c r="SCV44" s="45"/>
      <c r="SCW44" s="45"/>
      <c r="SCX44" s="45"/>
      <c r="SCY44" s="45"/>
      <c r="SCZ44" s="45"/>
      <c r="SDA44" s="45"/>
      <c r="SDB44" s="45"/>
      <c r="SDC44" s="45"/>
      <c r="SDD44" s="45"/>
      <c r="SDE44" s="45"/>
      <c r="SDF44" s="45"/>
      <c r="SDG44" s="45"/>
      <c r="SDH44" s="45"/>
      <c r="SDI44" s="45"/>
      <c r="SDJ44" s="45"/>
      <c r="SDK44" s="45"/>
      <c r="SDL44" s="45"/>
      <c r="SDM44" s="45"/>
      <c r="SDN44" s="45"/>
      <c r="SDO44" s="45"/>
      <c r="SDP44" s="45"/>
      <c r="SDQ44" s="45"/>
      <c r="SDR44" s="45"/>
      <c r="SDS44" s="45"/>
      <c r="SDT44" s="45"/>
      <c r="SDU44" s="45"/>
      <c r="SDV44" s="45"/>
      <c r="SDW44" s="45"/>
      <c r="SDX44" s="45"/>
      <c r="SDY44" s="45"/>
      <c r="SDZ44" s="45"/>
      <c r="SEA44" s="45"/>
      <c r="SEB44" s="45"/>
      <c r="SEC44" s="45"/>
      <c r="SED44" s="45"/>
      <c r="SEE44" s="45"/>
      <c r="SEF44" s="45"/>
      <c r="SEG44" s="45"/>
      <c r="SEH44" s="45"/>
      <c r="SEI44" s="45"/>
      <c r="SEJ44" s="45"/>
      <c r="SEK44" s="45"/>
      <c r="SEL44" s="45"/>
      <c r="SEM44" s="45"/>
      <c r="SEN44" s="45"/>
      <c r="SEO44" s="45"/>
      <c r="SEP44" s="45"/>
      <c r="SEQ44" s="45"/>
      <c r="SER44" s="45"/>
      <c r="SES44" s="45"/>
      <c r="SET44" s="45"/>
      <c r="SEU44" s="45"/>
      <c r="SEV44" s="45"/>
      <c r="SEW44" s="45"/>
      <c r="SEX44" s="45"/>
      <c r="SEY44" s="45"/>
      <c r="SEZ44" s="45"/>
      <c r="SFA44" s="45"/>
      <c r="SFB44" s="45"/>
      <c r="SFC44" s="45"/>
      <c r="SFD44" s="45"/>
      <c r="SFE44" s="45"/>
      <c r="SFF44" s="45"/>
      <c r="SFG44" s="45"/>
      <c r="SFH44" s="45"/>
      <c r="SFI44" s="45"/>
      <c r="SFJ44" s="45"/>
      <c r="SFK44" s="45"/>
      <c r="SFL44" s="45"/>
      <c r="SFM44" s="45"/>
      <c r="SFN44" s="45"/>
      <c r="SFO44" s="45"/>
      <c r="SFP44" s="45"/>
      <c r="SFQ44" s="45"/>
      <c r="SFR44" s="45"/>
      <c r="SFS44" s="45"/>
      <c r="SFT44" s="45"/>
      <c r="SFU44" s="45"/>
      <c r="SFV44" s="45"/>
      <c r="SFW44" s="45"/>
      <c r="SFX44" s="45"/>
      <c r="SFY44" s="45"/>
      <c r="SFZ44" s="45"/>
      <c r="SGA44" s="45"/>
      <c r="SGB44" s="45"/>
      <c r="SGC44" s="45"/>
      <c r="SGD44" s="45"/>
      <c r="SGE44" s="45"/>
      <c r="SGF44" s="45"/>
      <c r="SGG44" s="45"/>
      <c r="SGH44" s="45"/>
      <c r="SGI44" s="45"/>
      <c r="SGJ44" s="45"/>
      <c r="SGK44" s="45"/>
      <c r="SGL44" s="45"/>
      <c r="SGM44" s="45"/>
      <c r="SGN44" s="45"/>
      <c r="SGO44" s="45"/>
      <c r="SGP44" s="45"/>
      <c r="SGQ44" s="45"/>
      <c r="SGR44" s="45"/>
      <c r="SGS44" s="45"/>
      <c r="SGT44" s="45"/>
      <c r="SGU44" s="45"/>
      <c r="SGV44" s="45"/>
      <c r="SGW44" s="45"/>
      <c r="SGX44" s="45"/>
      <c r="SGY44" s="45"/>
      <c r="SGZ44" s="45"/>
      <c r="SHA44" s="45"/>
      <c r="SHB44" s="45"/>
      <c r="SHC44" s="45"/>
      <c r="SHD44" s="45"/>
      <c r="SHE44" s="45"/>
      <c r="SHF44" s="45"/>
      <c r="SHG44" s="45"/>
      <c r="SHH44" s="45"/>
      <c r="SHI44" s="45"/>
      <c r="SHJ44" s="45"/>
      <c r="SHK44" s="45"/>
      <c r="SHL44" s="45"/>
      <c r="SHM44" s="45"/>
      <c r="SHN44" s="45"/>
      <c r="SHO44" s="45"/>
      <c r="SHP44" s="45"/>
      <c r="SHQ44" s="45"/>
      <c r="SHR44" s="45"/>
      <c r="SHS44" s="45"/>
      <c r="SHT44" s="45"/>
      <c r="SHU44" s="45"/>
      <c r="SHV44" s="45"/>
      <c r="SHW44" s="45"/>
      <c r="SHX44" s="45"/>
      <c r="SHY44" s="45"/>
      <c r="SHZ44" s="45"/>
      <c r="SIA44" s="45"/>
      <c r="SIB44" s="45"/>
      <c r="SIC44" s="45"/>
      <c r="SID44" s="45"/>
      <c r="SIE44" s="45"/>
      <c r="SIF44" s="45"/>
      <c r="SIG44" s="45"/>
      <c r="SIH44" s="45"/>
      <c r="SII44" s="45"/>
      <c r="SIJ44" s="45"/>
      <c r="SIK44" s="45"/>
      <c r="SIL44" s="45"/>
      <c r="SIM44" s="45"/>
      <c r="SIN44" s="45"/>
      <c r="SIO44" s="45"/>
      <c r="SIP44" s="45"/>
      <c r="SIQ44" s="45"/>
      <c r="SIR44" s="45"/>
      <c r="SIS44" s="45"/>
      <c r="SIT44" s="45"/>
      <c r="SIU44" s="45"/>
      <c r="SIV44" s="45"/>
      <c r="SIW44" s="45"/>
      <c r="SIX44" s="45"/>
      <c r="SIY44" s="45"/>
      <c r="SIZ44" s="45"/>
      <c r="SJA44" s="45"/>
      <c r="SJB44" s="45"/>
      <c r="SJC44" s="45"/>
      <c r="SJD44" s="45"/>
      <c r="SJE44" s="45"/>
      <c r="SJF44" s="45"/>
      <c r="SJG44" s="45"/>
      <c r="SJH44" s="45"/>
      <c r="SJI44" s="45"/>
      <c r="SJJ44" s="45"/>
      <c r="SJK44" s="45"/>
      <c r="SJL44" s="45"/>
      <c r="SJM44" s="45"/>
      <c r="SJN44" s="45"/>
      <c r="SJO44" s="45"/>
      <c r="SJP44" s="45"/>
      <c r="SJQ44" s="45"/>
      <c r="SJR44" s="45"/>
      <c r="SJS44" s="45"/>
      <c r="SJT44" s="45"/>
      <c r="SJU44" s="45"/>
      <c r="SJV44" s="45"/>
      <c r="SJW44" s="45"/>
      <c r="SJX44" s="45"/>
      <c r="SJY44" s="45"/>
      <c r="SJZ44" s="45"/>
      <c r="SKA44" s="45"/>
      <c r="SKB44" s="45"/>
      <c r="SKC44" s="45"/>
      <c r="SKD44" s="45"/>
      <c r="SKE44" s="45"/>
      <c r="SKF44" s="45"/>
      <c r="SKG44" s="45"/>
      <c r="SKH44" s="45"/>
      <c r="SKI44" s="45"/>
      <c r="SKJ44" s="45"/>
      <c r="SKK44" s="45"/>
      <c r="SKL44" s="45"/>
      <c r="SKM44" s="45"/>
      <c r="SKN44" s="45"/>
      <c r="SKO44" s="45"/>
      <c r="SKP44" s="45"/>
      <c r="SKQ44" s="45"/>
      <c r="SKR44" s="45"/>
      <c r="SKS44" s="45"/>
      <c r="SKT44" s="45"/>
      <c r="SKU44" s="45"/>
      <c r="SKV44" s="45"/>
      <c r="SKW44" s="45"/>
      <c r="SKX44" s="45"/>
      <c r="SKY44" s="45"/>
      <c r="SKZ44" s="45"/>
      <c r="SLA44" s="45"/>
      <c r="SLB44" s="45"/>
      <c r="SLC44" s="45"/>
      <c r="SLD44" s="45"/>
      <c r="SLE44" s="45"/>
      <c r="SLF44" s="45"/>
      <c r="SLG44" s="45"/>
      <c r="SLH44" s="45"/>
      <c r="SLI44" s="45"/>
      <c r="SLJ44" s="45"/>
      <c r="SLK44" s="45"/>
      <c r="SLL44" s="45"/>
      <c r="SLM44" s="45"/>
      <c r="SLN44" s="45"/>
      <c r="SLO44" s="45"/>
      <c r="SLP44" s="45"/>
      <c r="SLQ44" s="45"/>
      <c r="SLR44" s="45"/>
      <c r="SLS44" s="45"/>
      <c r="SLT44" s="45"/>
      <c r="SLU44" s="45"/>
      <c r="SLV44" s="45"/>
      <c r="SLW44" s="45"/>
      <c r="SLX44" s="45"/>
      <c r="SLY44" s="45"/>
      <c r="SLZ44" s="45"/>
      <c r="SMA44" s="45"/>
      <c r="SMB44" s="45"/>
      <c r="SMC44" s="45"/>
      <c r="SMD44" s="45"/>
      <c r="SME44" s="45"/>
      <c r="SMF44" s="45"/>
      <c r="SMG44" s="45"/>
      <c r="SMH44" s="45"/>
      <c r="SMI44" s="45"/>
      <c r="SMJ44" s="45"/>
      <c r="SMK44" s="45"/>
      <c r="SML44" s="45"/>
      <c r="SMM44" s="45"/>
      <c r="SMN44" s="45"/>
      <c r="SMO44" s="45"/>
      <c r="SMP44" s="45"/>
      <c r="SMQ44" s="45"/>
      <c r="SMR44" s="45"/>
      <c r="SMS44" s="45"/>
      <c r="SMT44" s="45"/>
      <c r="SMU44" s="45"/>
      <c r="SMV44" s="45"/>
      <c r="SMW44" s="45"/>
      <c r="SMX44" s="45"/>
      <c r="SMY44" s="45"/>
      <c r="SMZ44" s="45"/>
      <c r="SNA44" s="45"/>
      <c r="SNB44" s="45"/>
      <c r="SNC44" s="45"/>
      <c r="SND44" s="45"/>
      <c r="SNE44" s="45"/>
      <c r="SNF44" s="45"/>
      <c r="SNG44" s="45"/>
      <c r="SNH44" s="45"/>
      <c r="SNI44" s="45"/>
      <c r="SNJ44" s="45"/>
      <c r="SNK44" s="45"/>
      <c r="SNL44" s="45"/>
      <c r="SNM44" s="45"/>
      <c r="SNN44" s="45"/>
      <c r="SNO44" s="45"/>
      <c r="SNP44" s="45"/>
      <c r="SNQ44" s="45"/>
      <c r="SNR44" s="45"/>
      <c r="SNS44" s="45"/>
      <c r="SNT44" s="45"/>
      <c r="SNU44" s="45"/>
      <c r="SNV44" s="45"/>
      <c r="SNW44" s="45"/>
      <c r="SNX44" s="45"/>
      <c r="SNY44" s="45"/>
      <c r="SNZ44" s="45"/>
      <c r="SOA44" s="45"/>
      <c r="SOB44" s="45"/>
      <c r="SOC44" s="45"/>
      <c r="SOD44" s="45"/>
      <c r="SOE44" s="45"/>
      <c r="SOF44" s="45"/>
      <c r="SOG44" s="45"/>
      <c r="SOH44" s="45"/>
      <c r="SOI44" s="45"/>
      <c r="SOJ44" s="45"/>
      <c r="SOK44" s="45"/>
      <c r="SOL44" s="45"/>
      <c r="SOM44" s="45"/>
      <c r="SON44" s="45"/>
      <c r="SOO44" s="45"/>
      <c r="SOP44" s="45"/>
      <c r="SOQ44" s="45"/>
      <c r="SOR44" s="45"/>
      <c r="SOS44" s="45"/>
      <c r="SOT44" s="45"/>
      <c r="SOU44" s="45"/>
      <c r="SOV44" s="45"/>
      <c r="SOW44" s="45"/>
      <c r="SOX44" s="45"/>
      <c r="SOY44" s="45"/>
      <c r="SOZ44" s="45"/>
      <c r="SPA44" s="45"/>
      <c r="SPB44" s="45"/>
      <c r="SPC44" s="45"/>
      <c r="SPD44" s="45"/>
      <c r="SPE44" s="45"/>
      <c r="SPF44" s="45"/>
      <c r="SPG44" s="45"/>
      <c r="SPH44" s="45"/>
      <c r="SPI44" s="45"/>
      <c r="SPJ44" s="45"/>
      <c r="SPK44" s="45"/>
      <c r="SPL44" s="45"/>
      <c r="SPM44" s="45"/>
      <c r="SPN44" s="45"/>
      <c r="SPO44" s="45"/>
      <c r="SPP44" s="45"/>
      <c r="SPQ44" s="45"/>
      <c r="SPR44" s="45"/>
      <c r="SPS44" s="45"/>
      <c r="SPT44" s="45"/>
      <c r="SPU44" s="45"/>
      <c r="SPV44" s="45"/>
      <c r="SPW44" s="45"/>
      <c r="SPX44" s="45"/>
      <c r="SPY44" s="45"/>
      <c r="SPZ44" s="45"/>
      <c r="SQA44" s="45"/>
      <c r="SQB44" s="45"/>
      <c r="SQC44" s="45"/>
      <c r="SQD44" s="45"/>
      <c r="SQE44" s="45"/>
      <c r="SQF44" s="45"/>
      <c r="SQG44" s="45"/>
      <c r="SQH44" s="45"/>
      <c r="SQI44" s="45"/>
      <c r="SQJ44" s="45"/>
      <c r="SQK44" s="45"/>
      <c r="SQL44" s="45"/>
      <c r="SQM44" s="45"/>
      <c r="SQN44" s="45"/>
      <c r="SQO44" s="45"/>
      <c r="SQP44" s="45"/>
      <c r="SQQ44" s="45"/>
      <c r="SQR44" s="45"/>
      <c r="SQS44" s="45"/>
      <c r="SQT44" s="45"/>
      <c r="SQU44" s="45"/>
      <c r="SQV44" s="45"/>
      <c r="SQW44" s="45"/>
      <c r="SQX44" s="45"/>
      <c r="SQY44" s="45"/>
      <c r="SQZ44" s="45"/>
      <c r="SRA44" s="45"/>
      <c r="SRB44" s="45"/>
      <c r="SRC44" s="45"/>
      <c r="SRD44" s="45"/>
      <c r="SRE44" s="45"/>
      <c r="SRF44" s="45"/>
      <c r="SRG44" s="45"/>
      <c r="SRH44" s="45"/>
      <c r="SRI44" s="45"/>
      <c r="SRJ44" s="45"/>
      <c r="SRK44" s="45"/>
      <c r="SRL44" s="45"/>
      <c r="SRM44" s="45"/>
      <c r="SRN44" s="45"/>
      <c r="SRO44" s="45"/>
      <c r="SRP44" s="45"/>
      <c r="SRQ44" s="45"/>
      <c r="SRR44" s="45"/>
      <c r="SRS44" s="45"/>
      <c r="SRT44" s="45"/>
      <c r="SRU44" s="45"/>
      <c r="SRV44" s="45"/>
      <c r="SRW44" s="45"/>
      <c r="SRX44" s="45"/>
      <c r="SRY44" s="45"/>
      <c r="SRZ44" s="45"/>
      <c r="SSA44" s="45"/>
      <c r="SSB44" s="45"/>
      <c r="SSC44" s="45"/>
      <c r="SSD44" s="45"/>
      <c r="SSE44" s="45"/>
      <c r="SSF44" s="45"/>
      <c r="SSG44" s="45"/>
      <c r="SSH44" s="45"/>
      <c r="SSI44" s="45"/>
      <c r="SSJ44" s="45"/>
      <c r="SSK44" s="45"/>
      <c r="SSL44" s="45"/>
      <c r="SSM44" s="45"/>
      <c r="SSN44" s="45"/>
      <c r="SSO44" s="45"/>
      <c r="SSP44" s="45"/>
      <c r="SSQ44" s="45"/>
      <c r="SSR44" s="45"/>
      <c r="SSS44" s="45"/>
      <c r="SST44" s="45"/>
      <c r="SSU44" s="45"/>
      <c r="SSV44" s="45"/>
      <c r="SSW44" s="45"/>
      <c r="SSX44" s="45"/>
      <c r="SSY44" s="45"/>
      <c r="SSZ44" s="45"/>
      <c r="STA44" s="45"/>
      <c r="STB44" s="45"/>
      <c r="STC44" s="45"/>
      <c r="STD44" s="45"/>
      <c r="STE44" s="45"/>
      <c r="STF44" s="45"/>
      <c r="STG44" s="45"/>
      <c r="STH44" s="45"/>
      <c r="STI44" s="45"/>
      <c r="STJ44" s="45"/>
      <c r="STK44" s="45"/>
      <c r="STL44" s="45"/>
      <c r="STM44" s="45"/>
      <c r="STN44" s="45"/>
      <c r="STO44" s="45"/>
      <c r="STP44" s="45"/>
      <c r="STQ44" s="45"/>
      <c r="STR44" s="45"/>
      <c r="STS44" s="45"/>
      <c r="STT44" s="45"/>
      <c r="STU44" s="45"/>
      <c r="STV44" s="45"/>
      <c r="STW44" s="45"/>
      <c r="STX44" s="45"/>
      <c r="STY44" s="45"/>
      <c r="STZ44" s="45"/>
      <c r="SUA44" s="45"/>
      <c r="SUB44" s="45"/>
      <c r="SUC44" s="45"/>
      <c r="SUD44" s="45"/>
      <c r="SUE44" s="45"/>
      <c r="SUF44" s="45"/>
      <c r="SUG44" s="45"/>
      <c r="SUH44" s="45"/>
      <c r="SUI44" s="45"/>
      <c r="SUJ44" s="45"/>
      <c r="SUK44" s="45"/>
      <c r="SUL44" s="45"/>
      <c r="SUM44" s="45"/>
      <c r="SUN44" s="45"/>
      <c r="SUO44" s="45"/>
      <c r="SUP44" s="45"/>
      <c r="SUQ44" s="45"/>
      <c r="SUR44" s="45"/>
      <c r="SUS44" s="45"/>
      <c r="SUT44" s="45"/>
      <c r="SUU44" s="45"/>
      <c r="SUV44" s="45"/>
      <c r="SUW44" s="45"/>
      <c r="SUX44" s="45"/>
      <c r="SUY44" s="45"/>
      <c r="SUZ44" s="45"/>
      <c r="SVA44" s="45"/>
      <c r="SVB44" s="45"/>
      <c r="SVC44" s="45"/>
      <c r="SVD44" s="45"/>
      <c r="SVE44" s="45"/>
      <c r="SVF44" s="45"/>
      <c r="SVG44" s="45"/>
      <c r="SVH44" s="45"/>
      <c r="SVI44" s="45"/>
      <c r="SVJ44" s="45"/>
      <c r="SVK44" s="45"/>
      <c r="SVL44" s="45"/>
      <c r="SVM44" s="45"/>
      <c r="SVN44" s="45"/>
      <c r="SVO44" s="45"/>
      <c r="SVP44" s="45"/>
      <c r="SVQ44" s="45"/>
      <c r="SVR44" s="45"/>
      <c r="SVS44" s="45"/>
      <c r="SVT44" s="45"/>
      <c r="SVU44" s="45"/>
      <c r="SVV44" s="45"/>
      <c r="SVW44" s="45"/>
      <c r="SVX44" s="45"/>
      <c r="SVY44" s="45"/>
      <c r="SVZ44" s="45"/>
      <c r="SWA44" s="45"/>
      <c r="SWB44" s="45"/>
      <c r="SWC44" s="45"/>
      <c r="SWD44" s="45"/>
      <c r="SWE44" s="45"/>
      <c r="SWF44" s="45"/>
      <c r="SWG44" s="45"/>
      <c r="SWH44" s="45"/>
      <c r="SWI44" s="45"/>
      <c r="SWJ44" s="45"/>
      <c r="SWK44" s="45"/>
      <c r="SWL44" s="45"/>
      <c r="SWM44" s="45"/>
      <c r="SWN44" s="45"/>
      <c r="SWO44" s="45"/>
      <c r="SWP44" s="45"/>
      <c r="SWQ44" s="45"/>
      <c r="SWR44" s="45"/>
      <c r="SWS44" s="45"/>
      <c r="SWT44" s="45"/>
      <c r="SWU44" s="45"/>
      <c r="SWV44" s="45"/>
      <c r="SWW44" s="45"/>
      <c r="SWX44" s="45"/>
      <c r="SWY44" s="45"/>
      <c r="SWZ44" s="45"/>
      <c r="SXA44" s="45"/>
      <c r="SXB44" s="45"/>
      <c r="SXC44" s="45"/>
      <c r="SXD44" s="45"/>
      <c r="SXE44" s="45"/>
      <c r="SXF44" s="45"/>
      <c r="SXG44" s="45"/>
      <c r="SXH44" s="45"/>
      <c r="SXI44" s="45"/>
      <c r="SXJ44" s="45"/>
      <c r="SXK44" s="45"/>
      <c r="SXL44" s="45"/>
      <c r="SXM44" s="45"/>
      <c r="SXN44" s="45"/>
      <c r="SXO44" s="45"/>
      <c r="SXP44" s="45"/>
      <c r="SXQ44" s="45"/>
      <c r="SXR44" s="45"/>
      <c r="SXS44" s="45"/>
      <c r="SXT44" s="45"/>
      <c r="SXU44" s="45"/>
      <c r="SXV44" s="45"/>
      <c r="SXW44" s="45"/>
      <c r="SXX44" s="45"/>
      <c r="SXY44" s="45"/>
      <c r="SXZ44" s="45"/>
      <c r="SYA44" s="45"/>
      <c r="SYB44" s="45"/>
      <c r="SYC44" s="45"/>
      <c r="SYD44" s="45"/>
      <c r="SYE44" s="45"/>
      <c r="SYF44" s="45"/>
      <c r="SYG44" s="45"/>
      <c r="SYH44" s="45"/>
      <c r="SYI44" s="45"/>
      <c r="SYJ44" s="45"/>
      <c r="SYK44" s="45"/>
      <c r="SYL44" s="45"/>
      <c r="SYM44" s="45"/>
      <c r="SYN44" s="45"/>
      <c r="SYO44" s="45"/>
      <c r="SYP44" s="45"/>
      <c r="SYQ44" s="45"/>
      <c r="SYR44" s="45"/>
      <c r="SYS44" s="45"/>
      <c r="SYT44" s="45"/>
      <c r="SYU44" s="45"/>
      <c r="SYV44" s="45"/>
      <c r="SYW44" s="45"/>
      <c r="SYX44" s="45"/>
      <c r="SYY44" s="45"/>
      <c r="SYZ44" s="45"/>
      <c r="SZA44" s="45"/>
      <c r="SZB44" s="45"/>
      <c r="SZC44" s="45"/>
      <c r="SZD44" s="45"/>
      <c r="SZE44" s="45"/>
      <c r="SZF44" s="45"/>
      <c r="SZG44" s="45"/>
      <c r="SZH44" s="45"/>
      <c r="SZI44" s="45"/>
      <c r="SZJ44" s="45"/>
      <c r="SZK44" s="45"/>
      <c r="SZL44" s="45"/>
      <c r="SZM44" s="45"/>
      <c r="SZN44" s="45"/>
      <c r="SZO44" s="45"/>
      <c r="SZP44" s="45"/>
      <c r="SZQ44" s="45"/>
      <c r="SZR44" s="45"/>
      <c r="SZS44" s="45"/>
      <c r="SZT44" s="45"/>
      <c r="SZU44" s="45"/>
      <c r="SZV44" s="45"/>
      <c r="SZW44" s="45"/>
      <c r="SZX44" s="45"/>
      <c r="SZY44" s="45"/>
      <c r="SZZ44" s="45"/>
      <c r="TAA44" s="45"/>
      <c r="TAB44" s="45"/>
      <c r="TAC44" s="45"/>
      <c r="TAD44" s="45"/>
      <c r="TAE44" s="45"/>
      <c r="TAF44" s="45"/>
      <c r="TAG44" s="45"/>
      <c r="TAH44" s="45"/>
      <c r="TAI44" s="45"/>
      <c r="TAJ44" s="45"/>
      <c r="TAK44" s="45"/>
      <c r="TAL44" s="45"/>
      <c r="TAM44" s="45"/>
      <c r="TAN44" s="45"/>
      <c r="TAO44" s="45"/>
      <c r="TAP44" s="45"/>
      <c r="TAQ44" s="45"/>
      <c r="TAR44" s="45"/>
      <c r="TAS44" s="45"/>
      <c r="TAT44" s="45"/>
      <c r="TAU44" s="45"/>
      <c r="TAV44" s="45"/>
      <c r="TAW44" s="45"/>
      <c r="TAX44" s="45"/>
      <c r="TAY44" s="45"/>
      <c r="TAZ44" s="45"/>
      <c r="TBA44" s="45"/>
      <c r="TBB44" s="45"/>
      <c r="TBC44" s="45"/>
      <c r="TBD44" s="45"/>
      <c r="TBE44" s="45"/>
      <c r="TBF44" s="45"/>
      <c r="TBG44" s="45"/>
      <c r="TBH44" s="45"/>
      <c r="TBI44" s="45"/>
      <c r="TBJ44" s="45"/>
      <c r="TBK44" s="45"/>
      <c r="TBL44" s="45"/>
      <c r="TBM44" s="45"/>
      <c r="TBN44" s="45"/>
      <c r="TBO44" s="45"/>
      <c r="TBP44" s="45"/>
      <c r="TBQ44" s="45"/>
      <c r="TBR44" s="45"/>
      <c r="TBS44" s="45"/>
      <c r="TBT44" s="45"/>
      <c r="TBU44" s="45"/>
      <c r="TBV44" s="45"/>
      <c r="TBW44" s="45"/>
      <c r="TBX44" s="45"/>
      <c r="TBY44" s="45"/>
      <c r="TBZ44" s="45"/>
      <c r="TCA44" s="45"/>
      <c r="TCB44" s="45"/>
      <c r="TCC44" s="45"/>
      <c r="TCD44" s="45"/>
      <c r="TCE44" s="45"/>
      <c r="TCF44" s="45"/>
      <c r="TCG44" s="45"/>
      <c r="TCH44" s="45"/>
      <c r="TCI44" s="45"/>
      <c r="TCJ44" s="45"/>
      <c r="TCK44" s="45"/>
      <c r="TCL44" s="45"/>
      <c r="TCM44" s="45"/>
      <c r="TCN44" s="45"/>
      <c r="TCO44" s="45"/>
      <c r="TCP44" s="45"/>
      <c r="TCQ44" s="45"/>
      <c r="TCR44" s="45"/>
      <c r="TCS44" s="45"/>
      <c r="TCT44" s="45"/>
      <c r="TCU44" s="45"/>
      <c r="TCV44" s="45"/>
      <c r="TCW44" s="45"/>
      <c r="TCX44" s="45"/>
      <c r="TCY44" s="45"/>
      <c r="TCZ44" s="45"/>
      <c r="TDA44" s="45"/>
      <c r="TDB44" s="45"/>
      <c r="TDC44" s="45"/>
      <c r="TDD44" s="45"/>
      <c r="TDE44" s="45"/>
      <c r="TDF44" s="45"/>
      <c r="TDG44" s="45"/>
      <c r="TDH44" s="45"/>
      <c r="TDI44" s="45"/>
      <c r="TDJ44" s="45"/>
      <c r="TDK44" s="45"/>
      <c r="TDL44" s="45"/>
      <c r="TDM44" s="45"/>
      <c r="TDN44" s="45"/>
      <c r="TDO44" s="45"/>
      <c r="TDP44" s="45"/>
      <c r="TDQ44" s="45"/>
      <c r="TDR44" s="45"/>
      <c r="TDS44" s="45"/>
      <c r="TDT44" s="45"/>
      <c r="TDU44" s="45"/>
      <c r="TDV44" s="45"/>
      <c r="TDW44" s="45"/>
      <c r="TDX44" s="45"/>
      <c r="TDY44" s="45"/>
      <c r="TDZ44" s="45"/>
      <c r="TEA44" s="45"/>
      <c r="TEB44" s="45"/>
      <c r="TEC44" s="45"/>
      <c r="TED44" s="45"/>
      <c r="TEE44" s="45"/>
      <c r="TEF44" s="45"/>
      <c r="TEG44" s="45"/>
      <c r="TEH44" s="45"/>
      <c r="TEI44" s="45"/>
      <c r="TEJ44" s="45"/>
      <c r="TEK44" s="45"/>
      <c r="TEL44" s="45"/>
      <c r="TEM44" s="45"/>
      <c r="TEN44" s="45"/>
      <c r="TEO44" s="45"/>
      <c r="TEP44" s="45"/>
      <c r="TEQ44" s="45"/>
      <c r="TER44" s="45"/>
      <c r="TES44" s="45"/>
      <c r="TET44" s="45"/>
      <c r="TEU44" s="45"/>
      <c r="TEV44" s="45"/>
      <c r="TEW44" s="45"/>
      <c r="TEX44" s="45"/>
      <c r="TEY44" s="45"/>
      <c r="TEZ44" s="45"/>
      <c r="TFA44" s="45"/>
      <c r="TFB44" s="45"/>
      <c r="TFC44" s="45"/>
      <c r="TFD44" s="45"/>
      <c r="TFE44" s="45"/>
      <c r="TFF44" s="45"/>
      <c r="TFG44" s="45"/>
      <c r="TFH44" s="45"/>
      <c r="TFI44" s="45"/>
      <c r="TFJ44" s="45"/>
      <c r="TFK44" s="45"/>
      <c r="TFL44" s="45"/>
      <c r="TFM44" s="45"/>
      <c r="TFN44" s="45"/>
      <c r="TFO44" s="45"/>
      <c r="TFP44" s="45"/>
      <c r="TFQ44" s="45"/>
      <c r="TFR44" s="45"/>
      <c r="TFS44" s="45"/>
      <c r="TFT44" s="45"/>
      <c r="TFU44" s="45"/>
      <c r="TFV44" s="45"/>
      <c r="TFW44" s="45"/>
      <c r="TFX44" s="45"/>
      <c r="TFY44" s="45"/>
      <c r="TFZ44" s="45"/>
      <c r="TGA44" s="45"/>
      <c r="TGB44" s="45"/>
      <c r="TGC44" s="45"/>
      <c r="TGD44" s="45"/>
      <c r="TGE44" s="45"/>
      <c r="TGF44" s="45"/>
      <c r="TGG44" s="45"/>
      <c r="TGH44" s="45"/>
      <c r="TGI44" s="45"/>
      <c r="TGJ44" s="45"/>
      <c r="TGK44" s="45"/>
      <c r="TGL44" s="45"/>
      <c r="TGM44" s="45"/>
      <c r="TGN44" s="45"/>
      <c r="TGO44" s="45"/>
      <c r="TGP44" s="45"/>
      <c r="TGQ44" s="45"/>
      <c r="TGR44" s="45"/>
      <c r="TGS44" s="45"/>
      <c r="TGT44" s="45"/>
      <c r="TGU44" s="45"/>
      <c r="TGV44" s="45"/>
      <c r="TGW44" s="45"/>
      <c r="TGX44" s="45"/>
      <c r="TGY44" s="45"/>
      <c r="TGZ44" s="45"/>
      <c r="THA44" s="45"/>
      <c r="THB44" s="45"/>
      <c r="THC44" s="45"/>
      <c r="THD44" s="45"/>
      <c r="THE44" s="45"/>
      <c r="THF44" s="45"/>
      <c r="THG44" s="45"/>
      <c r="THH44" s="45"/>
      <c r="THI44" s="45"/>
      <c r="THJ44" s="45"/>
      <c r="THK44" s="45"/>
      <c r="THL44" s="45"/>
      <c r="THM44" s="45"/>
      <c r="THN44" s="45"/>
      <c r="THO44" s="45"/>
      <c r="THP44" s="45"/>
      <c r="THQ44" s="45"/>
      <c r="THR44" s="45"/>
      <c r="THS44" s="45"/>
      <c r="THT44" s="45"/>
      <c r="THU44" s="45"/>
      <c r="THV44" s="45"/>
      <c r="THW44" s="45"/>
      <c r="THX44" s="45"/>
      <c r="THY44" s="45"/>
      <c r="THZ44" s="45"/>
      <c r="TIA44" s="45"/>
      <c r="TIB44" s="45"/>
      <c r="TIC44" s="45"/>
      <c r="TID44" s="45"/>
      <c r="TIE44" s="45"/>
      <c r="TIF44" s="45"/>
      <c r="TIG44" s="45"/>
      <c r="TIH44" s="45"/>
      <c r="TII44" s="45"/>
      <c r="TIJ44" s="45"/>
      <c r="TIK44" s="45"/>
      <c r="TIL44" s="45"/>
      <c r="TIM44" s="45"/>
      <c r="TIN44" s="45"/>
      <c r="TIO44" s="45"/>
      <c r="TIP44" s="45"/>
      <c r="TIQ44" s="45"/>
      <c r="TIR44" s="45"/>
      <c r="TIS44" s="45"/>
      <c r="TIT44" s="45"/>
      <c r="TIU44" s="45"/>
      <c r="TIV44" s="45"/>
      <c r="TIW44" s="45"/>
      <c r="TIX44" s="45"/>
      <c r="TIY44" s="45"/>
      <c r="TIZ44" s="45"/>
      <c r="TJA44" s="45"/>
      <c r="TJB44" s="45"/>
      <c r="TJC44" s="45"/>
      <c r="TJD44" s="45"/>
      <c r="TJE44" s="45"/>
      <c r="TJF44" s="45"/>
      <c r="TJG44" s="45"/>
      <c r="TJH44" s="45"/>
      <c r="TJI44" s="45"/>
      <c r="TJJ44" s="45"/>
      <c r="TJK44" s="45"/>
      <c r="TJL44" s="45"/>
      <c r="TJM44" s="45"/>
      <c r="TJN44" s="45"/>
      <c r="TJO44" s="45"/>
      <c r="TJP44" s="45"/>
      <c r="TJQ44" s="45"/>
      <c r="TJR44" s="45"/>
      <c r="TJS44" s="45"/>
      <c r="TJT44" s="45"/>
      <c r="TJU44" s="45"/>
      <c r="TJV44" s="45"/>
      <c r="TJW44" s="45"/>
      <c r="TJX44" s="45"/>
      <c r="TJY44" s="45"/>
      <c r="TJZ44" s="45"/>
      <c r="TKA44" s="45"/>
      <c r="TKB44" s="45"/>
      <c r="TKC44" s="45"/>
      <c r="TKD44" s="45"/>
      <c r="TKE44" s="45"/>
      <c r="TKF44" s="45"/>
      <c r="TKG44" s="45"/>
      <c r="TKH44" s="45"/>
      <c r="TKI44" s="45"/>
      <c r="TKJ44" s="45"/>
      <c r="TKK44" s="45"/>
      <c r="TKL44" s="45"/>
      <c r="TKM44" s="45"/>
      <c r="TKN44" s="45"/>
      <c r="TKO44" s="45"/>
      <c r="TKP44" s="45"/>
      <c r="TKQ44" s="45"/>
      <c r="TKR44" s="45"/>
      <c r="TKS44" s="45"/>
      <c r="TKT44" s="45"/>
      <c r="TKU44" s="45"/>
      <c r="TKV44" s="45"/>
      <c r="TKW44" s="45"/>
      <c r="TKX44" s="45"/>
      <c r="TKY44" s="45"/>
      <c r="TKZ44" s="45"/>
      <c r="TLA44" s="45"/>
      <c r="TLB44" s="45"/>
      <c r="TLC44" s="45"/>
      <c r="TLD44" s="45"/>
      <c r="TLE44" s="45"/>
      <c r="TLF44" s="45"/>
      <c r="TLG44" s="45"/>
      <c r="TLH44" s="45"/>
      <c r="TLI44" s="45"/>
      <c r="TLJ44" s="45"/>
      <c r="TLK44" s="45"/>
      <c r="TLL44" s="45"/>
      <c r="TLM44" s="45"/>
      <c r="TLN44" s="45"/>
      <c r="TLO44" s="45"/>
      <c r="TLP44" s="45"/>
      <c r="TLQ44" s="45"/>
      <c r="TLR44" s="45"/>
      <c r="TLS44" s="45"/>
      <c r="TLT44" s="45"/>
      <c r="TLU44" s="45"/>
      <c r="TLV44" s="45"/>
      <c r="TLW44" s="45"/>
      <c r="TLX44" s="45"/>
      <c r="TLY44" s="45"/>
      <c r="TLZ44" s="45"/>
      <c r="TMA44" s="45"/>
      <c r="TMB44" s="45"/>
      <c r="TMC44" s="45"/>
      <c r="TMD44" s="45"/>
      <c r="TME44" s="45"/>
      <c r="TMF44" s="45"/>
      <c r="TMG44" s="45"/>
      <c r="TMH44" s="45"/>
      <c r="TMI44" s="45"/>
      <c r="TMJ44" s="45"/>
      <c r="TMK44" s="45"/>
      <c r="TML44" s="45"/>
      <c r="TMM44" s="45"/>
      <c r="TMN44" s="45"/>
      <c r="TMO44" s="45"/>
      <c r="TMP44" s="45"/>
      <c r="TMQ44" s="45"/>
      <c r="TMR44" s="45"/>
      <c r="TMS44" s="45"/>
      <c r="TMT44" s="45"/>
      <c r="TMU44" s="45"/>
      <c r="TMV44" s="45"/>
      <c r="TMW44" s="45"/>
      <c r="TMX44" s="45"/>
      <c r="TMY44" s="45"/>
      <c r="TMZ44" s="45"/>
      <c r="TNA44" s="45"/>
      <c r="TNB44" s="45"/>
      <c r="TNC44" s="45"/>
      <c r="TND44" s="45"/>
      <c r="TNE44" s="45"/>
      <c r="TNF44" s="45"/>
      <c r="TNG44" s="45"/>
      <c r="TNH44" s="45"/>
      <c r="TNI44" s="45"/>
      <c r="TNJ44" s="45"/>
      <c r="TNK44" s="45"/>
      <c r="TNL44" s="45"/>
      <c r="TNM44" s="45"/>
      <c r="TNN44" s="45"/>
      <c r="TNO44" s="45"/>
      <c r="TNP44" s="45"/>
      <c r="TNQ44" s="45"/>
      <c r="TNR44" s="45"/>
      <c r="TNS44" s="45"/>
      <c r="TNT44" s="45"/>
      <c r="TNU44" s="45"/>
      <c r="TNV44" s="45"/>
      <c r="TNW44" s="45"/>
      <c r="TNX44" s="45"/>
      <c r="TNY44" s="45"/>
      <c r="TNZ44" s="45"/>
      <c r="TOA44" s="45"/>
      <c r="TOB44" s="45"/>
      <c r="TOC44" s="45"/>
      <c r="TOD44" s="45"/>
      <c r="TOE44" s="45"/>
      <c r="TOF44" s="45"/>
      <c r="TOG44" s="45"/>
      <c r="TOH44" s="45"/>
      <c r="TOI44" s="45"/>
      <c r="TOJ44" s="45"/>
      <c r="TOK44" s="45"/>
      <c r="TOL44" s="45"/>
      <c r="TOM44" s="45"/>
      <c r="TON44" s="45"/>
      <c r="TOO44" s="45"/>
      <c r="TOP44" s="45"/>
      <c r="TOQ44" s="45"/>
      <c r="TOR44" s="45"/>
      <c r="TOS44" s="45"/>
      <c r="TOT44" s="45"/>
      <c r="TOU44" s="45"/>
      <c r="TOV44" s="45"/>
      <c r="TOW44" s="45"/>
      <c r="TOX44" s="45"/>
      <c r="TOY44" s="45"/>
      <c r="TOZ44" s="45"/>
      <c r="TPA44" s="45"/>
      <c r="TPB44" s="45"/>
      <c r="TPC44" s="45"/>
      <c r="TPD44" s="45"/>
      <c r="TPE44" s="45"/>
      <c r="TPF44" s="45"/>
      <c r="TPG44" s="45"/>
      <c r="TPH44" s="45"/>
      <c r="TPI44" s="45"/>
      <c r="TPJ44" s="45"/>
      <c r="TPK44" s="45"/>
      <c r="TPL44" s="45"/>
      <c r="TPM44" s="45"/>
      <c r="TPN44" s="45"/>
      <c r="TPO44" s="45"/>
      <c r="TPP44" s="45"/>
      <c r="TPQ44" s="45"/>
      <c r="TPR44" s="45"/>
      <c r="TPS44" s="45"/>
      <c r="TPT44" s="45"/>
      <c r="TPU44" s="45"/>
      <c r="TPV44" s="45"/>
      <c r="TPW44" s="45"/>
      <c r="TPX44" s="45"/>
      <c r="TPY44" s="45"/>
      <c r="TPZ44" s="45"/>
      <c r="TQA44" s="45"/>
      <c r="TQB44" s="45"/>
      <c r="TQC44" s="45"/>
      <c r="TQD44" s="45"/>
      <c r="TQE44" s="45"/>
      <c r="TQF44" s="45"/>
      <c r="TQG44" s="45"/>
      <c r="TQH44" s="45"/>
      <c r="TQI44" s="45"/>
      <c r="TQJ44" s="45"/>
      <c r="TQK44" s="45"/>
      <c r="TQL44" s="45"/>
      <c r="TQM44" s="45"/>
      <c r="TQN44" s="45"/>
      <c r="TQO44" s="45"/>
      <c r="TQP44" s="45"/>
      <c r="TQQ44" s="45"/>
      <c r="TQR44" s="45"/>
      <c r="TQS44" s="45"/>
      <c r="TQT44" s="45"/>
      <c r="TQU44" s="45"/>
      <c r="TQV44" s="45"/>
      <c r="TQW44" s="45"/>
      <c r="TQX44" s="45"/>
      <c r="TQY44" s="45"/>
      <c r="TQZ44" s="45"/>
      <c r="TRA44" s="45"/>
      <c r="TRB44" s="45"/>
      <c r="TRC44" s="45"/>
      <c r="TRD44" s="45"/>
      <c r="TRE44" s="45"/>
      <c r="TRF44" s="45"/>
      <c r="TRG44" s="45"/>
      <c r="TRH44" s="45"/>
      <c r="TRI44" s="45"/>
      <c r="TRJ44" s="45"/>
      <c r="TRK44" s="45"/>
      <c r="TRL44" s="45"/>
      <c r="TRM44" s="45"/>
      <c r="TRN44" s="45"/>
      <c r="TRO44" s="45"/>
      <c r="TRP44" s="45"/>
      <c r="TRQ44" s="45"/>
      <c r="TRR44" s="45"/>
      <c r="TRS44" s="45"/>
      <c r="TRT44" s="45"/>
      <c r="TRU44" s="45"/>
      <c r="TRV44" s="45"/>
      <c r="TRW44" s="45"/>
      <c r="TRX44" s="45"/>
      <c r="TRY44" s="45"/>
      <c r="TRZ44" s="45"/>
      <c r="TSA44" s="45"/>
      <c r="TSB44" s="45"/>
      <c r="TSC44" s="45"/>
      <c r="TSD44" s="45"/>
      <c r="TSE44" s="45"/>
      <c r="TSF44" s="45"/>
      <c r="TSG44" s="45"/>
      <c r="TSH44" s="45"/>
      <c r="TSI44" s="45"/>
      <c r="TSJ44" s="45"/>
      <c r="TSK44" s="45"/>
      <c r="TSL44" s="45"/>
      <c r="TSM44" s="45"/>
      <c r="TSN44" s="45"/>
      <c r="TSO44" s="45"/>
      <c r="TSP44" s="45"/>
      <c r="TSQ44" s="45"/>
      <c r="TSR44" s="45"/>
      <c r="TSS44" s="45"/>
      <c r="TST44" s="45"/>
      <c r="TSU44" s="45"/>
      <c r="TSV44" s="45"/>
      <c r="TSW44" s="45"/>
      <c r="TSX44" s="45"/>
      <c r="TSY44" s="45"/>
      <c r="TSZ44" s="45"/>
      <c r="TTA44" s="45"/>
      <c r="TTB44" s="45"/>
      <c r="TTC44" s="45"/>
      <c r="TTD44" s="45"/>
      <c r="TTE44" s="45"/>
      <c r="TTF44" s="45"/>
      <c r="TTG44" s="45"/>
      <c r="TTH44" s="45"/>
      <c r="TTI44" s="45"/>
      <c r="TTJ44" s="45"/>
      <c r="TTK44" s="45"/>
      <c r="TTL44" s="45"/>
      <c r="TTM44" s="45"/>
      <c r="TTN44" s="45"/>
      <c r="TTO44" s="45"/>
      <c r="TTP44" s="45"/>
      <c r="TTQ44" s="45"/>
      <c r="TTR44" s="45"/>
      <c r="TTS44" s="45"/>
      <c r="TTT44" s="45"/>
      <c r="TTU44" s="45"/>
      <c r="TTV44" s="45"/>
      <c r="TTW44" s="45"/>
      <c r="TTX44" s="45"/>
      <c r="TTY44" s="45"/>
      <c r="TTZ44" s="45"/>
      <c r="TUA44" s="45"/>
      <c r="TUB44" s="45"/>
      <c r="TUC44" s="45"/>
      <c r="TUD44" s="45"/>
      <c r="TUE44" s="45"/>
      <c r="TUF44" s="45"/>
      <c r="TUG44" s="45"/>
      <c r="TUH44" s="45"/>
      <c r="TUI44" s="45"/>
      <c r="TUJ44" s="45"/>
      <c r="TUK44" s="45"/>
      <c r="TUL44" s="45"/>
      <c r="TUM44" s="45"/>
      <c r="TUN44" s="45"/>
      <c r="TUO44" s="45"/>
      <c r="TUP44" s="45"/>
      <c r="TUQ44" s="45"/>
      <c r="TUR44" s="45"/>
      <c r="TUS44" s="45"/>
      <c r="TUT44" s="45"/>
      <c r="TUU44" s="45"/>
      <c r="TUV44" s="45"/>
      <c r="TUW44" s="45"/>
      <c r="TUX44" s="45"/>
      <c r="TUY44" s="45"/>
      <c r="TUZ44" s="45"/>
      <c r="TVA44" s="45"/>
      <c r="TVB44" s="45"/>
      <c r="TVC44" s="45"/>
      <c r="TVD44" s="45"/>
      <c r="TVE44" s="45"/>
      <c r="TVF44" s="45"/>
      <c r="TVG44" s="45"/>
      <c r="TVH44" s="45"/>
      <c r="TVI44" s="45"/>
      <c r="TVJ44" s="45"/>
      <c r="TVK44" s="45"/>
      <c r="TVL44" s="45"/>
      <c r="TVM44" s="45"/>
      <c r="TVN44" s="45"/>
      <c r="TVO44" s="45"/>
      <c r="TVP44" s="45"/>
      <c r="TVQ44" s="45"/>
      <c r="TVR44" s="45"/>
      <c r="TVS44" s="45"/>
      <c r="TVT44" s="45"/>
      <c r="TVU44" s="45"/>
      <c r="TVV44" s="45"/>
      <c r="TVW44" s="45"/>
      <c r="TVX44" s="45"/>
      <c r="TVY44" s="45"/>
      <c r="TVZ44" s="45"/>
      <c r="TWA44" s="45"/>
      <c r="TWB44" s="45"/>
      <c r="TWC44" s="45"/>
      <c r="TWD44" s="45"/>
      <c r="TWE44" s="45"/>
      <c r="TWF44" s="45"/>
      <c r="TWG44" s="45"/>
      <c r="TWH44" s="45"/>
      <c r="TWI44" s="45"/>
      <c r="TWJ44" s="45"/>
      <c r="TWK44" s="45"/>
      <c r="TWL44" s="45"/>
      <c r="TWM44" s="45"/>
      <c r="TWN44" s="45"/>
      <c r="TWO44" s="45"/>
      <c r="TWP44" s="45"/>
      <c r="TWQ44" s="45"/>
      <c r="TWR44" s="45"/>
      <c r="TWS44" s="45"/>
      <c r="TWT44" s="45"/>
      <c r="TWU44" s="45"/>
      <c r="TWV44" s="45"/>
      <c r="TWW44" s="45"/>
      <c r="TWX44" s="45"/>
      <c r="TWY44" s="45"/>
      <c r="TWZ44" s="45"/>
      <c r="TXA44" s="45"/>
      <c r="TXB44" s="45"/>
      <c r="TXC44" s="45"/>
      <c r="TXD44" s="45"/>
      <c r="TXE44" s="45"/>
      <c r="TXF44" s="45"/>
      <c r="TXG44" s="45"/>
      <c r="TXH44" s="45"/>
      <c r="TXI44" s="45"/>
      <c r="TXJ44" s="45"/>
      <c r="TXK44" s="45"/>
      <c r="TXL44" s="45"/>
      <c r="TXM44" s="45"/>
      <c r="TXN44" s="45"/>
      <c r="TXO44" s="45"/>
      <c r="TXP44" s="45"/>
      <c r="TXQ44" s="45"/>
      <c r="TXR44" s="45"/>
      <c r="TXS44" s="45"/>
      <c r="TXT44" s="45"/>
      <c r="TXU44" s="45"/>
      <c r="TXV44" s="45"/>
      <c r="TXW44" s="45"/>
      <c r="TXX44" s="45"/>
      <c r="TXY44" s="45"/>
      <c r="TXZ44" s="45"/>
      <c r="TYA44" s="45"/>
      <c r="TYB44" s="45"/>
      <c r="TYC44" s="45"/>
      <c r="TYD44" s="45"/>
      <c r="TYE44" s="45"/>
      <c r="TYF44" s="45"/>
      <c r="TYG44" s="45"/>
      <c r="TYH44" s="45"/>
      <c r="TYI44" s="45"/>
      <c r="TYJ44" s="45"/>
      <c r="TYK44" s="45"/>
      <c r="TYL44" s="45"/>
      <c r="TYM44" s="45"/>
      <c r="TYN44" s="45"/>
      <c r="TYO44" s="45"/>
      <c r="TYP44" s="45"/>
      <c r="TYQ44" s="45"/>
      <c r="TYR44" s="45"/>
      <c r="TYS44" s="45"/>
      <c r="TYT44" s="45"/>
      <c r="TYU44" s="45"/>
      <c r="TYV44" s="45"/>
      <c r="TYW44" s="45"/>
      <c r="TYX44" s="45"/>
      <c r="TYY44" s="45"/>
      <c r="TYZ44" s="45"/>
      <c r="TZA44" s="45"/>
      <c r="TZB44" s="45"/>
      <c r="TZC44" s="45"/>
      <c r="TZD44" s="45"/>
      <c r="TZE44" s="45"/>
      <c r="TZF44" s="45"/>
      <c r="TZG44" s="45"/>
      <c r="TZH44" s="45"/>
      <c r="TZI44" s="45"/>
      <c r="TZJ44" s="45"/>
      <c r="TZK44" s="45"/>
      <c r="TZL44" s="45"/>
      <c r="TZM44" s="45"/>
      <c r="TZN44" s="45"/>
      <c r="TZO44" s="45"/>
      <c r="TZP44" s="45"/>
      <c r="TZQ44" s="45"/>
      <c r="TZR44" s="45"/>
      <c r="TZS44" s="45"/>
      <c r="TZT44" s="45"/>
      <c r="TZU44" s="45"/>
      <c r="TZV44" s="45"/>
      <c r="TZW44" s="45"/>
      <c r="TZX44" s="45"/>
      <c r="TZY44" s="45"/>
      <c r="TZZ44" s="45"/>
      <c r="UAA44" s="45"/>
      <c r="UAB44" s="45"/>
      <c r="UAC44" s="45"/>
      <c r="UAD44" s="45"/>
      <c r="UAE44" s="45"/>
      <c r="UAF44" s="45"/>
      <c r="UAG44" s="45"/>
      <c r="UAH44" s="45"/>
      <c r="UAI44" s="45"/>
      <c r="UAJ44" s="45"/>
      <c r="UAK44" s="45"/>
      <c r="UAL44" s="45"/>
      <c r="UAM44" s="45"/>
      <c r="UAN44" s="45"/>
      <c r="UAO44" s="45"/>
      <c r="UAP44" s="45"/>
      <c r="UAQ44" s="45"/>
      <c r="UAR44" s="45"/>
      <c r="UAS44" s="45"/>
      <c r="UAT44" s="45"/>
      <c r="UAU44" s="45"/>
      <c r="UAV44" s="45"/>
      <c r="UAW44" s="45"/>
      <c r="UAX44" s="45"/>
      <c r="UAY44" s="45"/>
      <c r="UAZ44" s="45"/>
      <c r="UBA44" s="45"/>
      <c r="UBB44" s="45"/>
      <c r="UBC44" s="45"/>
      <c r="UBD44" s="45"/>
      <c r="UBE44" s="45"/>
      <c r="UBF44" s="45"/>
      <c r="UBG44" s="45"/>
      <c r="UBH44" s="45"/>
      <c r="UBI44" s="45"/>
      <c r="UBJ44" s="45"/>
      <c r="UBK44" s="45"/>
      <c r="UBL44" s="45"/>
      <c r="UBM44" s="45"/>
      <c r="UBN44" s="45"/>
      <c r="UBO44" s="45"/>
      <c r="UBP44" s="45"/>
      <c r="UBQ44" s="45"/>
      <c r="UBR44" s="45"/>
      <c r="UBS44" s="45"/>
      <c r="UBT44" s="45"/>
      <c r="UBU44" s="45"/>
      <c r="UBV44" s="45"/>
      <c r="UBW44" s="45"/>
      <c r="UBX44" s="45"/>
      <c r="UBY44" s="45"/>
      <c r="UBZ44" s="45"/>
      <c r="UCA44" s="45"/>
      <c r="UCB44" s="45"/>
      <c r="UCC44" s="45"/>
      <c r="UCD44" s="45"/>
      <c r="UCE44" s="45"/>
      <c r="UCF44" s="45"/>
      <c r="UCG44" s="45"/>
      <c r="UCH44" s="45"/>
      <c r="UCI44" s="45"/>
      <c r="UCJ44" s="45"/>
      <c r="UCK44" s="45"/>
      <c r="UCL44" s="45"/>
      <c r="UCM44" s="45"/>
      <c r="UCN44" s="45"/>
      <c r="UCO44" s="45"/>
      <c r="UCP44" s="45"/>
      <c r="UCQ44" s="45"/>
      <c r="UCR44" s="45"/>
      <c r="UCS44" s="45"/>
      <c r="UCT44" s="45"/>
      <c r="UCU44" s="45"/>
      <c r="UCV44" s="45"/>
      <c r="UCW44" s="45"/>
      <c r="UCX44" s="45"/>
      <c r="UCY44" s="45"/>
      <c r="UCZ44" s="45"/>
      <c r="UDA44" s="45"/>
      <c r="UDB44" s="45"/>
      <c r="UDC44" s="45"/>
      <c r="UDD44" s="45"/>
      <c r="UDE44" s="45"/>
      <c r="UDF44" s="45"/>
      <c r="UDG44" s="45"/>
      <c r="UDH44" s="45"/>
      <c r="UDI44" s="45"/>
      <c r="UDJ44" s="45"/>
      <c r="UDK44" s="45"/>
      <c r="UDL44" s="45"/>
      <c r="UDM44" s="45"/>
      <c r="UDN44" s="45"/>
      <c r="UDO44" s="45"/>
      <c r="UDP44" s="45"/>
      <c r="UDQ44" s="45"/>
      <c r="UDR44" s="45"/>
      <c r="UDS44" s="45"/>
      <c r="UDT44" s="45"/>
      <c r="UDU44" s="45"/>
      <c r="UDV44" s="45"/>
      <c r="UDW44" s="45"/>
      <c r="UDX44" s="45"/>
      <c r="UDY44" s="45"/>
      <c r="UDZ44" s="45"/>
      <c r="UEA44" s="45"/>
      <c r="UEB44" s="45"/>
      <c r="UEC44" s="45"/>
      <c r="UED44" s="45"/>
      <c r="UEE44" s="45"/>
      <c r="UEF44" s="45"/>
      <c r="UEG44" s="45"/>
      <c r="UEH44" s="45"/>
      <c r="UEI44" s="45"/>
      <c r="UEJ44" s="45"/>
      <c r="UEK44" s="45"/>
      <c r="UEL44" s="45"/>
      <c r="UEM44" s="45"/>
      <c r="UEN44" s="45"/>
      <c r="UEO44" s="45"/>
      <c r="UEP44" s="45"/>
      <c r="UEQ44" s="45"/>
      <c r="UER44" s="45"/>
      <c r="UES44" s="45"/>
      <c r="UET44" s="45"/>
      <c r="UEU44" s="45"/>
      <c r="UEV44" s="45"/>
      <c r="UEW44" s="45"/>
      <c r="UEX44" s="45"/>
      <c r="UEY44" s="45"/>
      <c r="UEZ44" s="45"/>
      <c r="UFA44" s="45"/>
      <c r="UFB44" s="45"/>
      <c r="UFC44" s="45"/>
      <c r="UFD44" s="45"/>
      <c r="UFE44" s="45"/>
      <c r="UFF44" s="45"/>
      <c r="UFG44" s="45"/>
      <c r="UFH44" s="45"/>
      <c r="UFI44" s="45"/>
      <c r="UFJ44" s="45"/>
      <c r="UFK44" s="45"/>
      <c r="UFL44" s="45"/>
      <c r="UFM44" s="45"/>
      <c r="UFN44" s="45"/>
      <c r="UFO44" s="45"/>
      <c r="UFP44" s="45"/>
      <c r="UFQ44" s="45"/>
      <c r="UFR44" s="45"/>
      <c r="UFS44" s="45"/>
      <c r="UFT44" s="45"/>
      <c r="UFU44" s="45"/>
      <c r="UFV44" s="45"/>
      <c r="UFW44" s="45"/>
      <c r="UFX44" s="45"/>
      <c r="UFY44" s="45"/>
      <c r="UFZ44" s="45"/>
      <c r="UGA44" s="45"/>
      <c r="UGB44" s="45"/>
      <c r="UGC44" s="45"/>
      <c r="UGD44" s="45"/>
      <c r="UGE44" s="45"/>
      <c r="UGF44" s="45"/>
      <c r="UGG44" s="45"/>
      <c r="UGH44" s="45"/>
      <c r="UGI44" s="45"/>
      <c r="UGJ44" s="45"/>
      <c r="UGK44" s="45"/>
      <c r="UGL44" s="45"/>
      <c r="UGM44" s="45"/>
      <c r="UGN44" s="45"/>
      <c r="UGO44" s="45"/>
      <c r="UGP44" s="45"/>
      <c r="UGQ44" s="45"/>
      <c r="UGR44" s="45"/>
      <c r="UGS44" s="45"/>
      <c r="UGT44" s="45"/>
      <c r="UGU44" s="45"/>
      <c r="UGV44" s="45"/>
      <c r="UGW44" s="45"/>
      <c r="UGX44" s="45"/>
      <c r="UGY44" s="45"/>
      <c r="UGZ44" s="45"/>
      <c r="UHA44" s="45"/>
      <c r="UHB44" s="45"/>
      <c r="UHC44" s="45"/>
      <c r="UHD44" s="45"/>
      <c r="UHE44" s="45"/>
      <c r="UHF44" s="45"/>
      <c r="UHG44" s="45"/>
      <c r="UHH44" s="45"/>
      <c r="UHI44" s="45"/>
      <c r="UHJ44" s="45"/>
      <c r="UHK44" s="45"/>
      <c r="UHL44" s="45"/>
      <c r="UHM44" s="45"/>
      <c r="UHN44" s="45"/>
      <c r="UHO44" s="45"/>
      <c r="UHP44" s="45"/>
      <c r="UHQ44" s="45"/>
      <c r="UHR44" s="45"/>
      <c r="UHS44" s="45"/>
      <c r="UHT44" s="45"/>
      <c r="UHU44" s="45"/>
      <c r="UHV44" s="45"/>
      <c r="UHW44" s="45"/>
      <c r="UHX44" s="45"/>
      <c r="UHY44" s="45"/>
      <c r="UHZ44" s="45"/>
      <c r="UIA44" s="45"/>
      <c r="UIB44" s="45"/>
      <c r="UIC44" s="45"/>
      <c r="UID44" s="45"/>
      <c r="UIE44" s="45"/>
      <c r="UIF44" s="45"/>
      <c r="UIG44" s="45"/>
      <c r="UIH44" s="45"/>
      <c r="UII44" s="45"/>
      <c r="UIJ44" s="45"/>
      <c r="UIK44" s="45"/>
      <c r="UIL44" s="45"/>
      <c r="UIM44" s="45"/>
      <c r="UIN44" s="45"/>
      <c r="UIO44" s="45"/>
      <c r="UIP44" s="45"/>
      <c r="UIQ44" s="45"/>
      <c r="UIR44" s="45"/>
      <c r="UIS44" s="45"/>
      <c r="UIT44" s="45"/>
      <c r="UIU44" s="45"/>
      <c r="UIV44" s="45"/>
      <c r="UIW44" s="45"/>
      <c r="UIX44" s="45"/>
      <c r="UIY44" s="45"/>
      <c r="UIZ44" s="45"/>
      <c r="UJA44" s="45"/>
      <c r="UJB44" s="45"/>
      <c r="UJC44" s="45"/>
      <c r="UJD44" s="45"/>
      <c r="UJE44" s="45"/>
      <c r="UJF44" s="45"/>
      <c r="UJG44" s="45"/>
      <c r="UJH44" s="45"/>
      <c r="UJI44" s="45"/>
      <c r="UJJ44" s="45"/>
      <c r="UJK44" s="45"/>
      <c r="UJL44" s="45"/>
      <c r="UJM44" s="45"/>
      <c r="UJN44" s="45"/>
      <c r="UJO44" s="45"/>
      <c r="UJP44" s="45"/>
      <c r="UJQ44" s="45"/>
      <c r="UJR44" s="45"/>
      <c r="UJS44" s="45"/>
      <c r="UJT44" s="45"/>
      <c r="UJU44" s="45"/>
      <c r="UJV44" s="45"/>
      <c r="UJW44" s="45"/>
      <c r="UJX44" s="45"/>
      <c r="UJY44" s="45"/>
      <c r="UJZ44" s="45"/>
      <c r="UKA44" s="45"/>
      <c r="UKB44" s="45"/>
      <c r="UKC44" s="45"/>
      <c r="UKD44" s="45"/>
      <c r="UKE44" s="45"/>
      <c r="UKF44" s="45"/>
      <c r="UKG44" s="45"/>
      <c r="UKH44" s="45"/>
      <c r="UKI44" s="45"/>
      <c r="UKJ44" s="45"/>
      <c r="UKK44" s="45"/>
      <c r="UKL44" s="45"/>
      <c r="UKM44" s="45"/>
      <c r="UKN44" s="45"/>
      <c r="UKO44" s="45"/>
      <c r="UKP44" s="45"/>
      <c r="UKQ44" s="45"/>
      <c r="UKR44" s="45"/>
      <c r="UKS44" s="45"/>
      <c r="UKT44" s="45"/>
      <c r="UKU44" s="45"/>
      <c r="UKV44" s="45"/>
      <c r="UKW44" s="45"/>
      <c r="UKX44" s="45"/>
      <c r="UKY44" s="45"/>
      <c r="UKZ44" s="45"/>
      <c r="ULA44" s="45"/>
      <c r="ULB44" s="45"/>
      <c r="ULC44" s="45"/>
      <c r="ULD44" s="45"/>
      <c r="ULE44" s="45"/>
      <c r="ULF44" s="45"/>
      <c r="ULG44" s="45"/>
      <c r="ULH44" s="45"/>
      <c r="ULI44" s="45"/>
      <c r="ULJ44" s="45"/>
      <c r="ULK44" s="45"/>
      <c r="ULL44" s="45"/>
      <c r="ULM44" s="45"/>
      <c r="ULN44" s="45"/>
      <c r="ULO44" s="45"/>
      <c r="ULP44" s="45"/>
      <c r="ULQ44" s="45"/>
      <c r="ULR44" s="45"/>
      <c r="ULS44" s="45"/>
      <c r="ULT44" s="45"/>
      <c r="ULU44" s="45"/>
      <c r="ULV44" s="45"/>
      <c r="ULW44" s="45"/>
      <c r="ULX44" s="45"/>
      <c r="ULY44" s="45"/>
      <c r="ULZ44" s="45"/>
      <c r="UMA44" s="45"/>
      <c r="UMB44" s="45"/>
      <c r="UMC44" s="45"/>
      <c r="UMD44" s="45"/>
      <c r="UME44" s="45"/>
      <c r="UMF44" s="45"/>
      <c r="UMG44" s="45"/>
      <c r="UMH44" s="45"/>
      <c r="UMI44" s="45"/>
      <c r="UMJ44" s="45"/>
      <c r="UMK44" s="45"/>
      <c r="UML44" s="45"/>
      <c r="UMM44" s="45"/>
      <c r="UMN44" s="45"/>
      <c r="UMO44" s="45"/>
      <c r="UMP44" s="45"/>
      <c r="UMQ44" s="45"/>
      <c r="UMR44" s="45"/>
      <c r="UMS44" s="45"/>
      <c r="UMT44" s="45"/>
      <c r="UMU44" s="45"/>
      <c r="UMV44" s="45"/>
      <c r="UMW44" s="45"/>
      <c r="UMX44" s="45"/>
      <c r="UMY44" s="45"/>
      <c r="UMZ44" s="45"/>
      <c r="UNA44" s="45"/>
      <c r="UNB44" s="45"/>
      <c r="UNC44" s="45"/>
      <c r="UND44" s="45"/>
      <c r="UNE44" s="45"/>
      <c r="UNF44" s="45"/>
      <c r="UNG44" s="45"/>
      <c r="UNH44" s="45"/>
      <c r="UNI44" s="45"/>
      <c r="UNJ44" s="45"/>
      <c r="UNK44" s="45"/>
      <c r="UNL44" s="45"/>
      <c r="UNM44" s="45"/>
      <c r="UNN44" s="45"/>
      <c r="UNO44" s="45"/>
      <c r="UNP44" s="45"/>
      <c r="UNQ44" s="45"/>
      <c r="UNR44" s="45"/>
      <c r="UNS44" s="45"/>
      <c r="UNT44" s="45"/>
      <c r="UNU44" s="45"/>
      <c r="UNV44" s="45"/>
      <c r="UNW44" s="45"/>
      <c r="UNX44" s="45"/>
      <c r="UNY44" s="45"/>
      <c r="UNZ44" s="45"/>
      <c r="UOA44" s="45"/>
      <c r="UOB44" s="45"/>
      <c r="UOC44" s="45"/>
      <c r="UOD44" s="45"/>
      <c r="UOE44" s="45"/>
      <c r="UOF44" s="45"/>
      <c r="UOG44" s="45"/>
      <c r="UOH44" s="45"/>
      <c r="UOI44" s="45"/>
      <c r="UOJ44" s="45"/>
      <c r="UOK44" s="45"/>
      <c r="UOL44" s="45"/>
      <c r="UOM44" s="45"/>
      <c r="UON44" s="45"/>
      <c r="UOO44" s="45"/>
      <c r="UOP44" s="45"/>
      <c r="UOQ44" s="45"/>
      <c r="UOR44" s="45"/>
      <c r="UOS44" s="45"/>
      <c r="UOT44" s="45"/>
      <c r="UOU44" s="45"/>
      <c r="UOV44" s="45"/>
      <c r="UOW44" s="45"/>
      <c r="UOX44" s="45"/>
      <c r="UOY44" s="45"/>
      <c r="UOZ44" s="45"/>
      <c r="UPA44" s="45"/>
      <c r="UPB44" s="45"/>
      <c r="UPC44" s="45"/>
      <c r="UPD44" s="45"/>
      <c r="UPE44" s="45"/>
      <c r="UPF44" s="45"/>
      <c r="UPG44" s="45"/>
      <c r="UPH44" s="45"/>
      <c r="UPI44" s="45"/>
      <c r="UPJ44" s="45"/>
      <c r="UPK44" s="45"/>
      <c r="UPL44" s="45"/>
      <c r="UPM44" s="45"/>
      <c r="UPN44" s="45"/>
      <c r="UPO44" s="45"/>
      <c r="UPP44" s="45"/>
      <c r="UPQ44" s="45"/>
      <c r="UPR44" s="45"/>
      <c r="UPS44" s="45"/>
      <c r="UPT44" s="45"/>
      <c r="UPU44" s="45"/>
      <c r="UPV44" s="45"/>
      <c r="UPW44" s="45"/>
      <c r="UPX44" s="45"/>
      <c r="UPY44" s="45"/>
      <c r="UPZ44" s="45"/>
      <c r="UQA44" s="45"/>
      <c r="UQB44" s="45"/>
      <c r="UQC44" s="45"/>
      <c r="UQD44" s="45"/>
      <c r="UQE44" s="45"/>
      <c r="UQF44" s="45"/>
      <c r="UQG44" s="45"/>
      <c r="UQH44" s="45"/>
      <c r="UQI44" s="45"/>
      <c r="UQJ44" s="45"/>
      <c r="UQK44" s="45"/>
      <c r="UQL44" s="45"/>
      <c r="UQM44" s="45"/>
      <c r="UQN44" s="45"/>
      <c r="UQO44" s="45"/>
      <c r="UQP44" s="45"/>
      <c r="UQQ44" s="45"/>
      <c r="UQR44" s="45"/>
      <c r="UQS44" s="45"/>
      <c r="UQT44" s="45"/>
      <c r="UQU44" s="45"/>
      <c r="UQV44" s="45"/>
      <c r="UQW44" s="45"/>
      <c r="UQX44" s="45"/>
      <c r="UQY44" s="45"/>
      <c r="UQZ44" s="45"/>
      <c r="URA44" s="45"/>
      <c r="URB44" s="45"/>
      <c r="URC44" s="45"/>
      <c r="URD44" s="45"/>
      <c r="URE44" s="45"/>
      <c r="URF44" s="45"/>
      <c r="URG44" s="45"/>
      <c r="URH44" s="45"/>
      <c r="URI44" s="45"/>
      <c r="URJ44" s="45"/>
      <c r="URK44" s="45"/>
      <c r="URL44" s="45"/>
      <c r="URM44" s="45"/>
      <c r="URN44" s="45"/>
      <c r="URO44" s="45"/>
      <c r="URP44" s="45"/>
      <c r="URQ44" s="45"/>
      <c r="URR44" s="45"/>
      <c r="URS44" s="45"/>
      <c r="URT44" s="45"/>
      <c r="URU44" s="45"/>
      <c r="URV44" s="45"/>
      <c r="URW44" s="45"/>
      <c r="URX44" s="45"/>
      <c r="URY44" s="45"/>
      <c r="URZ44" s="45"/>
      <c r="USA44" s="45"/>
      <c r="USB44" s="45"/>
      <c r="USC44" s="45"/>
      <c r="USD44" s="45"/>
      <c r="USE44" s="45"/>
      <c r="USF44" s="45"/>
      <c r="USG44" s="45"/>
      <c r="USH44" s="45"/>
      <c r="USI44" s="45"/>
      <c r="USJ44" s="45"/>
      <c r="USK44" s="45"/>
      <c r="USL44" s="45"/>
      <c r="USM44" s="45"/>
      <c r="USN44" s="45"/>
      <c r="USO44" s="45"/>
      <c r="USP44" s="45"/>
      <c r="USQ44" s="45"/>
      <c r="USR44" s="45"/>
      <c r="USS44" s="45"/>
      <c r="UST44" s="45"/>
      <c r="USU44" s="45"/>
      <c r="USV44" s="45"/>
      <c r="USW44" s="45"/>
      <c r="USX44" s="45"/>
      <c r="USY44" s="45"/>
      <c r="USZ44" s="45"/>
      <c r="UTA44" s="45"/>
      <c r="UTB44" s="45"/>
      <c r="UTC44" s="45"/>
      <c r="UTD44" s="45"/>
      <c r="UTE44" s="45"/>
      <c r="UTF44" s="45"/>
      <c r="UTG44" s="45"/>
      <c r="UTH44" s="45"/>
      <c r="UTI44" s="45"/>
      <c r="UTJ44" s="45"/>
      <c r="UTK44" s="45"/>
      <c r="UTL44" s="45"/>
      <c r="UTM44" s="45"/>
      <c r="UTN44" s="45"/>
      <c r="UTO44" s="45"/>
      <c r="UTP44" s="45"/>
      <c r="UTQ44" s="45"/>
      <c r="UTR44" s="45"/>
      <c r="UTS44" s="45"/>
      <c r="UTT44" s="45"/>
      <c r="UTU44" s="45"/>
      <c r="UTV44" s="45"/>
      <c r="UTW44" s="45"/>
      <c r="UTX44" s="45"/>
      <c r="UTY44" s="45"/>
      <c r="UTZ44" s="45"/>
      <c r="UUA44" s="45"/>
      <c r="UUB44" s="45"/>
      <c r="UUC44" s="45"/>
      <c r="UUD44" s="45"/>
      <c r="UUE44" s="45"/>
      <c r="UUF44" s="45"/>
      <c r="UUG44" s="45"/>
      <c r="UUH44" s="45"/>
      <c r="UUI44" s="45"/>
      <c r="UUJ44" s="45"/>
      <c r="UUK44" s="45"/>
      <c r="UUL44" s="45"/>
      <c r="UUM44" s="45"/>
      <c r="UUN44" s="45"/>
      <c r="UUO44" s="45"/>
      <c r="UUP44" s="45"/>
      <c r="UUQ44" s="45"/>
      <c r="UUR44" s="45"/>
      <c r="UUS44" s="45"/>
      <c r="UUT44" s="45"/>
      <c r="UUU44" s="45"/>
      <c r="UUV44" s="45"/>
      <c r="UUW44" s="45"/>
      <c r="UUX44" s="45"/>
      <c r="UUY44" s="45"/>
      <c r="UUZ44" s="45"/>
      <c r="UVA44" s="45"/>
      <c r="UVB44" s="45"/>
      <c r="UVC44" s="45"/>
      <c r="UVD44" s="45"/>
      <c r="UVE44" s="45"/>
      <c r="UVF44" s="45"/>
      <c r="UVG44" s="45"/>
      <c r="UVH44" s="45"/>
      <c r="UVI44" s="45"/>
      <c r="UVJ44" s="45"/>
      <c r="UVK44" s="45"/>
      <c r="UVL44" s="45"/>
      <c r="UVM44" s="45"/>
      <c r="UVN44" s="45"/>
      <c r="UVO44" s="45"/>
      <c r="UVP44" s="45"/>
      <c r="UVQ44" s="45"/>
      <c r="UVR44" s="45"/>
      <c r="UVS44" s="45"/>
      <c r="UVT44" s="45"/>
      <c r="UVU44" s="45"/>
      <c r="UVV44" s="45"/>
      <c r="UVW44" s="45"/>
      <c r="UVX44" s="45"/>
      <c r="UVY44" s="45"/>
      <c r="UVZ44" s="45"/>
      <c r="UWA44" s="45"/>
      <c r="UWB44" s="45"/>
      <c r="UWC44" s="45"/>
      <c r="UWD44" s="45"/>
      <c r="UWE44" s="45"/>
      <c r="UWF44" s="45"/>
      <c r="UWG44" s="45"/>
      <c r="UWH44" s="45"/>
      <c r="UWI44" s="45"/>
      <c r="UWJ44" s="45"/>
      <c r="UWK44" s="45"/>
      <c r="UWL44" s="45"/>
      <c r="UWM44" s="45"/>
      <c r="UWN44" s="45"/>
      <c r="UWO44" s="45"/>
      <c r="UWP44" s="45"/>
      <c r="UWQ44" s="45"/>
      <c r="UWR44" s="45"/>
      <c r="UWS44" s="45"/>
      <c r="UWT44" s="45"/>
      <c r="UWU44" s="45"/>
      <c r="UWV44" s="45"/>
      <c r="UWW44" s="45"/>
      <c r="UWX44" s="45"/>
      <c r="UWY44" s="45"/>
      <c r="UWZ44" s="45"/>
      <c r="UXA44" s="45"/>
      <c r="UXB44" s="45"/>
      <c r="UXC44" s="45"/>
      <c r="UXD44" s="45"/>
      <c r="UXE44" s="45"/>
      <c r="UXF44" s="45"/>
      <c r="UXG44" s="45"/>
      <c r="UXH44" s="45"/>
      <c r="UXI44" s="45"/>
      <c r="UXJ44" s="45"/>
      <c r="UXK44" s="45"/>
      <c r="UXL44" s="45"/>
      <c r="UXM44" s="45"/>
      <c r="UXN44" s="45"/>
      <c r="UXO44" s="45"/>
      <c r="UXP44" s="45"/>
      <c r="UXQ44" s="45"/>
      <c r="UXR44" s="45"/>
      <c r="UXS44" s="45"/>
      <c r="UXT44" s="45"/>
      <c r="UXU44" s="45"/>
      <c r="UXV44" s="45"/>
      <c r="UXW44" s="45"/>
      <c r="UXX44" s="45"/>
      <c r="UXY44" s="45"/>
      <c r="UXZ44" s="45"/>
      <c r="UYA44" s="45"/>
      <c r="UYB44" s="45"/>
      <c r="UYC44" s="45"/>
      <c r="UYD44" s="45"/>
      <c r="UYE44" s="45"/>
      <c r="UYF44" s="45"/>
      <c r="UYG44" s="45"/>
      <c r="UYH44" s="45"/>
      <c r="UYI44" s="45"/>
      <c r="UYJ44" s="45"/>
      <c r="UYK44" s="45"/>
      <c r="UYL44" s="45"/>
      <c r="UYM44" s="45"/>
      <c r="UYN44" s="45"/>
      <c r="UYO44" s="45"/>
      <c r="UYP44" s="45"/>
      <c r="UYQ44" s="45"/>
      <c r="UYR44" s="45"/>
      <c r="UYS44" s="45"/>
      <c r="UYT44" s="45"/>
      <c r="UYU44" s="45"/>
      <c r="UYV44" s="45"/>
      <c r="UYW44" s="45"/>
      <c r="UYX44" s="45"/>
      <c r="UYY44" s="45"/>
      <c r="UYZ44" s="45"/>
      <c r="UZA44" s="45"/>
      <c r="UZB44" s="45"/>
      <c r="UZC44" s="45"/>
      <c r="UZD44" s="45"/>
      <c r="UZE44" s="45"/>
      <c r="UZF44" s="45"/>
      <c r="UZG44" s="45"/>
      <c r="UZH44" s="45"/>
      <c r="UZI44" s="45"/>
      <c r="UZJ44" s="45"/>
      <c r="UZK44" s="45"/>
      <c r="UZL44" s="45"/>
      <c r="UZM44" s="45"/>
      <c r="UZN44" s="45"/>
      <c r="UZO44" s="45"/>
      <c r="UZP44" s="45"/>
      <c r="UZQ44" s="45"/>
      <c r="UZR44" s="45"/>
      <c r="UZS44" s="45"/>
      <c r="UZT44" s="45"/>
      <c r="UZU44" s="45"/>
      <c r="UZV44" s="45"/>
      <c r="UZW44" s="45"/>
      <c r="UZX44" s="45"/>
      <c r="UZY44" s="45"/>
      <c r="UZZ44" s="45"/>
      <c r="VAA44" s="45"/>
      <c r="VAB44" s="45"/>
      <c r="VAC44" s="45"/>
      <c r="VAD44" s="45"/>
      <c r="VAE44" s="45"/>
      <c r="VAF44" s="45"/>
      <c r="VAG44" s="45"/>
      <c r="VAH44" s="45"/>
      <c r="VAI44" s="45"/>
      <c r="VAJ44" s="45"/>
      <c r="VAK44" s="45"/>
      <c r="VAL44" s="45"/>
      <c r="VAM44" s="45"/>
      <c r="VAN44" s="45"/>
      <c r="VAO44" s="45"/>
      <c r="VAP44" s="45"/>
      <c r="VAQ44" s="45"/>
      <c r="VAR44" s="45"/>
      <c r="VAS44" s="45"/>
      <c r="VAT44" s="45"/>
      <c r="VAU44" s="45"/>
      <c r="VAV44" s="45"/>
      <c r="VAW44" s="45"/>
      <c r="VAX44" s="45"/>
      <c r="VAY44" s="45"/>
      <c r="VAZ44" s="45"/>
      <c r="VBA44" s="45"/>
      <c r="VBB44" s="45"/>
      <c r="VBC44" s="45"/>
      <c r="VBD44" s="45"/>
      <c r="VBE44" s="45"/>
      <c r="VBF44" s="45"/>
      <c r="VBG44" s="45"/>
      <c r="VBH44" s="45"/>
      <c r="VBI44" s="45"/>
      <c r="VBJ44" s="45"/>
      <c r="VBK44" s="45"/>
      <c r="VBL44" s="45"/>
      <c r="VBM44" s="45"/>
      <c r="VBN44" s="45"/>
      <c r="VBO44" s="45"/>
      <c r="VBP44" s="45"/>
      <c r="VBQ44" s="45"/>
      <c r="VBR44" s="45"/>
      <c r="VBS44" s="45"/>
      <c r="VBT44" s="45"/>
      <c r="VBU44" s="45"/>
      <c r="VBV44" s="45"/>
      <c r="VBW44" s="45"/>
      <c r="VBX44" s="45"/>
      <c r="VBY44" s="45"/>
      <c r="VBZ44" s="45"/>
      <c r="VCA44" s="45"/>
      <c r="VCB44" s="45"/>
      <c r="VCC44" s="45"/>
      <c r="VCD44" s="45"/>
      <c r="VCE44" s="45"/>
      <c r="VCF44" s="45"/>
      <c r="VCG44" s="45"/>
      <c r="VCH44" s="45"/>
      <c r="VCI44" s="45"/>
      <c r="VCJ44" s="45"/>
      <c r="VCK44" s="45"/>
      <c r="VCL44" s="45"/>
      <c r="VCM44" s="45"/>
      <c r="VCN44" s="45"/>
      <c r="VCO44" s="45"/>
      <c r="VCP44" s="45"/>
      <c r="VCQ44" s="45"/>
      <c r="VCR44" s="45"/>
      <c r="VCS44" s="45"/>
      <c r="VCT44" s="45"/>
      <c r="VCU44" s="45"/>
      <c r="VCV44" s="45"/>
      <c r="VCW44" s="45"/>
      <c r="VCX44" s="45"/>
      <c r="VCY44" s="45"/>
      <c r="VCZ44" s="45"/>
      <c r="VDA44" s="45"/>
      <c r="VDB44" s="45"/>
      <c r="VDC44" s="45"/>
      <c r="VDD44" s="45"/>
      <c r="VDE44" s="45"/>
      <c r="VDF44" s="45"/>
      <c r="VDG44" s="45"/>
      <c r="VDH44" s="45"/>
      <c r="VDI44" s="45"/>
      <c r="VDJ44" s="45"/>
      <c r="VDK44" s="45"/>
      <c r="VDL44" s="45"/>
      <c r="VDM44" s="45"/>
      <c r="VDN44" s="45"/>
      <c r="VDO44" s="45"/>
      <c r="VDP44" s="45"/>
      <c r="VDQ44" s="45"/>
      <c r="VDR44" s="45"/>
      <c r="VDS44" s="45"/>
      <c r="VDT44" s="45"/>
      <c r="VDU44" s="45"/>
      <c r="VDV44" s="45"/>
      <c r="VDW44" s="45"/>
      <c r="VDX44" s="45"/>
      <c r="VDY44" s="45"/>
      <c r="VDZ44" s="45"/>
      <c r="VEA44" s="45"/>
      <c r="VEB44" s="45"/>
      <c r="VEC44" s="45"/>
      <c r="VED44" s="45"/>
      <c r="VEE44" s="45"/>
      <c r="VEF44" s="45"/>
      <c r="VEG44" s="45"/>
      <c r="VEH44" s="45"/>
      <c r="VEI44" s="45"/>
      <c r="VEJ44" s="45"/>
      <c r="VEK44" s="45"/>
      <c r="VEL44" s="45"/>
      <c r="VEM44" s="45"/>
      <c r="VEN44" s="45"/>
      <c r="VEO44" s="45"/>
      <c r="VEP44" s="45"/>
      <c r="VEQ44" s="45"/>
      <c r="VER44" s="45"/>
      <c r="VES44" s="45"/>
      <c r="VET44" s="45"/>
      <c r="VEU44" s="45"/>
      <c r="VEV44" s="45"/>
      <c r="VEW44" s="45"/>
      <c r="VEX44" s="45"/>
      <c r="VEY44" s="45"/>
      <c r="VEZ44" s="45"/>
      <c r="VFA44" s="45"/>
      <c r="VFB44" s="45"/>
      <c r="VFC44" s="45"/>
      <c r="VFD44" s="45"/>
      <c r="VFE44" s="45"/>
      <c r="VFF44" s="45"/>
      <c r="VFG44" s="45"/>
      <c r="VFH44" s="45"/>
      <c r="VFI44" s="45"/>
      <c r="VFJ44" s="45"/>
      <c r="VFK44" s="45"/>
      <c r="VFL44" s="45"/>
      <c r="VFM44" s="45"/>
      <c r="VFN44" s="45"/>
      <c r="VFO44" s="45"/>
      <c r="VFP44" s="45"/>
      <c r="VFQ44" s="45"/>
      <c r="VFR44" s="45"/>
      <c r="VFS44" s="45"/>
      <c r="VFT44" s="45"/>
      <c r="VFU44" s="45"/>
      <c r="VFV44" s="45"/>
      <c r="VFW44" s="45"/>
      <c r="VFX44" s="45"/>
      <c r="VFY44" s="45"/>
      <c r="VFZ44" s="45"/>
      <c r="VGA44" s="45"/>
      <c r="VGB44" s="45"/>
      <c r="VGC44" s="45"/>
      <c r="VGD44" s="45"/>
      <c r="VGE44" s="45"/>
      <c r="VGF44" s="45"/>
      <c r="VGG44" s="45"/>
      <c r="VGH44" s="45"/>
      <c r="VGI44" s="45"/>
      <c r="VGJ44" s="45"/>
      <c r="VGK44" s="45"/>
      <c r="VGL44" s="45"/>
      <c r="VGM44" s="45"/>
      <c r="VGN44" s="45"/>
      <c r="VGO44" s="45"/>
      <c r="VGP44" s="45"/>
      <c r="VGQ44" s="45"/>
      <c r="VGR44" s="45"/>
      <c r="VGS44" s="45"/>
      <c r="VGT44" s="45"/>
      <c r="VGU44" s="45"/>
      <c r="VGV44" s="45"/>
      <c r="VGW44" s="45"/>
      <c r="VGX44" s="45"/>
      <c r="VGY44" s="45"/>
      <c r="VGZ44" s="45"/>
      <c r="VHA44" s="45"/>
      <c r="VHB44" s="45"/>
      <c r="VHC44" s="45"/>
      <c r="VHD44" s="45"/>
      <c r="VHE44" s="45"/>
      <c r="VHF44" s="45"/>
      <c r="VHG44" s="45"/>
      <c r="VHH44" s="45"/>
      <c r="VHI44" s="45"/>
      <c r="VHJ44" s="45"/>
      <c r="VHK44" s="45"/>
      <c r="VHL44" s="45"/>
      <c r="VHM44" s="45"/>
      <c r="VHN44" s="45"/>
      <c r="VHO44" s="45"/>
      <c r="VHP44" s="45"/>
      <c r="VHQ44" s="45"/>
      <c r="VHR44" s="45"/>
      <c r="VHS44" s="45"/>
      <c r="VHT44" s="45"/>
      <c r="VHU44" s="45"/>
      <c r="VHV44" s="45"/>
      <c r="VHW44" s="45"/>
      <c r="VHX44" s="45"/>
      <c r="VHY44" s="45"/>
      <c r="VHZ44" s="45"/>
      <c r="VIA44" s="45"/>
      <c r="VIB44" s="45"/>
      <c r="VIC44" s="45"/>
      <c r="VID44" s="45"/>
      <c r="VIE44" s="45"/>
      <c r="VIF44" s="45"/>
      <c r="VIG44" s="45"/>
      <c r="VIH44" s="45"/>
      <c r="VII44" s="45"/>
      <c r="VIJ44" s="45"/>
      <c r="VIK44" s="45"/>
      <c r="VIL44" s="45"/>
      <c r="VIM44" s="45"/>
      <c r="VIN44" s="45"/>
      <c r="VIO44" s="45"/>
      <c r="VIP44" s="45"/>
      <c r="VIQ44" s="45"/>
      <c r="VIR44" s="45"/>
      <c r="VIS44" s="45"/>
      <c r="VIT44" s="45"/>
      <c r="VIU44" s="45"/>
      <c r="VIV44" s="45"/>
      <c r="VIW44" s="45"/>
      <c r="VIX44" s="45"/>
      <c r="VIY44" s="45"/>
      <c r="VIZ44" s="45"/>
      <c r="VJA44" s="45"/>
      <c r="VJB44" s="45"/>
      <c r="VJC44" s="45"/>
      <c r="VJD44" s="45"/>
      <c r="VJE44" s="45"/>
      <c r="VJF44" s="45"/>
      <c r="VJG44" s="45"/>
      <c r="VJH44" s="45"/>
      <c r="VJI44" s="45"/>
      <c r="VJJ44" s="45"/>
      <c r="VJK44" s="45"/>
      <c r="VJL44" s="45"/>
      <c r="VJM44" s="45"/>
      <c r="VJN44" s="45"/>
      <c r="VJO44" s="45"/>
      <c r="VJP44" s="45"/>
      <c r="VJQ44" s="45"/>
      <c r="VJR44" s="45"/>
      <c r="VJS44" s="45"/>
      <c r="VJT44" s="45"/>
      <c r="VJU44" s="45"/>
      <c r="VJV44" s="45"/>
      <c r="VJW44" s="45"/>
      <c r="VJX44" s="45"/>
      <c r="VJY44" s="45"/>
      <c r="VJZ44" s="45"/>
      <c r="VKA44" s="45"/>
      <c r="VKB44" s="45"/>
      <c r="VKC44" s="45"/>
      <c r="VKD44" s="45"/>
      <c r="VKE44" s="45"/>
      <c r="VKF44" s="45"/>
      <c r="VKG44" s="45"/>
      <c r="VKH44" s="45"/>
      <c r="VKI44" s="45"/>
      <c r="VKJ44" s="45"/>
      <c r="VKK44" s="45"/>
      <c r="VKL44" s="45"/>
      <c r="VKM44" s="45"/>
      <c r="VKN44" s="45"/>
      <c r="VKO44" s="45"/>
      <c r="VKP44" s="45"/>
      <c r="VKQ44" s="45"/>
      <c r="VKR44" s="45"/>
      <c r="VKS44" s="45"/>
      <c r="VKT44" s="45"/>
      <c r="VKU44" s="45"/>
      <c r="VKV44" s="45"/>
      <c r="VKW44" s="45"/>
      <c r="VKX44" s="45"/>
      <c r="VKY44" s="45"/>
      <c r="VKZ44" s="45"/>
      <c r="VLA44" s="45"/>
      <c r="VLB44" s="45"/>
      <c r="VLC44" s="45"/>
      <c r="VLD44" s="45"/>
      <c r="VLE44" s="45"/>
      <c r="VLF44" s="45"/>
      <c r="VLG44" s="45"/>
      <c r="VLH44" s="45"/>
      <c r="VLI44" s="45"/>
      <c r="VLJ44" s="45"/>
      <c r="VLK44" s="45"/>
      <c r="VLL44" s="45"/>
      <c r="VLM44" s="45"/>
      <c r="VLN44" s="45"/>
      <c r="VLO44" s="45"/>
      <c r="VLP44" s="45"/>
      <c r="VLQ44" s="45"/>
      <c r="VLR44" s="45"/>
      <c r="VLS44" s="45"/>
      <c r="VLT44" s="45"/>
      <c r="VLU44" s="45"/>
      <c r="VLV44" s="45"/>
      <c r="VLW44" s="45"/>
      <c r="VLX44" s="45"/>
      <c r="VLY44" s="45"/>
      <c r="VLZ44" s="45"/>
      <c r="VMA44" s="45"/>
      <c r="VMB44" s="45"/>
      <c r="VMC44" s="45"/>
      <c r="VMD44" s="45"/>
      <c r="VME44" s="45"/>
      <c r="VMF44" s="45"/>
      <c r="VMG44" s="45"/>
      <c r="VMH44" s="45"/>
      <c r="VMI44" s="45"/>
      <c r="VMJ44" s="45"/>
      <c r="VMK44" s="45"/>
      <c r="VML44" s="45"/>
      <c r="VMM44" s="45"/>
      <c r="VMN44" s="45"/>
      <c r="VMO44" s="45"/>
      <c r="VMP44" s="45"/>
      <c r="VMQ44" s="45"/>
      <c r="VMR44" s="45"/>
      <c r="VMS44" s="45"/>
      <c r="VMT44" s="45"/>
      <c r="VMU44" s="45"/>
      <c r="VMV44" s="45"/>
      <c r="VMW44" s="45"/>
      <c r="VMX44" s="45"/>
      <c r="VMY44" s="45"/>
      <c r="VMZ44" s="45"/>
      <c r="VNA44" s="45"/>
      <c r="VNB44" s="45"/>
      <c r="VNC44" s="45"/>
      <c r="VND44" s="45"/>
      <c r="VNE44" s="45"/>
      <c r="VNF44" s="45"/>
      <c r="VNG44" s="45"/>
      <c r="VNH44" s="45"/>
      <c r="VNI44" s="45"/>
      <c r="VNJ44" s="45"/>
      <c r="VNK44" s="45"/>
      <c r="VNL44" s="45"/>
      <c r="VNM44" s="45"/>
      <c r="VNN44" s="45"/>
      <c r="VNO44" s="45"/>
      <c r="VNP44" s="45"/>
      <c r="VNQ44" s="45"/>
      <c r="VNR44" s="45"/>
      <c r="VNS44" s="45"/>
      <c r="VNT44" s="45"/>
      <c r="VNU44" s="45"/>
      <c r="VNV44" s="45"/>
      <c r="VNW44" s="45"/>
      <c r="VNX44" s="45"/>
      <c r="VNY44" s="45"/>
      <c r="VNZ44" s="45"/>
      <c r="VOA44" s="45"/>
      <c r="VOB44" s="45"/>
      <c r="VOC44" s="45"/>
      <c r="VOD44" s="45"/>
      <c r="VOE44" s="45"/>
      <c r="VOF44" s="45"/>
      <c r="VOG44" s="45"/>
      <c r="VOH44" s="45"/>
      <c r="VOI44" s="45"/>
      <c r="VOJ44" s="45"/>
      <c r="VOK44" s="45"/>
      <c r="VOL44" s="45"/>
      <c r="VOM44" s="45"/>
      <c r="VON44" s="45"/>
      <c r="VOO44" s="45"/>
      <c r="VOP44" s="45"/>
      <c r="VOQ44" s="45"/>
      <c r="VOR44" s="45"/>
      <c r="VOS44" s="45"/>
      <c r="VOT44" s="45"/>
      <c r="VOU44" s="45"/>
      <c r="VOV44" s="45"/>
      <c r="VOW44" s="45"/>
      <c r="VOX44" s="45"/>
      <c r="VOY44" s="45"/>
      <c r="VOZ44" s="45"/>
      <c r="VPA44" s="45"/>
      <c r="VPB44" s="45"/>
      <c r="VPC44" s="45"/>
      <c r="VPD44" s="45"/>
      <c r="VPE44" s="45"/>
      <c r="VPF44" s="45"/>
      <c r="VPG44" s="45"/>
      <c r="VPH44" s="45"/>
      <c r="VPI44" s="45"/>
      <c r="VPJ44" s="45"/>
      <c r="VPK44" s="45"/>
      <c r="VPL44" s="45"/>
      <c r="VPM44" s="45"/>
      <c r="VPN44" s="45"/>
      <c r="VPO44" s="45"/>
      <c r="VPP44" s="45"/>
      <c r="VPQ44" s="45"/>
      <c r="VPR44" s="45"/>
      <c r="VPS44" s="45"/>
      <c r="VPT44" s="45"/>
      <c r="VPU44" s="45"/>
      <c r="VPV44" s="45"/>
      <c r="VPW44" s="45"/>
      <c r="VPX44" s="45"/>
      <c r="VPY44" s="45"/>
      <c r="VPZ44" s="45"/>
      <c r="VQA44" s="45"/>
      <c r="VQB44" s="45"/>
      <c r="VQC44" s="45"/>
      <c r="VQD44" s="45"/>
      <c r="VQE44" s="45"/>
      <c r="VQF44" s="45"/>
      <c r="VQG44" s="45"/>
      <c r="VQH44" s="45"/>
      <c r="VQI44" s="45"/>
      <c r="VQJ44" s="45"/>
      <c r="VQK44" s="45"/>
      <c r="VQL44" s="45"/>
      <c r="VQM44" s="45"/>
      <c r="VQN44" s="45"/>
      <c r="VQO44" s="45"/>
      <c r="VQP44" s="45"/>
      <c r="VQQ44" s="45"/>
      <c r="VQR44" s="45"/>
      <c r="VQS44" s="45"/>
      <c r="VQT44" s="45"/>
      <c r="VQU44" s="45"/>
      <c r="VQV44" s="45"/>
      <c r="VQW44" s="45"/>
      <c r="VQX44" s="45"/>
      <c r="VQY44" s="45"/>
      <c r="VQZ44" s="45"/>
      <c r="VRA44" s="45"/>
      <c r="VRB44" s="45"/>
      <c r="VRC44" s="45"/>
      <c r="VRD44" s="45"/>
      <c r="VRE44" s="45"/>
      <c r="VRF44" s="45"/>
      <c r="VRG44" s="45"/>
      <c r="VRH44" s="45"/>
      <c r="VRI44" s="45"/>
      <c r="VRJ44" s="45"/>
      <c r="VRK44" s="45"/>
      <c r="VRL44" s="45"/>
      <c r="VRM44" s="45"/>
      <c r="VRN44" s="45"/>
      <c r="VRO44" s="45"/>
      <c r="VRP44" s="45"/>
      <c r="VRQ44" s="45"/>
      <c r="VRR44" s="45"/>
      <c r="VRS44" s="45"/>
      <c r="VRT44" s="45"/>
      <c r="VRU44" s="45"/>
      <c r="VRV44" s="45"/>
      <c r="VRW44" s="45"/>
      <c r="VRX44" s="45"/>
      <c r="VRY44" s="45"/>
      <c r="VRZ44" s="45"/>
      <c r="VSA44" s="45"/>
      <c r="VSB44" s="45"/>
      <c r="VSC44" s="45"/>
      <c r="VSD44" s="45"/>
      <c r="VSE44" s="45"/>
      <c r="VSF44" s="45"/>
      <c r="VSG44" s="45"/>
      <c r="VSH44" s="45"/>
      <c r="VSI44" s="45"/>
      <c r="VSJ44" s="45"/>
      <c r="VSK44" s="45"/>
      <c r="VSL44" s="45"/>
      <c r="VSM44" s="45"/>
      <c r="VSN44" s="45"/>
      <c r="VSO44" s="45"/>
      <c r="VSP44" s="45"/>
      <c r="VSQ44" s="45"/>
      <c r="VSR44" s="45"/>
      <c r="VSS44" s="45"/>
      <c r="VST44" s="45"/>
      <c r="VSU44" s="45"/>
      <c r="VSV44" s="45"/>
      <c r="VSW44" s="45"/>
      <c r="VSX44" s="45"/>
      <c r="VSY44" s="45"/>
      <c r="VSZ44" s="45"/>
      <c r="VTA44" s="45"/>
      <c r="VTB44" s="45"/>
    </row>
  </sheetData>
  <sheetProtection algorithmName="SHA-512" hashValue="UjWoq8oy4Z/+9WxDwNEeHSFtg+2zjXtjTr/s+5TPyNS+2i6l6LsiJleFpfnNfQ9/A5LBlzsQBrPrY/aEOiVbtg==" saltValue="vSWSE9MFScEt13SGWORmIg==" spinCount="100000" sheet="1" objects="1" scenarios="1" formatCells="0" formatColumns="0" formatRows="0" insertHyperlinks="0" autoFilter="0"/>
  <pageMargins left="0.25" right="0.25" top="0.5" bottom="0.5" header="0.5" footer="0.25"/>
  <pageSetup paperSize="8" scale="31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28575</xdr:colOff>
                    <xdr:row>5</xdr:row>
                    <xdr:rowOff>28575</xdr:rowOff>
                  </from>
                  <to>
                    <xdr:col>28</xdr:col>
                    <xdr:colOff>638175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2E8E7-16FD-4F58-B9A0-3465F9121ABC}">
  <sheetPr codeName="Sheet6"/>
  <dimension ref="A1:BY89"/>
  <sheetViews>
    <sheetView showGridLines="0" showRowColHeaders="0" workbookViewId="0">
      <pane ySplit="2" topLeftCell="A3" activePane="bottomLeft" state="frozen"/>
      <selection pane="bottomLeft" activeCell="D2" sqref="D2:E2"/>
    </sheetView>
  </sheetViews>
  <sheetFormatPr baseColWidth="10" defaultColWidth="0" defaultRowHeight="15" x14ac:dyDescent="0.25"/>
  <cols>
    <col min="1" max="1" width="0.85546875" customWidth="1"/>
    <col min="2" max="2" width="63" customWidth="1"/>
    <col min="3" max="3" width="10" customWidth="1"/>
    <col min="4" max="4" width="23.85546875" bestFit="1" customWidth="1"/>
    <col min="5" max="5" width="21.28515625" customWidth="1"/>
    <col min="6" max="6" width="13.28515625" customWidth="1"/>
    <col min="7" max="7" width="2.7109375" style="44" customWidth="1"/>
    <col min="8" max="8" width="0.140625" hidden="1" customWidth="1"/>
    <col min="9" max="21" width="0.140625" style="2" hidden="1" customWidth="1"/>
    <col min="22" max="27" width="3.7109375" style="2" hidden="1" customWidth="1"/>
    <col min="28" max="29" width="0.140625" style="2" hidden="1" customWidth="1"/>
    <col min="30" max="40" width="16" style="3" hidden="1" customWidth="1"/>
    <col min="41" max="41" width="16" style="5" hidden="1" customWidth="1"/>
    <col min="42" max="48" width="16" style="3" hidden="1" customWidth="1"/>
    <col min="49" max="58" width="16" style="4" hidden="1" customWidth="1"/>
    <col min="59" max="60" width="0.140625" style="3" hidden="1" customWidth="1"/>
    <col min="61" max="77" width="0.140625" style="2" hidden="1" customWidth="1"/>
    <col min="78" max="16384" width="0" style="2" hidden="1"/>
  </cols>
  <sheetData>
    <row r="1" spans="1:77" ht="6" customHeight="1" x14ac:dyDescent="0.25">
      <c r="A1" s="44"/>
      <c r="F1" s="44"/>
      <c r="H1" s="44"/>
      <c r="Y1" s="7"/>
      <c r="Z1" s="7"/>
      <c r="AA1" s="7"/>
      <c r="AB1" s="7"/>
      <c r="AC1" s="7"/>
    </row>
    <row r="2" spans="1:77" ht="20.25" thickBot="1" x14ac:dyDescent="0.3">
      <c r="A2" s="1"/>
      <c r="B2" s="269" t="s">
        <v>48</v>
      </c>
      <c r="C2" s="269"/>
      <c r="D2" s="270" t="s">
        <v>194</v>
      </c>
      <c r="E2" s="270"/>
      <c r="F2" s="43"/>
      <c r="G2" s="42"/>
      <c r="V2" s="120"/>
      <c r="W2" s="120" t="s">
        <v>46</v>
      </c>
      <c r="X2" s="121" t="s">
        <v>16</v>
      </c>
      <c r="Y2" s="122"/>
      <c r="Z2" s="123" t="s">
        <v>45</v>
      </c>
      <c r="AA2" s="124"/>
      <c r="AB2" s="41"/>
      <c r="AC2" s="41"/>
      <c r="AD2" s="40" t="s">
        <v>17</v>
      </c>
      <c r="AE2" s="39" t="s">
        <v>44</v>
      </c>
      <c r="AF2" s="37" t="s">
        <v>43</v>
      </c>
      <c r="AG2" s="37" t="s">
        <v>42</v>
      </c>
      <c r="AH2" s="37" t="s">
        <v>41</v>
      </c>
      <c r="AI2" s="37" t="s">
        <v>40</v>
      </c>
      <c r="AJ2" s="38" t="s">
        <v>39</v>
      </c>
      <c r="AK2" s="37" t="s">
        <v>38</v>
      </c>
      <c r="AL2" s="38" t="s">
        <v>37</v>
      </c>
      <c r="AM2" s="38" t="s">
        <v>35</v>
      </c>
      <c r="AN2" s="37" t="s">
        <v>33</v>
      </c>
      <c r="AO2" s="205" t="s">
        <v>32</v>
      </c>
      <c r="AP2" s="38" t="s">
        <v>36</v>
      </c>
      <c r="AQ2" s="38" t="s">
        <v>34</v>
      </c>
      <c r="AR2" s="36" t="s">
        <v>31</v>
      </c>
      <c r="AS2" s="36" t="s">
        <v>30</v>
      </c>
      <c r="AT2" s="36" t="s">
        <v>29</v>
      </c>
      <c r="AU2" s="36" t="s">
        <v>28</v>
      </c>
      <c r="AV2" s="35" t="s">
        <v>27</v>
      </c>
      <c r="AW2" s="35" t="s">
        <v>174</v>
      </c>
      <c r="AX2" s="34" t="s">
        <v>26</v>
      </c>
      <c r="AY2" s="34" t="s">
        <v>25</v>
      </c>
      <c r="AZ2" s="34" t="s">
        <v>24</v>
      </c>
      <c r="BA2" s="34" t="s">
        <v>23</v>
      </c>
      <c r="BB2" s="34" t="s">
        <v>22</v>
      </c>
      <c r="BC2" s="34" t="s">
        <v>21</v>
      </c>
      <c r="BD2" s="34" t="s">
        <v>20</v>
      </c>
      <c r="BE2" s="34" t="s">
        <v>19</v>
      </c>
      <c r="BF2" s="34" t="s">
        <v>18</v>
      </c>
      <c r="BG2" s="33"/>
      <c r="BH2" s="33"/>
      <c r="BI2" s="33"/>
      <c r="BJ2" s="23" t="s">
        <v>17</v>
      </c>
      <c r="BK2" s="2" t="s">
        <v>199</v>
      </c>
      <c r="BN2" s="23" t="s">
        <v>17</v>
      </c>
      <c r="BO2" s="2" t="s">
        <v>199</v>
      </c>
      <c r="BQ2" s="23" t="s">
        <v>17</v>
      </c>
      <c r="BR2" s="2" t="s">
        <v>199</v>
      </c>
      <c r="BT2" s="23" t="s">
        <v>17</v>
      </c>
      <c r="BU2" s="2" t="s">
        <v>199</v>
      </c>
      <c r="BW2"/>
      <c r="BX2"/>
      <c r="BY2"/>
    </row>
    <row r="3" spans="1:77" ht="24" customHeight="1" thickTop="1" x14ac:dyDescent="0.25">
      <c r="A3" s="1"/>
      <c r="B3" s="171" t="s">
        <v>16</v>
      </c>
      <c r="C3" s="112"/>
      <c r="D3" s="118" t="s">
        <v>15</v>
      </c>
      <c r="G3" s="1"/>
      <c r="V3" s="120" t="s">
        <v>196</v>
      </c>
      <c r="W3" s="120" t="s">
        <v>194</v>
      </c>
      <c r="X3" s="125">
        <f>IFERROR((SUMIFS(shData[[#All],[PercentageCompleted]],shData[[#All],[tType]],"T")+SUMIFS(shData[[#All],[PercentageCompleted]],shData[[#All],[tType]],"C"))/(COUNTIFS(shData[[#All],[tType]],"T")+COUNTIFS(shData[[#All],[tType]],"C")),0)</f>
        <v>0</v>
      </c>
      <c r="Y3" s="126">
        <f>100%-X3</f>
        <v>1</v>
      </c>
      <c r="Z3" s="123" t="s">
        <v>195</v>
      </c>
      <c r="AA3" s="124"/>
      <c r="AB3" s="6"/>
      <c r="AC3" s="6"/>
      <c r="AD3" s="32" t="s">
        <v>55</v>
      </c>
      <c r="AE3" s="31" t="s">
        <v>160</v>
      </c>
      <c r="AF3" s="30" t="s">
        <v>228</v>
      </c>
      <c r="AG3" s="30"/>
      <c r="AH3" s="30"/>
      <c r="AI3" s="30"/>
      <c r="AJ3" s="274"/>
      <c r="AK3" s="275"/>
      <c r="AL3" s="274">
        <v>42996</v>
      </c>
      <c r="AM3" s="274">
        <v>42996</v>
      </c>
      <c r="AN3" s="275">
        <v>1</v>
      </c>
      <c r="AO3" s="28">
        <v>1</v>
      </c>
      <c r="AP3" s="274"/>
      <c r="AQ3" s="274"/>
      <c r="AR3" s="276"/>
      <c r="AS3" s="276"/>
      <c r="AT3" s="276"/>
      <c r="AU3" s="276"/>
      <c r="AV3" s="14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6"/>
      <c r="BH3" s="26"/>
      <c r="BI3" s="14"/>
      <c r="BJ3" s="25"/>
      <c r="BK3" s="24"/>
      <c r="BL3" s="24"/>
      <c r="BN3" s="25"/>
      <c r="BO3" s="24"/>
      <c r="BQ3" s="25"/>
      <c r="BR3" s="24"/>
      <c r="BT3" s="25"/>
      <c r="BU3" s="24"/>
      <c r="BW3"/>
      <c r="BX3"/>
      <c r="BY3"/>
    </row>
    <row r="4" spans="1:77" x14ac:dyDescent="0.25">
      <c r="A4" s="1"/>
      <c r="D4" s="109" t="s">
        <v>14</v>
      </c>
      <c r="E4" s="22" t="str">
        <f>IF(X3=0,"Planned",IF(X3=1,"Completed","In-Progress"))</f>
        <v>Planned</v>
      </c>
      <c r="F4" s="21"/>
      <c r="G4" s="1"/>
      <c r="V4" s="120"/>
      <c r="W4" s="120"/>
      <c r="X4" s="121"/>
      <c r="Y4" s="122"/>
      <c r="Z4" s="123"/>
      <c r="AA4" s="124"/>
      <c r="AB4" s="6"/>
      <c r="AC4" s="6"/>
      <c r="AD4" s="3" t="s">
        <v>55</v>
      </c>
      <c r="AE4" s="199" t="s">
        <v>189</v>
      </c>
      <c r="AF4" s="3" t="s">
        <v>229</v>
      </c>
      <c r="AH4" s="200"/>
      <c r="AI4" s="201"/>
      <c r="AJ4" s="201"/>
      <c r="AK4" s="202"/>
      <c r="AL4" s="201">
        <v>43003</v>
      </c>
      <c r="AM4" s="201">
        <v>43003</v>
      </c>
      <c r="AN4" s="202">
        <v>1</v>
      </c>
      <c r="AO4" s="5">
        <v>1</v>
      </c>
      <c r="AP4" s="201"/>
      <c r="AQ4" s="201"/>
      <c r="AR4" s="202"/>
      <c r="AS4" s="200"/>
      <c r="AT4" s="200"/>
      <c r="AU4" s="200"/>
      <c r="AV4" s="5"/>
      <c r="AW4" s="203"/>
      <c r="AX4" s="204"/>
      <c r="AY4" s="204"/>
      <c r="AZ4" s="204"/>
      <c r="BA4" s="204"/>
      <c r="BB4" s="204"/>
      <c r="BC4" s="204"/>
      <c r="BD4" s="204"/>
      <c r="BE4" s="204"/>
      <c r="BF4" s="204"/>
      <c r="BI4" s="14"/>
      <c r="BJ4" s="23" t="s">
        <v>197</v>
      </c>
      <c r="BK4" s="2" t="s">
        <v>13</v>
      </c>
      <c r="BN4" s="23" t="s">
        <v>197</v>
      </c>
      <c r="BO4" s="2" t="s">
        <v>12</v>
      </c>
      <c r="BQ4" s="23" t="s">
        <v>197</v>
      </c>
      <c r="BR4" s="2" t="s">
        <v>12</v>
      </c>
      <c r="BT4" s="23" t="s">
        <v>197</v>
      </c>
      <c r="BU4" s="2" t="s">
        <v>11</v>
      </c>
      <c r="BW4"/>
      <c r="BX4"/>
      <c r="BY4"/>
    </row>
    <row r="5" spans="1:77" x14ac:dyDescent="0.25">
      <c r="A5" s="1"/>
      <c r="D5" s="10" t="s">
        <v>10</v>
      </c>
      <c r="E5" s="22"/>
      <c r="F5" s="21"/>
      <c r="G5" s="1"/>
      <c r="V5" s="120"/>
      <c r="W5" s="120"/>
      <c r="X5" s="121" t="s">
        <v>9</v>
      </c>
      <c r="Y5" s="122" t="s">
        <v>8</v>
      </c>
      <c r="Z5" s="123"/>
      <c r="AA5" s="124"/>
      <c r="AB5" s="6"/>
      <c r="AC5" s="6"/>
      <c r="AD5" s="3" t="s">
        <v>55</v>
      </c>
      <c r="AE5" s="199" t="s">
        <v>192</v>
      </c>
      <c r="AF5" s="3" t="s">
        <v>190</v>
      </c>
      <c r="AH5" s="200"/>
      <c r="AI5" s="201"/>
      <c r="AJ5" s="201"/>
      <c r="AK5" s="202"/>
      <c r="AL5" s="201">
        <v>42996</v>
      </c>
      <c r="AM5" s="201">
        <v>43007</v>
      </c>
      <c r="AN5" s="202">
        <v>11</v>
      </c>
      <c r="AO5" s="5">
        <v>0.8</v>
      </c>
      <c r="AP5" s="201"/>
      <c r="AQ5" s="201"/>
      <c r="AR5" s="202"/>
      <c r="AS5" s="200"/>
      <c r="AT5" s="200"/>
      <c r="AU5" s="200"/>
      <c r="AV5" s="5"/>
      <c r="AW5" s="203"/>
      <c r="AX5" s="204"/>
      <c r="AY5" s="204"/>
      <c r="AZ5" s="204"/>
      <c r="BA5" s="204"/>
      <c r="BB5" s="204"/>
      <c r="BC5" s="204"/>
      <c r="BD5" s="204"/>
      <c r="BE5" s="204"/>
      <c r="BF5" s="204"/>
      <c r="BI5" s="14"/>
      <c r="BJ5" s="16" t="s">
        <v>224</v>
      </c>
      <c r="BK5" s="18"/>
      <c r="BL5" s="17"/>
      <c r="BN5" s="16" t="s">
        <v>224</v>
      </c>
      <c r="BO5" s="15">
        <v>0</v>
      </c>
      <c r="BQ5" s="16" t="s">
        <v>198</v>
      </c>
      <c r="BR5" s="15">
        <v>0.25454545454545452</v>
      </c>
      <c r="BT5" s="16" t="s">
        <v>198</v>
      </c>
      <c r="BU5" s="15">
        <v>1</v>
      </c>
      <c r="BW5"/>
      <c r="BX5"/>
      <c r="BY5"/>
    </row>
    <row r="6" spans="1:77" x14ac:dyDescent="0.25">
      <c r="A6" s="1"/>
      <c r="D6" s="10" t="s">
        <v>7</v>
      </c>
      <c r="E6" s="20">
        <f>MIN(shData[[#All],[ESD]])</f>
        <v>42996</v>
      </c>
      <c r="F6" s="19"/>
      <c r="G6" s="1"/>
      <c r="V6" s="120"/>
      <c r="W6" s="120"/>
      <c r="X6" s="121" t="s">
        <v>6</v>
      </c>
      <c r="Y6" s="122" t="s">
        <v>159</v>
      </c>
      <c r="Z6" s="123" t="str">
        <f>$Y$5&amp;" "&amp;TEXT(Y6,"#,##0")</f>
        <v>$ ,0</v>
      </c>
      <c r="AA6" s="124"/>
      <c r="AB6" s="6"/>
      <c r="AC6" s="6"/>
      <c r="AD6" s="3" t="s">
        <v>55</v>
      </c>
      <c r="AE6" s="199" t="s">
        <v>202</v>
      </c>
      <c r="AF6" s="3" t="s">
        <v>220</v>
      </c>
      <c r="AH6" s="200"/>
      <c r="AI6" s="201"/>
      <c r="AJ6" s="201"/>
      <c r="AK6" s="202"/>
      <c r="AL6" s="201">
        <v>43003</v>
      </c>
      <c r="AM6" s="201">
        <v>43023</v>
      </c>
      <c r="AN6" s="202">
        <v>18</v>
      </c>
      <c r="AO6" s="5">
        <v>0</v>
      </c>
      <c r="AP6" s="201"/>
      <c r="AQ6" s="201"/>
      <c r="AR6" s="202"/>
      <c r="AS6" s="200"/>
      <c r="AT6" s="200"/>
      <c r="AU6" s="200"/>
      <c r="AV6" s="5"/>
      <c r="AW6" s="203"/>
      <c r="AX6" s="204"/>
      <c r="AY6" s="204"/>
      <c r="AZ6" s="204"/>
      <c r="BA6" s="204"/>
      <c r="BB6" s="204"/>
      <c r="BC6" s="204"/>
      <c r="BD6" s="204"/>
      <c r="BE6" s="204"/>
      <c r="BF6" s="204"/>
      <c r="BI6" s="14"/>
      <c r="BJ6" s="16" t="s">
        <v>190</v>
      </c>
      <c r="BK6" s="18"/>
      <c r="BL6" s="17"/>
      <c r="BN6" s="16" t="s">
        <v>226</v>
      </c>
      <c r="BO6" s="15">
        <v>0</v>
      </c>
      <c r="BQ6"/>
      <c r="BR6"/>
      <c r="BT6"/>
      <c r="BU6"/>
      <c r="BW6"/>
      <c r="BX6"/>
      <c r="BY6"/>
    </row>
    <row r="7" spans="1:77" x14ac:dyDescent="0.25">
      <c r="A7" s="1"/>
      <c r="D7" s="10" t="s">
        <v>5</v>
      </c>
      <c r="E7" s="20">
        <f>MAX(shData[[#All],[EED]])</f>
        <v>43130</v>
      </c>
      <c r="F7" s="19"/>
      <c r="G7" s="1"/>
      <c r="V7" s="120"/>
      <c r="W7" s="120"/>
      <c r="X7" s="121" t="s">
        <v>4</v>
      </c>
      <c r="Y7" s="122" t="s">
        <v>159</v>
      </c>
      <c r="Z7" s="123" t="str">
        <f>$Y$5&amp;" "&amp;TEXT(Y7,"#,##0")</f>
        <v>$ ,0</v>
      </c>
      <c r="AA7" s="124"/>
      <c r="AB7" s="6"/>
      <c r="AC7" s="6"/>
      <c r="AD7" s="3" t="s">
        <v>55</v>
      </c>
      <c r="AE7" s="199" t="s">
        <v>204</v>
      </c>
      <c r="AF7" s="3" t="s">
        <v>222</v>
      </c>
      <c r="AH7" s="200"/>
      <c r="AI7" s="201"/>
      <c r="AJ7" s="201"/>
      <c r="AK7" s="202"/>
      <c r="AL7" s="201">
        <v>43017</v>
      </c>
      <c r="AM7" s="201">
        <v>43047</v>
      </c>
      <c r="AN7" s="202">
        <v>27</v>
      </c>
      <c r="AO7" s="5">
        <v>0</v>
      </c>
      <c r="AP7" s="201"/>
      <c r="AQ7" s="201"/>
      <c r="AR7" s="202"/>
      <c r="AS7" s="200"/>
      <c r="AT7" s="200"/>
      <c r="AU7" s="200"/>
      <c r="AV7" s="5"/>
      <c r="AW7" s="203"/>
      <c r="AX7" s="204"/>
      <c r="AY7" s="204"/>
      <c r="AZ7" s="204"/>
      <c r="BA7" s="204"/>
      <c r="BB7" s="204"/>
      <c r="BC7" s="204"/>
      <c r="BD7" s="204"/>
      <c r="BE7" s="204"/>
      <c r="BF7" s="204"/>
      <c r="BI7" s="14"/>
      <c r="BJ7" s="16" t="s">
        <v>228</v>
      </c>
      <c r="BK7" s="18"/>
      <c r="BL7" s="17"/>
      <c r="BN7" s="16" t="s">
        <v>234</v>
      </c>
      <c r="BO7" s="15">
        <v>0</v>
      </c>
      <c r="BQ7"/>
      <c r="BR7"/>
      <c r="BT7"/>
      <c r="BU7"/>
      <c r="BW7"/>
      <c r="BX7"/>
      <c r="BY7"/>
    </row>
    <row r="8" spans="1:77" x14ac:dyDescent="0.25">
      <c r="A8" s="1"/>
      <c r="D8" s="109" t="s">
        <v>3</v>
      </c>
      <c r="E8" s="12">
        <f>COUNTIFS(shData[[#All],[tType]],"T")+COUNTIFS(shData[[#All],[tType]],"C")</f>
        <v>0</v>
      </c>
      <c r="F8" s="11"/>
      <c r="G8" s="1"/>
      <c r="V8" s="120"/>
      <c r="W8" s="120"/>
      <c r="X8" s="121" t="s">
        <v>2</v>
      </c>
      <c r="Y8" s="122">
        <f>SUMIFS(shData[ACS],shData[tType],"T")+SUMIFS(shData[ACS],shData[tType],"MP")</f>
        <v>0</v>
      </c>
      <c r="Z8" s="122" t="str">
        <f>Y5&amp;" "&amp;TEXT(Y8,"#,##0")&amp;" spent"</f>
        <v>$ ,0 spent</v>
      </c>
      <c r="AA8" s="124"/>
      <c r="AB8" s="6"/>
      <c r="AC8" s="6"/>
      <c r="AD8" s="3" t="s">
        <v>55</v>
      </c>
      <c r="AE8" s="199" t="s">
        <v>221</v>
      </c>
      <c r="AF8" s="3" t="s">
        <v>203</v>
      </c>
      <c r="AH8" s="200"/>
      <c r="AI8" s="201"/>
      <c r="AJ8" s="201"/>
      <c r="AK8" s="202"/>
      <c r="AL8" s="201">
        <v>43042</v>
      </c>
      <c r="AM8" s="201">
        <v>43042</v>
      </c>
      <c r="AN8" s="202">
        <v>1</v>
      </c>
      <c r="AO8" s="5">
        <v>0</v>
      </c>
      <c r="AP8" s="201"/>
      <c r="AQ8" s="201"/>
      <c r="AR8" s="202"/>
      <c r="AS8" s="200"/>
      <c r="AT8" s="200"/>
      <c r="AU8" s="200"/>
      <c r="AV8" s="5"/>
      <c r="AW8" s="251"/>
      <c r="AX8" s="252"/>
      <c r="AY8" s="252"/>
      <c r="AZ8" s="252"/>
      <c r="BA8" s="252"/>
      <c r="BB8" s="252"/>
      <c r="BC8" s="252"/>
      <c r="BD8" s="252"/>
      <c r="BE8" s="252"/>
      <c r="BF8" s="252"/>
      <c r="BI8" s="14"/>
      <c r="BJ8" s="16" t="s">
        <v>220</v>
      </c>
      <c r="BK8" s="18"/>
      <c r="BN8" s="16" t="s">
        <v>203</v>
      </c>
      <c r="BO8" s="15">
        <v>0</v>
      </c>
      <c r="BQ8"/>
      <c r="BR8"/>
      <c r="BT8"/>
      <c r="BU8"/>
      <c r="BW8"/>
      <c r="BX8"/>
      <c r="BY8"/>
    </row>
    <row r="9" spans="1:77" x14ac:dyDescent="0.25">
      <c r="A9" s="1"/>
      <c r="B9" s="271"/>
      <c r="C9" s="272"/>
      <c r="D9" s="10" t="s">
        <v>146</v>
      </c>
      <c r="E9" s="12">
        <f>COUNTIFS(shData[[#All],[tType]],"T",shData[[#All],[PercentageCompleted]],1)+COUNTIFS(shData[[#All],[tType]],"C",shData[[#All],[PercentageCompleted]],1)</f>
        <v>0</v>
      </c>
      <c r="F9" s="11"/>
      <c r="G9" s="1"/>
      <c r="V9" s="120"/>
      <c r="W9" s="120"/>
      <c r="X9" s="121" t="s">
        <v>1</v>
      </c>
      <c r="Y9" s="126">
        <f>IFERROR(Y8/Y6,0)</f>
        <v>0</v>
      </c>
      <c r="Z9" s="126">
        <f>1-Y9</f>
        <v>1</v>
      </c>
      <c r="AA9" s="127"/>
      <c r="AB9" s="13"/>
      <c r="AC9" s="13"/>
      <c r="AD9" s="3" t="s">
        <v>55</v>
      </c>
      <c r="AE9" s="199" t="s">
        <v>223</v>
      </c>
      <c r="AF9" s="3" t="s">
        <v>224</v>
      </c>
      <c r="AH9" s="200"/>
      <c r="AI9" s="201"/>
      <c r="AJ9" s="201"/>
      <c r="AK9" s="202"/>
      <c r="AL9" s="201">
        <v>43045</v>
      </c>
      <c r="AM9" s="201">
        <v>43072</v>
      </c>
      <c r="AN9" s="202">
        <v>24</v>
      </c>
      <c r="AO9" s="5">
        <v>0</v>
      </c>
      <c r="AP9" s="201"/>
      <c r="AQ9" s="201"/>
      <c r="AR9" s="202"/>
      <c r="AS9" s="200"/>
      <c r="AT9" s="200"/>
      <c r="AU9" s="200"/>
      <c r="AV9" s="5"/>
      <c r="AW9" s="251"/>
      <c r="AX9" s="252"/>
      <c r="AY9" s="252"/>
      <c r="AZ9" s="252"/>
      <c r="BA9" s="252"/>
      <c r="BB9" s="252"/>
      <c r="BC9" s="252"/>
      <c r="BD9" s="252"/>
      <c r="BE9" s="252"/>
      <c r="BF9" s="252"/>
      <c r="BJ9" s="16" t="s">
        <v>229</v>
      </c>
      <c r="BK9" s="18"/>
      <c r="BN9" s="16" t="s">
        <v>222</v>
      </c>
      <c r="BO9" s="15">
        <v>0</v>
      </c>
      <c r="BQ9"/>
      <c r="BR9"/>
      <c r="BT9"/>
      <c r="BU9"/>
      <c r="BW9"/>
      <c r="BX9"/>
      <c r="BY9"/>
    </row>
    <row r="10" spans="1:77" x14ac:dyDescent="0.25">
      <c r="A10" s="1"/>
      <c r="D10" s="10" t="s">
        <v>147</v>
      </c>
      <c r="E10" s="12">
        <f ca="1">COUNTIFS(shData[[#All],[tType]],"T",shData[[#All],[PercentageCompleted]],"&lt;"&amp;1,shData[[#All],[PercentageCompleted]],"&gt;"&amp;0,shData[[#All],[EED]],"&gt;="&amp;TODAY())+COUNTIFS(shData[[#All],[tType]],"C",shData[[#All],[PercentageCompleted]],"&lt;"&amp;1,shData[[#All],[PercentageCompleted]],"&gt;"&amp;0,shData[[#All],[EED]],"&gt;="&amp;TODAY())</f>
        <v>0</v>
      </c>
      <c r="F10" s="11"/>
      <c r="G10" s="1"/>
      <c r="V10" s="120"/>
      <c r="W10" s="120"/>
      <c r="X10" s="120"/>
      <c r="Y10" s="128"/>
      <c r="Z10" s="128"/>
      <c r="AA10" s="128"/>
      <c r="AB10" s="7"/>
      <c r="AC10" s="7"/>
      <c r="AD10" s="3" t="s">
        <v>55</v>
      </c>
      <c r="AE10" s="199" t="s">
        <v>225</v>
      </c>
      <c r="AF10" s="3" t="s">
        <v>226</v>
      </c>
      <c r="AH10" s="200"/>
      <c r="AI10" s="201"/>
      <c r="AJ10" s="201"/>
      <c r="AK10" s="202"/>
      <c r="AL10" s="201">
        <v>43068</v>
      </c>
      <c r="AM10" s="201">
        <v>43089</v>
      </c>
      <c r="AN10" s="202">
        <v>19</v>
      </c>
      <c r="AO10" s="5">
        <v>0</v>
      </c>
      <c r="AP10" s="201"/>
      <c r="AQ10" s="201"/>
      <c r="AR10" s="202"/>
      <c r="AS10" s="200"/>
      <c r="AT10" s="200"/>
      <c r="AU10" s="200"/>
      <c r="AV10" s="5"/>
      <c r="AW10" s="251"/>
      <c r="AX10" s="252"/>
      <c r="AY10" s="252"/>
      <c r="AZ10" s="252"/>
      <c r="BA10" s="252"/>
      <c r="BB10" s="252"/>
      <c r="BC10" s="252"/>
      <c r="BD10" s="252"/>
      <c r="BE10" s="252"/>
      <c r="BF10" s="252"/>
      <c r="BJ10" s="16" t="s">
        <v>226</v>
      </c>
      <c r="BK10" s="18"/>
      <c r="BN10" s="16" t="s">
        <v>231</v>
      </c>
      <c r="BO10" s="15">
        <v>0</v>
      </c>
      <c r="BQ10"/>
      <c r="BR10"/>
      <c r="BT10"/>
      <c r="BU10"/>
    </row>
    <row r="11" spans="1:77" x14ac:dyDescent="0.25">
      <c r="A11" s="1"/>
      <c r="D11" s="10" t="s">
        <v>148</v>
      </c>
      <c r="E11" s="12">
        <f ca="1">COUNTIFS(shData[[#All],[tType]],"T",shData[[#All],[PercentageCompleted]],0,shData[[#All],[EED]],"&gt;="&amp;TODAY())+COUNTIFS(shData[[#All],[tType]],"C",shData[[#All],[PercentageCompleted]],0,shData[[#All],[EED]],"&gt;="&amp;TODAY())</f>
        <v>0</v>
      </c>
      <c r="F11" s="11"/>
      <c r="G11" s="1"/>
      <c r="V11" s="120"/>
      <c r="W11" s="120"/>
      <c r="X11" s="120" t="s">
        <v>154</v>
      </c>
      <c r="Y11" s="128">
        <f>SUMIFS(shData[BCS],shData[tType],"T")+SUMIFS(shData[BCS],shData[tType],"MP")</f>
        <v>0</v>
      </c>
      <c r="Z11" s="123" t="str">
        <f>$Y$5&amp;" "&amp;TEXT(Y11,"#,##0")</f>
        <v>$ ,0</v>
      </c>
      <c r="AA11" s="124"/>
      <c r="AB11" s="6"/>
      <c r="AC11" s="6"/>
      <c r="AD11" s="3" t="s">
        <v>55</v>
      </c>
      <c r="AE11" s="199" t="s">
        <v>227</v>
      </c>
      <c r="AF11" s="3" t="s">
        <v>231</v>
      </c>
      <c r="AH11" s="200"/>
      <c r="AI11" s="201"/>
      <c r="AJ11" s="201"/>
      <c r="AK11" s="202"/>
      <c r="AL11" s="201">
        <v>42998</v>
      </c>
      <c r="AM11" s="201">
        <v>43091</v>
      </c>
      <c r="AN11" s="202">
        <v>81</v>
      </c>
      <c r="AO11" s="5">
        <v>0</v>
      </c>
      <c r="AP11" s="201"/>
      <c r="AQ11" s="201"/>
      <c r="AR11" s="202"/>
      <c r="AS11" s="200"/>
      <c r="AT11" s="200"/>
      <c r="AU11" s="200"/>
      <c r="AV11" s="5"/>
      <c r="AW11" s="203"/>
      <c r="AX11" s="204"/>
      <c r="AY11" s="204"/>
      <c r="AZ11" s="204"/>
      <c r="BA11" s="204"/>
      <c r="BB11" s="204"/>
      <c r="BC11" s="204"/>
      <c r="BD11" s="204"/>
      <c r="BE11" s="204"/>
      <c r="BF11" s="204"/>
      <c r="BJ11" s="16" t="s">
        <v>231</v>
      </c>
      <c r="BK11" s="18"/>
      <c r="BN11" s="16" t="s">
        <v>220</v>
      </c>
      <c r="BO11" s="15">
        <v>0</v>
      </c>
      <c r="BQ11"/>
      <c r="BR11"/>
      <c r="BT11"/>
      <c r="BU11"/>
    </row>
    <row r="12" spans="1:77" x14ac:dyDescent="0.25">
      <c r="A12" s="1"/>
      <c r="D12" s="10" t="s">
        <v>149</v>
      </c>
      <c r="E12" s="9">
        <f ca="1">COUNTIFS(shData[[#All],[tType]],"T",shData[[#All],[PercentageCompleted]],"&lt;&gt;"&amp;1,shData[[#All],[EED]],"&lt;"&amp;TODAY())+COUNTIFS(shData[[#All],[tType]],"C",shData[[#All],[PercentageCompleted]],"&lt;&gt;"&amp;1,shData[[#All],[EED]],"&lt;"&amp;TODAY())</f>
        <v>0</v>
      </c>
      <c r="F12" s="8"/>
      <c r="G12" s="1"/>
      <c r="V12" s="120"/>
      <c r="W12" s="120"/>
      <c r="X12" s="120" t="s">
        <v>153</v>
      </c>
      <c r="Y12" s="128">
        <f>SUMIFS(shData[ECS],shData[tType],"T")+SUMIFS(shData[ECS],shData[tType],"MP")</f>
        <v>0</v>
      </c>
      <c r="Z12" s="123" t="str">
        <f>$Y$5&amp;" "&amp;TEXT(Y12,"#,##0")</f>
        <v>$ ,0</v>
      </c>
      <c r="AA12" s="124"/>
      <c r="AB12" s="6"/>
      <c r="AC12" s="6"/>
      <c r="AD12" s="3" t="s">
        <v>55</v>
      </c>
      <c r="AE12" s="199" t="s">
        <v>230</v>
      </c>
      <c r="AF12" s="3" t="s">
        <v>232</v>
      </c>
      <c r="AH12" s="200"/>
      <c r="AI12" s="201"/>
      <c r="AJ12" s="201"/>
      <c r="AK12" s="202"/>
      <c r="AL12" s="201">
        <v>43087</v>
      </c>
      <c r="AM12" s="201">
        <v>43126</v>
      </c>
      <c r="AN12" s="202">
        <v>35</v>
      </c>
      <c r="AO12" s="5">
        <v>0</v>
      </c>
      <c r="AP12" s="201"/>
      <c r="AQ12" s="201"/>
      <c r="AR12" s="202"/>
      <c r="AS12" s="200"/>
      <c r="AT12" s="200"/>
      <c r="AU12" s="200"/>
      <c r="AV12" s="5"/>
      <c r="AW12" s="203"/>
      <c r="AX12" s="204"/>
      <c r="AY12" s="204"/>
      <c r="AZ12" s="204"/>
      <c r="BA12" s="204"/>
      <c r="BB12" s="204"/>
      <c r="BC12" s="204"/>
      <c r="BD12" s="204"/>
      <c r="BE12" s="204"/>
      <c r="BF12" s="204"/>
      <c r="BJ12" s="16" t="s">
        <v>222</v>
      </c>
      <c r="BK12" s="18"/>
      <c r="BN12" s="16" t="s">
        <v>232</v>
      </c>
      <c r="BO12" s="15">
        <v>0</v>
      </c>
      <c r="BQ12"/>
      <c r="BR12"/>
      <c r="BT12"/>
      <c r="BU12"/>
    </row>
    <row r="13" spans="1:77" ht="5.25" customHeight="1" x14ac:dyDescent="0.25">
      <c r="A13" s="1"/>
      <c r="B13" s="114"/>
      <c r="C13" s="115"/>
      <c r="D13" s="116"/>
      <c r="E13" s="1"/>
      <c r="F13" s="1"/>
      <c r="G13" s="1"/>
      <c r="V13" s="120"/>
      <c r="W13" s="120"/>
      <c r="X13" s="120" t="s">
        <v>152</v>
      </c>
      <c r="Y13" s="128">
        <f>SUMIFS(shData[ACS],shData[tType],"T")+SUMIFS(shData[ACS],shData[tType],"MP")</f>
        <v>0</v>
      </c>
      <c r="Z13" s="123" t="str">
        <f>$Y$5&amp;" "&amp;TEXT(Y13,"#,##0")</f>
        <v>$ ,0</v>
      </c>
      <c r="AA13" s="124"/>
      <c r="AB13" s="6"/>
      <c r="AC13" s="6"/>
      <c r="AD13" s="3" t="s">
        <v>55</v>
      </c>
      <c r="AE13" s="199" t="s">
        <v>233</v>
      </c>
      <c r="AF13" s="3" t="s">
        <v>234</v>
      </c>
      <c r="AH13" s="200"/>
      <c r="AI13" s="201"/>
      <c r="AJ13" s="201"/>
      <c r="AK13" s="202"/>
      <c r="AL13" s="201">
        <v>43130</v>
      </c>
      <c r="AM13" s="201">
        <v>43130</v>
      </c>
      <c r="AN13" s="202">
        <v>1</v>
      </c>
      <c r="AO13" s="5">
        <v>0</v>
      </c>
      <c r="AP13" s="201"/>
      <c r="AQ13" s="201"/>
      <c r="AR13" s="202"/>
      <c r="AS13" s="200"/>
      <c r="AT13" s="200"/>
      <c r="AU13" s="200"/>
      <c r="AV13" s="5"/>
      <c r="AW13" s="203"/>
      <c r="AX13" s="204"/>
      <c r="AY13" s="204"/>
      <c r="AZ13" s="204"/>
      <c r="BA13" s="204"/>
      <c r="BB13" s="204"/>
      <c r="BC13" s="204"/>
      <c r="BD13" s="204"/>
      <c r="BE13" s="204"/>
      <c r="BF13" s="204"/>
      <c r="BJ13" s="16" t="s">
        <v>232</v>
      </c>
      <c r="BK13" s="18"/>
      <c r="BN13" s="16" t="s">
        <v>190</v>
      </c>
      <c r="BO13" s="15">
        <v>0.8</v>
      </c>
      <c r="BQ13"/>
      <c r="BR13"/>
      <c r="BT13"/>
      <c r="BU13"/>
    </row>
    <row r="14" spans="1:77" x14ac:dyDescent="0.25">
      <c r="A14" s="1"/>
      <c r="B14" s="273" t="s">
        <v>0</v>
      </c>
      <c r="C14" s="273"/>
      <c r="D14" s="273"/>
      <c r="E14" s="273"/>
      <c r="F14" s="273"/>
      <c r="G14" s="1"/>
      <c r="V14" s="120"/>
      <c r="W14" s="120"/>
      <c r="X14" s="120"/>
      <c r="Y14" s="128"/>
      <c r="Z14" s="124"/>
      <c r="AA14" s="124"/>
      <c r="AB14" s="6"/>
      <c r="AC14" s="6"/>
      <c r="BJ14" s="16" t="s">
        <v>203</v>
      </c>
      <c r="BK14" s="18"/>
      <c r="BN14" s="16" t="s">
        <v>229</v>
      </c>
      <c r="BO14" s="15">
        <v>1</v>
      </c>
      <c r="BQ14"/>
      <c r="BR14"/>
      <c r="BT14"/>
      <c r="BU14"/>
    </row>
    <row r="15" spans="1:77" s="110" customFormat="1" ht="15" customHeight="1" x14ac:dyDescent="0.25">
      <c r="A15" s="1"/>
      <c r="B15" s="44"/>
      <c r="C15" s="44"/>
      <c r="D15" s="44"/>
      <c r="E15" s="44"/>
      <c r="F15" s="44"/>
      <c r="G15" s="1"/>
      <c r="H15" s="44"/>
      <c r="V15" s="120"/>
      <c r="W15" s="120"/>
      <c r="X15" s="120"/>
      <c r="Y15" s="120"/>
      <c r="Z15" s="120"/>
      <c r="AA15" s="120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5"/>
      <c r="AP15" s="3"/>
      <c r="AQ15" s="3"/>
      <c r="AR15" s="3"/>
      <c r="AS15" s="3"/>
      <c r="AT15" s="3"/>
      <c r="AU15" s="3"/>
      <c r="AV15" s="3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111"/>
      <c r="BH15" s="111"/>
      <c r="BJ15" s="16" t="s">
        <v>234</v>
      </c>
      <c r="BK15" s="18"/>
      <c r="BN15" s="16" t="s">
        <v>228</v>
      </c>
      <c r="BO15" s="15">
        <v>1</v>
      </c>
      <c r="BQ15" s="44"/>
      <c r="BR15" s="44"/>
      <c r="BT15" s="44"/>
      <c r="BU15" s="44"/>
    </row>
    <row r="16" spans="1:77" x14ac:dyDescent="0.25">
      <c r="A16" s="1"/>
      <c r="G16" s="1"/>
      <c r="V16" s="120"/>
      <c r="W16" s="120"/>
      <c r="X16" s="120" t="str">
        <f ca="1">SUM(INDIRECT("'Project Dashboard'!E10:E12"))&amp;" Tasks Left"</f>
        <v>0 Tasks Left</v>
      </c>
      <c r="Y16" s="120"/>
      <c r="Z16" s="120"/>
      <c r="AA16" s="120"/>
      <c r="BJ16"/>
      <c r="BK16"/>
      <c r="BN16"/>
      <c r="BO16"/>
    </row>
    <row r="17" spans="1:67" ht="21" customHeight="1" x14ac:dyDescent="0.25">
      <c r="A17" s="1"/>
      <c r="G17" s="1"/>
      <c r="BJ17"/>
      <c r="BK17"/>
      <c r="BN17"/>
      <c r="BO17"/>
    </row>
    <row r="18" spans="1:67" ht="4.5" customHeight="1" x14ac:dyDescent="0.25">
      <c r="A18" s="1"/>
      <c r="B18" s="1"/>
      <c r="C18" s="1"/>
      <c r="D18" s="1"/>
      <c r="E18" s="1"/>
      <c r="F18" s="1"/>
      <c r="G18" s="1"/>
      <c r="BJ18"/>
      <c r="BK18"/>
      <c r="BN18"/>
      <c r="BO18"/>
    </row>
    <row r="19" spans="1:67" x14ac:dyDescent="0.25">
      <c r="A19" s="1"/>
      <c r="G19" s="1"/>
      <c r="BJ19"/>
      <c r="BK19"/>
      <c r="BN19"/>
      <c r="BO19"/>
    </row>
    <row r="20" spans="1:67" x14ac:dyDescent="0.25">
      <c r="A20" s="1"/>
      <c r="B20" s="113" t="s">
        <v>150</v>
      </c>
      <c r="D20" s="119" t="s">
        <v>151</v>
      </c>
      <c r="G20" s="1"/>
      <c r="X20"/>
      <c r="Y20"/>
      <c r="Z20"/>
      <c r="BJ20"/>
      <c r="BK20"/>
      <c r="BN20"/>
      <c r="BO20"/>
    </row>
    <row r="21" spans="1:67" x14ac:dyDescent="0.25">
      <c r="A21" s="1"/>
      <c r="G21" s="1"/>
      <c r="X21"/>
      <c r="Y21"/>
      <c r="Z21"/>
      <c r="BJ21"/>
      <c r="BK21"/>
      <c r="BN21"/>
      <c r="BO21"/>
    </row>
    <row r="22" spans="1:67" x14ac:dyDescent="0.25">
      <c r="A22" s="1"/>
      <c r="G22" s="1"/>
      <c r="X22"/>
      <c r="Y22"/>
      <c r="Z22"/>
      <c r="BJ22"/>
      <c r="BK22"/>
      <c r="BN22"/>
      <c r="BO22"/>
    </row>
    <row r="23" spans="1:67" x14ac:dyDescent="0.25">
      <c r="A23" s="1"/>
      <c r="G23" s="1"/>
      <c r="X23"/>
      <c r="Y23"/>
      <c r="Z23"/>
      <c r="BJ23"/>
      <c r="BK23"/>
      <c r="BN23"/>
      <c r="BO23"/>
    </row>
    <row r="24" spans="1:67" x14ac:dyDescent="0.25">
      <c r="A24" s="1"/>
      <c r="G24" s="1"/>
      <c r="BJ24"/>
      <c r="BK24"/>
      <c r="BN24"/>
      <c r="BO24"/>
    </row>
    <row r="25" spans="1:67" x14ac:dyDescent="0.25">
      <c r="A25" s="1"/>
      <c r="G25" s="1"/>
      <c r="BJ25"/>
      <c r="BK25"/>
      <c r="BN25"/>
      <c r="BO25"/>
    </row>
    <row r="26" spans="1:67" s="110" customFormat="1" ht="15" customHeight="1" x14ac:dyDescent="0.25">
      <c r="A26" s="1"/>
      <c r="B26"/>
      <c r="C26"/>
      <c r="D26"/>
      <c r="E26"/>
      <c r="F26"/>
      <c r="G26" s="1"/>
      <c r="H26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5"/>
      <c r="AP26" s="3"/>
      <c r="AQ26" s="3"/>
      <c r="AR26" s="3"/>
      <c r="AS26" s="3"/>
      <c r="AT26" s="3"/>
      <c r="AU26" s="3"/>
      <c r="AV26" s="3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111"/>
      <c r="BH26" s="111"/>
      <c r="BJ26"/>
      <c r="BK26"/>
      <c r="BN26"/>
      <c r="BO26"/>
    </row>
    <row r="27" spans="1:67" x14ac:dyDescent="0.25">
      <c r="A27" s="1"/>
      <c r="B27" s="44"/>
      <c r="C27" s="44"/>
      <c r="D27" s="44"/>
      <c r="E27" s="44"/>
      <c r="F27" s="44"/>
      <c r="G27" s="1"/>
      <c r="H27" s="44"/>
      <c r="BJ27"/>
      <c r="BK27"/>
      <c r="BN27"/>
      <c r="BO27"/>
    </row>
    <row r="28" spans="1:67" x14ac:dyDescent="0.25">
      <c r="A28" s="1"/>
      <c r="G28" s="1"/>
      <c r="BJ28"/>
      <c r="BK28"/>
      <c r="BN28"/>
      <c r="BO28"/>
    </row>
    <row r="29" spans="1:67" x14ac:dyDescent="0.25">
      <c r="A29" s="1"/>
      <c r="G29" s="1"/>
      <c r="BJ29"/>
      <c r="BK29"/>
      <c r="BN29"/>
      <c r="BO29"/>
    </row>
    <row r="30" spans="1:67" x14ac:dyDescent="0.25">
      <c r="A30" s="1"/>
      <c r="G30" s="1"/>
      <c r="BJ30"/>
      <c r="BK30"/>
      <c r="BN30"/>
      <c r="BO30"/>
    </row>
    <row r="31" spans="1:67" x14ac:dyDescent="0.25">
      <c r="A31" s="1"/>
      <c r="G31" s="1"/>
      <c r="BJ31"/>
      <c r="BK31"/>
      <c r="BN31"/>
      <c r="BO31"/>
    </row>
    <row r="32" spans="1:67" x14ac:dyDescent="0.25">
      <c r="A32" s="1"/>
      <c r="G32" s="1"/>
      <c r="BJ32"/>
      <c r="BK32"/>
      <c r="BN32"/>
      <c r="BO32"/>
    </row>
    <row r="33" spans="1:67" x14ac:dyDescent="0.25">
      <c r="A33" s="1"/>
      <c r="G33" s="1"/>
      <c r="BJ33"/>
      <c r="BK33"/>
      <c r="BN33"/>
      <c r="BO33"/>
    </row>
    <row r="34" spans="1:67" ht="15" customHeight="1" x14ac:dyDescent="0.25">
      <c r="A34" s="1"/>
      <c r="B34" s="44"/>
      <c r="C34" s="44"/>
      <c r="D34" s="44"/>
      <c r="E34" s="44"/>
      <c r="F34" s="44"/>
      <c r="G34" s="1"/>
      <c r="BJ34"/>
      <c r="BK34"/>
      <c r="BN34"/>
      <c r="BO34"/>
    </row>
    <row r="35" spans="1:67" ht="15" customHeight="1" x14ac:dyDescent="0.25">
      <c r="A35" s="1"/>
      <c r="B35" s="44"/>
      <c r="C35" s="44"/>
      <c r="D35" s="44"/>
      <c r="E35" s="44"/>
      <c r="F35" s="44"/>
      <c r="G35" s="1"/>
      <c r="BJ35"/>
      <c r="BK35"/>
      <c r="BN35"/>
      <c r="BO35"/>
    </row>
    <row r="36" spans="1:67" ht="5.0999999999999996" customHeight="1" x14ac:dyDescent="0.25">
      <c r="A36" s="1"/>
      <c r="B36" s="1"/>
      <c r="C36" s="1"/>
      <c r="D36" s="1"/>
      <c r="E36" s="1"/>
      <c r="F36" s="1"/>
      <c r="G36" s="1"/>
      <c r="BJ36"/>
      <c r="BK36"/>
      <c r="BN36"/>
      <c r="BO36"/>
    </row>
    <row r="37" spans="1:67" ht="5.0999999999999996" customHeight="1" x14ac:dyDescent="0.25">
      <c r="A37" s="1"/>
      <c r="B37" s="1"/>
      <c r="C37" s="1"/>
      <c r="D37" s="1"/>
      <c r="E37" s="1"/>
      <c r="F37" s="1"/>
      <c r="G37" s="1"/>
      <c r="BJ37"/>
      <c r="BK37"/>
      <c r="BN37"/>
      <c r="BO37"/>
    </row>
    <row r="38" spans="1:67" x14ac:dyDescent="0.25">
      <c r="A38" s="1"/>
      <c r="G38" s="1"/>
      <c r="BJ38"/>
      <c r="BK38"/>
      <c r="BN38"/>
      <c r="BO38"/>
    </row>
    <row r="39" spans="1:67" x14ac:dyDescent="0.25">
      <c r="A39" s="1"/>
      <c r="G39" s="1"/>
      <c r="BJ39"/>
      <c r="BK39"/>
      <c r="BN39"/>
      <c r="BO39"/>
    </row>
    <row r="40" spans="1:67" x14ac:dyDescent="0.25">
      <c r="A40" s="1"/>
      <c r="G40" s="1"/>
      <c r="BJ40"/>
      <c r="BK40"/>
      <c r="BN40"/>
      <c r="BO40"/>
    </row>
    <row r="41" spans="1:67" x14ac:dyDescent="0.25">
      <c r="A41" s="1"/>
      <c r="G41" s="1"/>
      <c r="BJ41"/>
      <c r="BK41"/>
      <c r="BN41"/>
      <c r="BO41"/>
    </row>
    <row r="42" spans="1:67" x14ac:dyDescent="0.25">
      <c r="A42" s="1"/>
      <c r="G42" s="1"/>
      <c r="BJ42"/>
      <c r="BK42"/>
      <c r="BN42"/>
      <c r="BO42"/>
    </row>
    <row r="43" spans="1:67" x14ac:dyDescent="0.25">
      <c r="A43" s="1"/>
      <c r="G43" s="1"/>
      <c r="BJ43"/>
      <c r="BK43"/>
      <c r="BN43"/>
      <c r="BO43"/>
    </row>
    <row r="44" spans="1:67" x14ac:dyDescent="0.25">
      <c r="A44" s="1"/>
      <c r="G44" s="1"/>
    </row>
    <row r="45" spans="1:67" x14ac:dyDescent="0.25">
      <c r="A45" s="1"/>
      <c r="G45" s="1"/>
    </row>
    <row r="46" spans="1:67" x14ac:dyDescent="0.25">
      <c r="A46" s="1"/>
      <c r="G46" s="1"/>
    </row>
    <row r="47" spans="1:67" x14ac:dyDescent="0.25">
      <c r="A47" s="1"/>
      <c r="G47" s="1"/>
    </row>
    <row r="48" spans="1:67" x14ac:dyDescent="0.25">
      <c r="A48" s="1"/>
      <c r="G48" s="1"/>
    </row>
    <row r="49" spans="1:7" x14ac:dyDescent="0.25">
      <c r="A49" s="1"/>
      <c r="G49" s="1"/>
    </row>
    <row r="50" spans="1:7" x14ac:dyDescent="0.25">
      <c r="A50" s="1"/>
      <c r="G50" s="1"/>
    </row>
    <row r="51" spans="1:7" x14ac:dyDescent="0.25">
      <c r="A51" s="1"/>
      <c r="G51" s="1"/>
    </row>
    <row r="52" spans="1:7" x14ac:dyDescent="0.25">
      <c r="A52" s="1"/>
      <c r="G52" s="1"/>
    </row>
    <row r="53" spans="1:7" x14ac:dyDescent="0.25">
      <c r="A53" s="1"/>
      <c r="G53" s="1"/>
    </row>
    <row r="54" spans="1:7" x14ac:dyDescent="0.25">
      <c r="A54" s="1"/>
      <c r="G54" s="1"/>
    </row>
    <row r="55" spans="1:7" x14ac:dyDescent="0.25">
      <c r="A55" s="1"/>
      <c r="G55" s="1"/>
    </row>
    <row r="56" spans="1:7" x14ac:dyDescent="0.25">
      <c r="A56" s="1"/>
      <c r="G56" s="1"/>
    </row>
    <row r="57" spans="1:7" x14ac:dyDescent="0.25">
      <c r="A57" s="1"/>
      <c r="G57" s="1"/>
    </row>
    <row r="58" spans="1:7" x14ac:dyDescent="0.25">
      <c r="A58" s="1"/>
      <c r="G58" s="1"/>
    </row>
    <row r="59" spans="1:7" x14ac:dyDescent="0.25">
      <c r="A59" s="1"/>
      <c r="G59" s="1"/>
    </row>
    <row r="60" spans="1:7" x14ac:dyDescent="0.25">
      <c r="A60" s="1"/>
      <c r="G60" s="1"/>
    </row>
    <row r="61" spans="1:7" x14ac:dyDescent="0.25">
      <c r="A61" s="1"/>
      <c r="G61" s="1"/>
    </row>
    <row r="62" spans="1:7" x14ac:dyDescent="0.25">
      <c r="A62" s="1"/>
      <c r="G62" s="1"/>
    </row>
    <row r="63" spans="1:7" x14ac:dyDescent="0.25">
      <c r="A63" s="1"/>
      <c r="G63" s="1"/>
    </row>
    <row r="64" spans="1:7" x14ac:dyDescent="0.25">
      <c r="A64" s="1"/>
      <c r="G64" s="1"/>
    </row>
    <row r="65" spans="1:7" x14ac:dyDescent="0.25">
      <c r="A65" s="1"/>
      <c r="G65" s="1"/>
    </row>
    <row r="66" spans="1:7" ht="21.75" customHeight="1" x14ac:dyDescent="0.25">
      <c r="A66" s="1"/>
      <c r="G66" s="1"/>
    </row>
    <row r="67" spans="1:7" ht="5.25" customHeight="1" x14ac:dyDescent="0.25">
      <c r="A67" s="1"/>
      <c r="G67" s="1"/>
    </row>
    <row r="68" spans="1:7" x14ac:dyDescent="0.25">
      <c r="A68" s="1"/>
      <c r="G68" s="1"/>
    </row>
    <row r="69" spans="1:7" x14ac:dyDescent="0.25">
      <c r="A69" s="1"/>
      <c r="B69" s="1"/>
      <c r="C69" s="1"/>
      <c r="D69" s="1"/>
      <c r="E69" s="1"/>
      <c r="F69" s="1"/>
      <c r="G69" s="1"/>
    </row>
    <row r="86" spans="7:7" ht="4.1500000000000004" customHeight="1" x14ac:dyDescent="0.25"/>
    <row r="89" spans="7:7" x14ac:dyDescent="0.25">
      <c r="G89"/>
    </row>
  </sheetData>
  <sheetProtection formatCells="0" formatColumns="0" formatRows="0" autoFilter="0" pivotTables="0"/>
  <mergeCells count="4">
    <mergeCell ref="B2:C2"/>
    <mergeCell ref="D2:E2"/>
    <mergeCell ref="B9:C9"/>
    <mergeCell ref="B14:F14"/>
  </mergeCells>
  <conditionalFormatting sqref="E12">
    <cfRule type="cellIs" dxfId="1" priority="1" operator="greaterThan">
      <formula>0</formula>
    </cfRule>
  </conditionalFormatting>
  <dataValidations count="1">
    <dataValidation type="list" allowBlank="1" showInputMessage="1" showErrorMessage="1" sqref="D2:E2" xr:uid="{7FB92698-8663-42BA-A329-42F56F30EE4C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8" name="btnRefreshDashboard">
              <controlPr defaultSize="0" print="0" autoFill="0" autoPict="0" macro="[0]!RefreshDashboard">
                <anchor>
                  <from>
                    <xdr:col>5</xdr:col>
                    <xdr:colOff>133350</xdr:colOff>
                    <xdr:row>1</xdr:row>
                    <xdr:rowOff>0</xdr:rowOff>
                  </from>
                  <to>
                    <xdr:col>5</xdr:col>
                    <xdr:colOff>676275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G19" sqref="G19"/>
    </sheetView>
  </sheetViews>
  <sheetFormatPr baseColWidth="10" defaultColWidth="0" defaultRowHeight="15" x14ac:dyDescent="0.25"/>
  <cols>
    <col min="1" max="1" width="0.85546875" customWidth="1"/>
    <col min="2" max="2" width="63" customWidth="1"/>
    <col min="3" max="3" width="10" customWidth="1"/>
    <col min="4" max="4" width="23.85546875" bestFit="1" customWidth="1"/>
    <col min="5" max="5" width="21.28515625" customWidth="1"/>
    <col min="6" max="6" width="13.28515625" customWidth="1"/>
    <col min="7" max="7" width="2.7109375" style="44" customWidth="1"/>
    <col min="8" max="8" width="0.140625" hidden="1" customWidth="1"/>
    <col min="9" max="21" width="0.140625" style="2" hidden="1" customWidth="1"/>
    <col min="22" max="27" width="3.7109375" style="2" hidden="1" customWidth="1"/>
    <col min="28" max="29" width="0.140625" style="2" hidden="1" customWidth="1"/>
    <col min="30" max="40" width="16" style="3" hidden="1" customWidth="1"/>
    <col min="41" max="41" width="16" style="5" hidden="1" customWidth="1"/>
    <col min="42" max="48" width="16" style="3" hidden="1" customWidth="1"/>
    <col min="49" max="58" width="16" style="4" hidden="1" customWidth="1"/>
    <col min="59" max="60" width="0.140625" style="3" hidden="1" customWidth="1"/>
    <col min="61" max="16384" width="0.140625" style="2" hidden="1"/>
  </cols>
  <sheetData>
    <row r="1" spans="1:77" ht="6" customHeight="1" x14ac:dyDescent="0.25">
      <c r="A1" s="44"/>
      <c r="F1" s="44"/>
      <c r="H1" s="44"/>
      <c r="Y1" s="7"/>
      <c r="Z1" s="7"/>
      <c r="AA1" s="7"/>
      <c r="AB1" s="7"/>
      <c r="AC1" s="7"/>
    </row>
    <row r="2" spans="1:77" ht="20.25" thickBot="1" x14ac:dyDescent="0.3">
      <c r="A2" s="1"/>
      <c r="B2" s="269" t="s">
        <v>48</v>
      </c>
      <c r="C2" s="269"/>
      <c r="D2" s="270"/>
      <c r="E2" s="270"/>
      <c r="F2" s="43"/>
      <c r="G2" s="42"/>
      <c r="V2" s="120" t="s">
        <v>47</v>
      </c>
      <c r="W2" s="120" t="s">
        <v>46</v>
      </c>
      <c r="X2" s="121" t="s">
        <v>16</v>
      </c>
      <c r="Y2" s="122"/>
      <c r="Z2" s="123" t="s">
        <v>45</v>
      </c>
      <c r="AA2" s="124"/>
      <c r="AB2" s="41"/>
      <c r="AC2" s="41"/>
      <c r="AD2" s="40" t="s">
        <v>17</v>
      </c>
      <c r="AE2" s="39" t="s">
        <v>44</v>
      </c>
      <c r="AF2" s="37" t="s">
        <v>43</v>
      </c>
      <c r="AG2" s="37" t="s">
        <v>42</v>
      </c>
      <c r="AH2" s="37" t="s">
        <v>41</v>
      </c>
      <c r="AI2" s="37" t="s">
        <v>40</v>
      </c>
      <c r="AJ2" s="38" t="s">
        <v>39</v>
      </c>
      <c r="AK2" s="37" t="s">
        <v>38</v>
      </c>
      <c r="AL2" s="38" t="s">
        <v>37</v>
      </c>
      <c r="AM2" s="38" t="s">
        <v>35</v>
      </c>
      <c r="AN2" s="37" t="s">
        <v>33</v>
      </c>
      <c r="AO2" s="37" t="s">
        <v>32</v>
      </c>
      <c r="AP2" s="38" t="s">
        <v>36</v>
      </c>
      <c r="AQ2" s="38" t="s">
        <v>34</v>
      </c>
      <c r="AR2" s="36" t="s">
        <v>31</v>
      </c>
      <c r="AS2" s="36" t="s">
        <v>30</v>
      </c>
      <c r="AT2" s="36" t="s">
        <v>29</v>
      </c>
      <c r="AU2" s="36" t="s">
        <v>28</v>
      </c>
      <c r="AV2" s="35" t="s">
        <v>27</v>
      </c>
      <c r="AW2" s="35" t="s">
        <v>174</v>
      </c>
      <c r="AX2" s="34" t="s">
        <v>26</v>
      </c>
      <c r="AY2" s="34" t="s">
        <v>25</v>
      </c>
      <c r="AZ2" s="34" t="s">
        <v>24</v>
      </c>
      <c r="BA2" s="34" t="s">
        <v>23</v>
      </c>
      <c r="BB2" s="34" t="s">
        <v>22</v>
      </c>
      <c r="BC2" s="34" t="s">
        <v>21</v>
      </c>
      <c r="BD2" s="34" t="s">
        <v>20</v>
      </c>
      <c r="BE2" s="34" t="s">
        <v>19</v>
      </c>
      <c r="BF2" s="34" t="s">
        <v>18</v>
      </c>
      <c r="BG2" s="33"/>
      <c r="BH2" s="33"/>
      <c r="BI2" s="33"/>
      <c r="BJ2" s="23" t="s">
        <v>17</v>
      </c>
      <c r="BK2" s="2" t="s">
        <v>199</v>
      </c>
      <c r="BN2" s="23" t="s">
        <v>17</v>
      </c>
      <c r="BO2" s="2" t="s">
        <v>199</v>
      </c>
      <c r="BQ2" s="23" t="s">
        <v>17</v>
      </c>
      <c r="BR2" s="2" t="s">
        <v>199</v>
      </c>
      <c r="BT2" s="23" t="s">
        <v>17</v>
      </c>
      <c r="BU2" s="2" t="s">
        <v>199</v>
      </c>
      <c r="BW2"/>
      <c r="BX2"/>
      <c r="BY2"/>
    </row>
    <row r="3" spans="1:77" ht="24" customHeight="1" thickTop="1" x14ac:dyDescent="0.25">
      <c r="A3" s="1"/>
      <c r="B3" s="117" t="s">
        <v>16</v>
      </c>
      <c r="C3" s="112"/>
      <c r="D3" s="118" t="s">
        <v>15</v>
      </c>
      <c r="G3" s="1"/>
      <c r="V3" s="120" t="s">
        <v>155</v>
      </c>
      <c r="W3" s="120" t="s">
        <v>155</v>
      </c>
      <c r="X3" s="125">
        <f>IFERROR((SUMIFS(#REF!,#REF!,"T")+SUMIFS(#REF!,#REF!,"C"))/(COUNTIFS(#REF!,"T")+COUNTIFS(#REF!,"C")),0)</f>
        <v>0</v>
      </c>
      <c r="Y3" s="126">
        <f>100%-X3</f>
        <v>1</v>
      </c>
      <c r="Z3" s="123"/>
      <c r="AA3" s="124"/>
      <c r="AB3" s="6"/>
      <c r="AC3" s="6"/>
      <c r="AD3" s="32" t="s">
        <v>163</v>
      </c>
      <c r="AE3" s="31" t="s">
        <v>160</v>
      </c>
      <c r="AF3" s="30" t="s">
        <v>161</v>
      </c>
      <c r="AG3" s="30"/>
      <c r="AH3" s="29"/>
      <c r="AI3" s="129"/>
      <c r="AJ3" s="130"/>
      <c r="AK3" s="131"/>
      <c r="AL3" s="130">
        <v>42614</v>
      </c>
      <c r="AM3" s="130">
        <v>42643</v>
      </c>
      <c r="AN3" s="131">
        <v>22</v>
      </c>
      <c r="AO3" s="28">
        <v>0</v>
      </c>
      <c r="AP3" s="130"/>
      <c r="AQ3" s="130"/>
      <c r="AR3" s="132"/>
      <c r="AS3" s="26">
        <v>0</v>
      </c>
      <c r="AT3" s="26">
        <v>0</v>
      </c>
      <c r="AU3" s="26"/>
      <c r="AV3" s="14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6"/>
      <c r="BH3" s="26"/>
      <c r="BI3" s="14"/>
      <c r="BJ3" s="25"/>
      <c r="BK3" s="24"/>
      <c r="BL3" s="24"/>
      <c r="BN3" s="25"/>
      <c r="BO3" s="24"/>
      <c r="BQ3" s="25"/>
      <c r="BR3" s="24"/>
      <c r="BT3" s="25"/>
      <c r="BU3" s="24"/>
      <c r="BW3"/>
      <c r="BX3"/>
      <c r="BY3"/>
    </row>
    <row r="4" spans="1:77" x14ac:dyDescent="0.25">
      <c r="A4" s="1"/>
      <c r="D4" s="109" t="s">
        <v>14</v>
      </c>
      <c r="E4" s="22" t="str">
        <f>IF(X3=0,"Planned",IF(X3=1,"Completed","In-Progress"))</f>
        <v>Planned</v>
      </c>
      <c r="F4" s="21"/>
      <c r="G4" s="1"/>
      <c r="V4" s="120"/>
      <c r="W4" s="120"/>
      <c r="X4" s="121"/>
      <c r="Y4" s="122"/>
      <c r="Z4" s="123"/>
      <c r="AA4" s="124"/>
      <c r="AB4" s="6"/>
      <c r="AC4" s="6"/>
      <c r="BI4" s="14"/>
      <c r="BJ4" s="23" t="s">
        <v>197</v>
      </c>
      <c r="BK4" s="2" t="s">
        <v>13</v>
      </c>
      <c r="BN4" s="23" t="s">
        <v>197</v>
      </c>
      <c r="BO4" s="2" t="s">
        <v>12</v>
      </c>
      <c r="BQ4" s="23" t="s">
        <v>197</v>
      </c>
      <c r="BR4" s="2" t="s">
        <v>12</v>
      </c>
      <c r="BT4" s="23" t="s">
        <v>197</v>
      </c>
      <c r="BU4" s="2" t="s">
        <v>11</v>
      </c>
      <c r="BW4"/>
      <c r="BX4"/>
      <c r="BY4"/>
    </row>
    <row r="5" spans="1:77" x14ac:dyDescent="0.25">
      <c r="A5" s="1"/>
      <c r="D5" s="10" t="s">
        <v>10</v>
      </c>
      <c r="E5" s="22"/>
      <c r="F5" s="21"/>
      <c r="G5" s="1"/>
      <c r="V5" s="120"/>
      <c r="W5" s="120"/>
      <c r="X5" s="121" t="s">
        <v>9</v>
      </c>
      <c r="Y5" s="122" t="s">
        <v>8</v>
      </c>
      <c r="Z5" s="123"/>
      <c r="AA5" s="124"/>
      <c r="AB5" s="6"/>
      <c r="AC5" s="6"/>
      <c r="BI5" s="14"/>
      <c r="BJ5" s="16" t="s">
        <v>161</v>
      </c>
      <c r="BK5" s="18">
        <v>0</v>
      </c>
      <c r="BL5" s="17"/>
      <c r="BN5" s="16" t="s">
        <v>161</v>
      </c>
      <c r="BO5" s="15">
        <v>0</v>
      </c>
      <c r="BQ5" s="16" t="s">
        <v>198</v>
      </c>
      <c r="BR5" s="15">
        <v>0</v>
      </c>
      <c r="BT5" s="16" t="s">
        <v>198</v>
      </c>
      <c r="BU5" s="15">
        <v>1</v>
      </c>
      <c r="BW5"/>
      <c r="BX5"/>
      <c r="BY5"/>
    </row>
    <row r="6" spans="1:77" x14ac:dyDescent="0.25">
      <c r="A6" s="1"/>
      <c r="D6" s="10" t="s">
        <v>7</v>
      </c>
      <c r="E6" s="20" t="e">
        <f>MIN(#REF!)</f>
        <v>#REF!</v>
      </c>
      <c r="F6" s="19"/>
      <c r="G6" s="1"/>
      <c r="V6" s="120"/>
      <c r="W6" s="120"/>
      <c r="X6" s="121" t="s">
        <v>6</v>
      </c>
      <c r="Y6" s="122" t="s">
        <v>162</v>
      </c>
      <c r="Z6" s="123" t="str">
        <f>$Y$5&amp;" "&amp;TEXT(Y6,"#,##0")</f>
        <v>$ 31,726</v>
      </c>
      <c r="AA6" s="124"/>
      <c r="AB6" s="6"/>
      <c r="AC6" s="6"/>
      <c r="BI6" s="14"/>
      <c r="BJ6"/>
      <c r="BK6"/>
      <c r="BL6" s="17"/>
      <c r="BN6"/>
      <c r="BO6"/>
      <c r="BQ6"/>
      <c r="BR6"/>
      <c r="BT6"/>
      <c r="BU6"/>
      <c r="BW6"/>
      <c r="BX6"/>
      <c r="BY6"/>
    </row>
    <row r="7" spans="1:77" x14ac:dyDescent="0.25">
      <c r="A7" s="1"/>
      <c r="D7" s="10" t="s">
        <v>5</v>
      </c>
      <c r="E7" s="20" t="e">
        <f>MAX(#REF!)</f>
        <v>#REF!</v>
      </c>
      <c r="F7" s="19"/>
      <c r="G7" s="1"/>
      <c r="V7" s="120"/>
      <c r="W7" s="120"/>
      <c r="X7" s="121" t="s">
        <v>4</v>
      </c>
      <c r="Y7" s="122" t="s">
        <v>159</v>
      </c>
      <c r="Z7" s="123" t="str">
        <f>$Y$5&amp;" "&amp;TEXT(Y7,"#,##0")</f>
        <v>$ ,0</v>
      </c>
      <c r="AA7" s="124"/>
      <c r="AB7" s="6"/>
      <c r="AC7" s="6"/>
      <c r="BI7" s="14"/>
      <c r="BJ7"/>
      <c r="BK7"/>
      <c r="BL7" s="17"/>
      <c r="BN7"/>
      <c r="BO7"/>
      <c r="BQ7"/>
      <c r="BR7"/>
      <c r="BT7"/>
      <c r="BU7"/>
      <c r="BW7"/>
      <c r="BX7"/>
      <c r="BY7"/>
    </row>
    <row r="8" spans="1:77" x14ac:dyDescent="0.25">
      <c r="A8" s="1"/>
      <c r="D8" s="109" t="s">
        <v>3</v>
      </c>
      <c r="E8" s="12" t="e">
        <f>COUNTIFS(#REF!,"T")+COUNTIFS(#REF!,"C")</f>
        <v>#REF!</v>
      </c>
      <c r="F8" s="11"/>
      <c r="G8" s="1"/>
      <c r="V8" s="120"/>
      <c r="W8" s="120"/>
      <c r="X8" s="121" t="s">
        <v>2</v>
      </c>
      <c r="Y8" s="122" t="e">
        <f>SUMIFS(#REF!,#REF!,"T")+SUMIFS(#REF!,#REF!,"MP")</f>
        <v>#REF!</v>
      </c>
      <c r="Z8" s="122" t="e">
        <f>Y5&amp;" "&amp;TEXT(Y8,"#,##0")&amp;" spent"</f>
        <v>#REF!</v>
      </c>
      <c r="AA8" s="124"/>
      <c r="AB8" s="6"/>
      <c r="AC8" s="6"/>
      <c r="BI8" s="14"/>
      <c r="BJ8"/>
      <c r="BK8"/>
      <c r="BN8"/>
      <c r="BO8"/>
      <c r="BQ8"/>
      <c r="BR8"/>
      <c r="BT8"/>
      <c r="BU8"/>
      <c r="BW8"/>
      <c r="BX8"/>
      <c r="BY8"/>
    </row>
    <row r="9" spans="1:77" x14ac:dyDescent="0.25">
      <c r="A9" s="1"/>
      <c r="B9" s="271"/>
      <c r="C9" s="272"/>
      <c r="D9" s="10" t="s">
        <v>146</v>
      </c>
      <c r="E9" s="12" t="e">
        <f>COUNTIFS(#REF!,"T",#REF!,1)+COUNTIFS(#REF!,"C",#REF!,1)</f>
        <v>#REF!</v>
      </c>
      <c r="F9" s="11"/>
      <c r="G9" s="1"/>
      <c r="V9" s="120"/>
      <c r="W9" s="120"/>
      <c r="X9" s="121" t="s">
        <v>1</v>
      </c>
      <c r="Y9" s="126">
        <f>IFERROR(Y8/Y6,0)</f>
        <v>0</v>
      </c>
      <c r="Z9" s="126">
        <f>1-Y9</f>
        <v>1</v>
      </c>
      <c r="AA9" s="127"/>
      <c r="AB9" s="13"/>
      <c r="AC9" s="13"/>
      <c r="BJ9"/>
      <c r="BK9"/>
      <c r="BN9"/>
      <c r="BO9"/>
      <c r="BQ9"/>
      <c r="BR9"/>
      <c r="BT9"/>
      <c r="BU9"/>
      <c r="BW9"/>
      <c r="BX9"/>
      <c r="BY9"/>
    </row>
    <row r="10" spans="1:77" x14ac:dyDescent="0.25">
      <c r="A10" s="1"/>
      <c r="D10" s="10" t="s">
        <v>147</v>
      </c>
      <c r="E10" s="12" t="e">
        <f ca="1">COUNTIFS(#REF!,"T",#REF!,"&lt;"&amp;1,#REF!,"&gt;"&amp;0,#REF!,"&gt;="&amp;TODAY())+COUNTIFS(#REF!,"C",#REF!,"&lt;"&amp;1,#REF!,"&gt;"&amp;0,#REF!,"&gt;="&amp;TODAY())</f>
        <v>#REF!</v>
      </c>
      <c r="F10" s="11"/>
      <c r="G10" s="1"/>
      <c r="V10" s="120"/>
      <c r="W10" s="120"/>
      <c r="X10" s="120"/>
      <c r="Y10" s="128"/>
      <c r="Z10" s="128"/>
      <c r="AA10" s="128"/>
      <c r="AB10" s="7"/>
      <c r="AC10" s="7"/>
      <c r="BJ10"/>
      <c r="BK10"/>
      <c r="BN10"/>
      <c r="BO10"/>
      <c r="BQ10"/>
      <c r="BR10"/>
      <c r="BT10"/>
      <c r="BU10"/>
    </row>
    <row r="11" spans="1:77" x14ac:dyDescent="0.25">
      <c r="A11" s="1"/>
      <c r="D11" s="10" t="s">
        <v>148</v>
      </c>
      <c r="E11" s="12" t="e">
        <f ca="1">COUNTIFS(#REF!,"T",#REF!,0,#REF!,"&gt;="&amp;TODAY())+COUNTIFS(#REF!,"C",#REF!,0,#REF!,"&gt;="&amp;TODAY())</f>
        <v>#REF!</v>
      </c>
      <c r="F11" s="11"/>
      <c r="G11" s="1"/>
      <c r="V11" s="120"/>
      <c r="W11" s="120"/>
      <c r="X11" s="120" t="s">
        <v>154</v>
      </c>
      <c r="Y11" s="128" t="e">
        <f>SUMIFS(#REF!,#REF!,"T")+SUMIFS(#REF!,#REF!,"MP")</f>
        <v>#REF!</v>
      </c>
      <c r="Z11" s="123" t="e">
        <f>$Y$5&amp;" "&amp;TEXT(Y11,"#,##0")</f>
        <v>#REF!</v>
      </c>
      <c r="AA11" s="124"/>
      <c r="AB11" s="6"/>
      <c r="AC11" s="6"/>
      <c r="BJ11"/>
      <c r="BK11"/>
      <c r="BN11"/>
      <c r="BO11"/>
      <c r="BQ11"/>
      <c r="BR11"/>
      <c r="BT11"/>
      <c r="BU11"/>
    </row>
    <row r="12" spans="1:77" x14ac:dyDescent="0.25">
      <c r="A12" s="1"/>
      <c r="D12" s="10" t="s">
        <v>149</v>
      </c>
      <c r="E12" s="9" t="e">
        <f ca="1">COUNTIFS(#REF!,"T",#REF!,"&lt;&gt;"&amp;1,#REF!,"&lt;"&amp;TODAY())+COUNTIFS(#REF!,"C",#REF!,"&lt;&gt;"&amp;1,#REF!,"&lt;"&amp;TODAY())</f>
        <v>#REF!</v>
      </c>
      <c r="F12" s="8"/>
      <c r="G12" s="1"/>
      <c r="V12" s="120"/>
      <c r="W12" s="120"/>
      <c r="X12" s="120" t="s">
        <v>153</v>
      </c>
      <c r="Y12" s="128" t="e">
        <f>SUMIFS(#REF!,#REF!,"T")+SUMIFS(#REF!,#REF!,"MP")</f>
        <v>#REF!</v>
      </c>
      <c r="Z12" s="123" t="e">
        <f>$Y$5&amp;" "&amp;TEXT(Y12,"#,##0")</f>
        <v>#REF!</v>
      </c>
      <c r="AA12" s="124"/>
      <c r="AB12" s="6"/>
      <c r="AC12" s="6"/>
      <c r="BJ12"/>
      <c r="BK12"/>
      <c r="BN12"/>
      <c r="BO12"/>
      <c r="BQ12"/>
      <c r="BR12"/>
      <c r="BT12"/>
      <c r="BU12"/>
    </row>
    <row r="13" spans="1:77" ht="5.25" customHeight="1" x14ac:dyDescent="0.25">
      <c r="A13" s="1"/>
      <c r="B13" s="114"/>
      <c r="C13" s="115"/>
      <c r="D13" s="116"/>
      <c r="E13" s="1"/>
      <c r="F13" s="1"/>
      <c r="G13" s="1"/>
      <c r="V13" s="120"/>
      <c r="W13" s="120"/>
      <c r="X13" s="120" t="s">
        <v>152</v>
      </c>
      <c r="Y13" s="128" t="e">
        <f>SUMIFS(#REF!,#REF!,"T")+SUMIFS(#REF!,#REF!,"MP")</f>
        <v>#REF!</v>
      </c>
      <c r="Z13" s="123" t="e">
        <f>$Y$5&amp;" "&amp;TEXT(Y13,"#,##0")</f>
        <v>#REF!</v>
      </c>
      <c r="AA13" s="124"/>
      <c r="AB13" s="6"/>
      <c r="AC13" s="6"/>
      <c r="BJ13"/>
      <c r="BK13"/>
      <c r="BN13"/>
      <c r="BO13"/>
      <c r="BQ13"/>
      <c r="BR13"/>
      <c r="BT13"/>
      <c r="BU13"/>
    </row>
    <row r="14" spans="1:77" x14ac:dyDescent="0.25">
      <c r="A14" s="1"/>
      <c r="B14" s="273" t="s">
        <v>0</v>
      </c>
      <c r="C14" s="273"/>
      <c r="D14" s="273"/>
      <c r="E14" s="273"/>
      <c r="F14" s="273"/>
      <c r="G14" s="1"/>
      <c r="V14" s="120"/>
      <c r="W14" s="120"/>
      <c r="X14" s="120"/>
      <c r="Y14" s="128"/>
      <c r="Z14" s="124"/>
      <c r="AA14" s="124"/>
      <c r="AB14" s="6"/>
      <c r="AC14" s="6"/>
      <c r="BJ14"/>
      <c r="BK14"/>
      <c r="BN14"/>
      <c r="BO14"/>
      <c r="BQ14"/>
      <c r="BR14"/>
      <c r="BT14"/>
      <c r="BU14"/>
    </row>
    <row r="15" spans="1:77" s="110" customFormat="1" ht="15" customHeight="1" x14ac:dyDescent="0.25">
      <c r="A15" s="1"/>
      <c r="B15" s="44"/>
      <c r="C15" s="44"/>
      <c r="D15" s="44"/>
      <c r="E15" s="44"/>
      <c r="F15" s="44"/>
      <c r="G15" s="1"/>
      <c r="H15" s="44"/>
      <c r="V15" s="120"/>
      <c r="W15" s="120"/>
      <c r="X15" s="120"/>
      <c r="Y15" s="120"/>
      <c r="Z15" s="120"/>
      <c r="AA15" s="120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5"/>
      <c r="AP15" s="3"/>
      <c r="AQ15" s="3"/>
      <c r="AR15" s="3"/>
      <c r="AS15" s="3"/>
      <c r="AT15" s="3"/>
      <c r="AU15" s="3"/>
      <c r="AV15" s="3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111"/>
      <c r="BH15" s="111"/>
      <c r="BJ15"/>
      <c r="BK15"/>
      <c r="BN15"/>
      <c r="BO15"/>
      <c r="BQ15" s="44"/>
      <c r="BR15" s="44"/>
      <c r="BT15" s="44"/>
      <c r="BU15" s="44"/>
    </row>
    <row r="16" spans="1:77" x14ac:dyDescent="0.25">
      <c r="A16" s="1"/>
      <c r="G16" s="1"/>
      <c r="V16" s="120"/>
      <c r="W16" s="120"/>
      <c r="X16" s="120" t="str">
        <f ca="1">SUM(INDIRECT("'Project Dashboard'!E10:E12"))&amp;" Tasks Left"</f>
        <v>0 Tasks Left</v>
      </c>
      <c r="Y16" s="120"/>
      <c r="Z16" s="120"/>
      <c r="AA16" s="120"/>
      <c r="BJ16"/>
      <c r="BK16"/>
      <c r="BN16"/>
      <c r="BO16"/>
    </row>
    <row r="17" spans="1:67" ht="21" customHeight="1" x14ac:dyDescent="0.25">
      <c r="A17" s="1"/>
      <c r="G17" s="1"/>
      <c r="BJ17"/>
      <c r="BK17"/>
      <c r="BN17"/>
      <c r="BO17"/>
    </row>
    <row r="18" spans="1:67" ht="4.5" customHeight="1" x14ac:dyDescent="0.25">
      <c r="A18" s="1"/>
      <c r="B18" s="1"/>
      <c r="C18" s="1"/>
      <c r="D18" s="1"/>
      <c r="E18" s="1"/>
      <c r="F18" s="1"/>
      <c r="G18" s="1"/>
      <c r="BJ18"/>
      <c r="BK18"/>
      <c r="BN18"/>
      <c r="BO18"/>
    </row>
    <row r="19" spans="1:67" x14ac:dyDescent="0.25">
      <c r="A19" s="1"/>
      <c r="G19" s="1"/>
      <c r="BJ19"/>
      <c r="BK19"/>
      <c r="BN19"/>
      <c r="BO19"/>
    </row>
    <row r="20" spans="1:67" x14ac:dyDescent="0.25">
      <c r="A20" s="1"/>
      <c r="B20" s="113" t="s">
        <v>150</v>
      </c>
      <c r="D20" s="119" t="s">
        <v>151</v>
      </c>
      <c r="G20" s="1"/>
      <c r="X20"/>
      <c r="Y20"/>
      <c r="Z20"/>
      <c r="BJ20"/>
      <c r="BK20"/>
      <c r="BN20"/>
      <c r="BO20"/>
    </row>
    <row r="21" spans="1:67" x14ac:dyDescent="0.25">
      <c r="A21" s="1"/>
      <c r="G21" s="1"/>
      <c r="X21"/>
      <c r="Y21"/>
      <c r="Z21"/>
      <c r="BJ21"/>
      <c r="BK21"/>
      <c r="BN21"/>
      <c r="BO21"/>
    </row>
    <row r="22" spans="1:67" x14ac:dyDescent="0.25">
      <c r="A22" s="1"/>
      <c r="G22" s="1"/>
      <c r="X22"/>
      <c r="Y22"/>
      <c r="Z22"/>
      <c r="BJ22"/>
      <c r="BK22"/>
      <c r="BN22"/>
      <c r="BO22"/>
    </row>
    <row r="23" spans="1:67" x14ac:dyDescent="0.25">
      <c r="A23" s="1"/>
      <c r="G23" s="1"/>
      <c r="X23"/>
      <c r="Y23"/>
      <c r="Z23"/>
      <c r="BJ23"/>
      <c r="BK23"/>
      <c r="BN23"/>
      <c r="BO23"/>
    </row>
    <row r="24" spans="1:67" x14ac:dyDescent="0.25">
      <c r="A24" s="1"/>
      <c r="G24" s="1"/>
      <c r="BJ24"/>
      <c r="BK24"/>
      <c r="BN24"/>
      <c r="BO24"/>
    </row>
    <row r="25" spans="1:67" x14ac:dyDescent="0.25">
      <c r="A25" s="1"/>
      <c r="G25" s="1"/>
      <c r="BJ25"/>
      <c r="BK25"/>
      <c r="BN25"/>
      <c r="BO25"/>
    </row>
    <row r="26" spans="1:67" s="110" customFormat="1" ht="15" customHeight="1" x14ac:dyDescent="0.25">
      <c r="A26" s="1"/>
      <c r="B26"/>
      <c r="C26"/>
      <c r="D26"/>
      <c r="E26"/>
      <c r="F26"/>
      <c r="G26" s="1"/>
      <c r="H26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5"/>
      <c r="AP26" s="3"/>
      <c r="AQ26" s="3"/>
      <c r="AR26" s="3"/>
      <c r="AS26" s="3"/>
      <c r="AT26" s="3"/>
      <c r="AU26" s="3"/>
      <c r="AV26" s="3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111"/>
      <c r="BH26" s="111"/>
      <c r="BJ26"/>
      <c r="BK26"/>
      <c r="BN26"/>
      <c r="BO26"/>
    </row>
    <row r="27" spans="1:67" x14ac:dyDescent="0.25">
      <c r="A27" s="1"/>
      <c r="B27" s="44"/>
      <c r="C27" s="44"/>
      <c r="D27" s="44"/>
      <c r="E27" s="44"/>
      <c r="F27" s="44"/>
      <c r="G27" s="1"/>
      <c r="H27" s="44"/>
      <c r="BJ27"/>
      <c r="BK27"/>
      <c r="BN27"/>
      <c r="BO27"/>
    </row>
    <row r="28" spans="1:67" x14ac:dyDescent="0.25">
      <c r="A28" s="1"/>
      <c r="G28" s="1"/>
      <c r="BJ28"/>
      <c r="BK28"/>
      <c r="BN28"/>
      <c r="BO28"/>
    </row>
    <row r="29" spans="1:67" x14ac:dyDescent="0.25">
      <c r="A29" s="1"/>
      <c r="G29" s="1"/>
      <c r="BJ29"/>
      <c r="BK29"/>
      <c r="BN29"/>
      <c r="BO29"/>
    </row>
    <row r="30" spans="1:67" x14ac:dyDescent="0.25">
      <c r="A30" s="1"/>
      <c r="G30" s="1"/>
      <c r="BJ30"/>
      <c r="BK30"/>
      <c r="BN30"/>
      <c r="BO30"/>
    </row>
    <row r="31" spans="1:67" x14ac:dyDescent="0.25">
      <c r="A31" s="1"/>
      <c r="G31" s="1"/>
      <c r="BJ31"/>
      <c r="BK31"/>
      <c r="BN31"/>
      <c r="BO31"/>
    </row>
    <row r="32" spans="1:67" x14ac:dyDescent="0.25">
      <c r="A32" s="1"/>
      <c r="G32" s="1"/>
      <c r="BJ32"/>
      <c r="BK32"/>
      <c r="BN32"/>
      <c r="BO32"/>
    </row>
    <row r="33" spans="1:67" x14ac:dyDescent="0.25">
      <c r="A33" s="1"/>
      <c r="G33" s="1"/>
      <c r="BJ33"/>
      <c r="BK33"/>
      <c r="BN33"/>
      <c r="BO33"/>
    </row>
    <row r="34" spans="1:67" ht="15" customHeight="1" x14ac:dyDescent="0.25">
      <c r="A34" s="1"/>
      <c r="B34" s="44"/>
      <c r="C34" s="44"/>
      <c r="D34" s="44"/>
      <c r="E34" s="44"/>
      <c r="F34" s="44"/>
      <c r="G34" s="1"/>
      <c r="BJ34"/>
      <c r="BK34"/>
      <c r="BN34"/>
      <c r="BO34"/>
    </row>
    <row r="35" spans="1:67" ht="15" customHeight="1" x14ac:dyDescent="0.25">
      <c r="A35" s="1"/>
      <c r="B35" s="44"/>
      <c r="C35" s="44"/>
      <c r="D35" s="44"/>
      <c r="E35" s="44"/>
      <c r="F35" s="44"/>
      <c r="G35" s="1"/>
      <c r="BJ35"/>
      <c r="BK35"/>
      <c r="BN35"/>
      <c r="BO35"/>
    </row>
    <row r="36" spans="1:67" ht="5.0999999999999996" customHeight="1" x14ac:dyDescent="0.25">
      <c r="A36" s="1"/>
      <c r="B36" s="1"/>
      <c r="C36" s="1"/>
      <c r="D36" s="1"/>
      <c r="E36" s="1"/>
      <c r="F36" s="1"/>
      <c r="G36" s="1"/>
      <c r="BJ36"/>
      <c r="BK36"/>
      <c r="BN36"/>
      <c r="BO36"/>
    </row>
    <row r="37" spans="1:67" ht="5.0999999999999996" customHeight="1" x14ac:dyDescent="0.25">
      <c r="A37" s="1"/>
      <c r="B37" s="1"/>
      <c r="C37" s="1"/>
      <c r="D37" s="1"/>
      <c r="E37" s="1"/>
      <c r="F37" s="1"/>
      <c r="G37" s="1"/>
      <c r="BJ37"/>
      <c r="BK37"/>
      <c r="BN37"/>
      <c r="BO37"/>
    </row>
    <row r="38" spans="1:67" x14ac:dyDescent="0.25">
      <c r="A38" s="1"/>
      <c r="G38" s="1"/>
      <c r="BJ38"/>
      <c r="BK38"/>
      <c r="BN38"/>
      <c r="BO38"/>
    </row>
    <row r="39" spans="1:67" x14ac:dyDescent="0.25">
      <c r="A39" s="1"/>
      <c r="G39" s="1"/>
      <c r="BJ39"/>
      <c r="BK39"/>
      <c r="BN39"/>
      <c r="BO39"/>
    </row>
    <row r="40" spans="1:67" x14ac:dyDescent="0.25">
      <c r="A40" s="1"/>
      <c r="G40" s="1"/>
      <c r="BJ40"/>
      <c r="BK40"/>
      <c r="BN40"/>
      <c r="BO40"/>
    </row>
    <row r="41" spans="1:67" x14ac:dyDescent="0.25">
      <c r="A41" s="1"/>
      <c r="G41" s="1"/>
      <c r="BJ41"/>
      <c r="BK41"/>
      <c r="BN41"/>
      <c r="BO41"/>
    </row>
    <row r="42" spans="1:67" x14ac:dyDescent="0.25">
      <c r="A42" s="1"/>
      <c r="G42" s="1"/>
      <c r="BJ42"/>
      <c r="BK42"/>
      <c r="BN42"/>
      <c r="BO42"/>
    </row>
    <row r="43" spans="1:67" x14ac:dyDescent="0.25">
      <c r="A43" s="1"/>
      <c r="G43" s="1"/>
      <c r="BJ43"/>
      <c r="BK43"/>
      <c r="BN43"/>
      <c r="BO43"/>
    </row>
    <row r="44" spans="1:67" x14ac:dyDescent="0.25">
      <c r="A44" s="1"/>
      <c r="G44" s="1"/>
    </row>
    <row r="45" spans="1:67" x14ac:dyDescent="0.25">
      <c r="A45" s="1"/>
      <c r="G45" s="1"/>
    </row>
    <row r="46" spans="1:67" x14ac:dyDescent="0.25">
      <c r="A46" s="1"/>
      <c r="G46" s="1"/>
    </row>
    <row r="47" spans="1:67" x14ac:dyDescent="0.25">
      <c r="A47" s="1"/>
      <c r="G47" s="1"/>
    </row>
    <row r="48" spans="1:67" x14ac:dyDescent="0.25">
      <c r="A48" s="1"/>
      <c r="G48" s="1"/>
    </row>
    <row r="49" spans="1:7" x14ac:dyDescent="0.25">
      <c r="A49" s="1"/>
      <c r="G49" s="1"/>
    </row>
    <row r="50" spans="1:7" x14ac:dyDescent="0.25">
      <c r="A50" s="1"/>
      <c r="G50" s="1"/>
    </row>
    <row r="51" spans="1:7" x14ac:dyDescent="0.25">
      <c r="A51" s="1"/>
      <c r="G51" s="1"/>
    </row>
    <row r="52" spans="1:7" x14ac:dyDescent="0.25">
      <c r="A52" s="1"/>
      <c r="G52" s="1"/>
    </row>
    <row r="53" spans="1:7" x14ac:dyDescent="0.25">
      <c r="A53" s="1"/>
      <c r="G53" s="1"/>
    </row>
    <row r="54" spans="1:7" x14ac:dyDescent="0.25">
      <c r="A54" s="1"/>
      <c r="G54" s="1"/>
    </row>
    <row r="55" spans="1:7" x14ac:dyDescent="0.25">
      <c r="A55" s="1"/>
      <c r="G55" s="1"/>
    </row>
    <row r="56" spans="1:7" x14ac:dyDescent="0.25">
      <c r="A56" s="1"/>
      <c r="G56" s="1"/>
    </row>
    <row r="57" spans="1:7" x14ac:dyDescent="0.25">
      <c r="A57" s="1"/>
      <c r="G57" s="1"/>
    </row>
    <row r="58" spans="1:7" x14ac:dyDescent="0.25">
      <c r="A58" s="1"/>
      <c r="G58" s="1"/>
    </row>
    <row r="59" spans="1:7" x14ac:dyDescent="0.25">
      <c r="A59" s="1"/>
      <c r="G59" s="1"/>
    </row>
    <row r="60" spans="1:7" x14ac:dyDescent="0.25">
      <c r="A60" s="1"/>
      <c r="G60" s="1"/>
    </row>
    <row r="61" spans="1:7" x14ac:dyDescent="0.25">
      <c r="A61" s="1"/>
      <c r="G61" s="1"/>
    </row>
    <row r="62" spans="1:7" x14ac:dyDescent="0.25">
      <c r="A62" s="1"/>
      <c r="G62" s="1"/>
    </row>
    <row r="63" spans="1:7" x14ac:dyDescent="0.25">
      <c r="A63" s="1"/>
      <c r="G63" s="1"/>
    </row>
    <row r="64" spans="1:7" x14ac:dyDescent="0.25">
      <c r="A64" s="1"/>
      <c r="G64" s="1"/>
    </row>
    <row r="65" spans="1:7" x14ac:dyDescent="0.25">
      <c r="A65" s="1"/>
      <c r="G65" s="1"/>
    </row>
    <row r="66" spans="1:7" ht="21.75" customHeight="1" x14ac:dyDescent="0.25">
      <c r="A66" s="1"/>
      <c r="G66" s="1"/>
    </row>
    <row r="67" spans="1:7" ht="5.25" customHeight="1" x14ac:dyDescent="0.25">
      <c r="A67" s="1"/>
      <c r="G67" s="1"/>
    </row>
    <row r="68" spans="1:7" x14ac:dyDescent="0.25">
      <c r="A68" s="1"/>
      <c r="G68" s="1"/>
    </row>
    <row r="69" spans="1:7" x14ac:dyDescent="0.25">
      <c r="A69" s="1"/>
      <c r="B69" s="1"/>
      <c r="C69" s="1"/>
      <c r="D69" s="1"/>
      <c r="E69" s="1"/>
      <c r="F69" s="1"/>
      <c r="G69" s="1"/>
    </row>
    <row r="86" spans="7:7" ht="4.1500000000000004" customHeight="1" x14ac:dyDescent="0.25"/>
    <row r="89" spans="7:7" x14ac:dyDescent="0.25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0" priority="2" operator="greaterThan">
      <formula>0</formula>
    </cfRule>
  </conditionalFormatting>
  <dataValidations count="1">
    <dataValidation type="list" allowBlank="1" showInputMessage="1" showErrorMessage="1" sqref="D2:E2" xr:uid="{00000000-0002-0000-01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133350</xdr:colOff>
                    <xdr:row>1</xdr:row>
                    <xdr:rowOff>0</xdr:rowOff>
                  </from>
                  <to>
                    <xdr:col>5</xdr:col>
                    <xdr:colOff>676275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VTB34"/>
  <sheetViews>
    <sheetView showGridLines="0" showRowColHeaders="0" topLeftCell="G6" workbookViewId="0">
      <selection activeCell="G6" sqref="G6"/>
    </sheetView>
  </sheetViews>
  <sheetFormatPr baseColWidth="10" defaultColWidth="0" defaultRowHeight="16.149999999999999" customHeight="1" x14ac:dyDescent="0.2"/>
  <cols>
    <col min="1" max="1" width="5.28515625" style="45" hidden="1" customWidth="1"/>
    <col min="2" max="2" width="3.140625" style="45" hidden="1" customWidth="1"/>
    <col min="3" max="3" width="11.28515625" style="45" hidden="1" customWidth="1"/>
    <col min="4" max="4" width="11" style="45" hidden="1" customWidth="1"/>
    <col min="5" max="5" width="13" style="45" hidden="1" customWidth="1"/>
    <col min="6" max="6" width="12.28515625" style="45" hidden="1" customWidth="1"/>
    <col min="7" max="7" width="4.140625" style="52" customWidth="1"/>
    <col min="8" max="8" width="40.28515625" style="51" customWidth="1"/>
    <col min="9" max="9" width="17.28515625" style="51" customWidth="1"/>
    <col min="10" max="10" width="10.85546875" style="162" hidden="1" customWidth="1"/>
    <col min="11" max="12" width="14.7109375" style="50" hidden="1" customWidth="1"/>
    <col min="13" max="13" width="10.28515625" style="49" hidden="1" customWidth="1"/>
    <col min="14" max="15" width="14.7109375" style="143" customWidth="1"/>
    <col min="16" max="16" width="8.85546875" style="156" customWidth="1"/>
    <col min="17" max="17" width="8.7109375" style="151" customWidth="1"/>
    <col min="18" max="19" width="14.7109375" style="50" hidden="1" customWidth="1"/>
    <col min="20" max="20" width="8.7109375" style="49" hidden="1" customWidth="1"/>
    <col min="21" max="23" width="7" style="159" hidden="1" customWidth="1"/>
    <col min="24" max="24" width="14.28515625" style="48" hidden="1" customWidth="1"/>
    <col min="25" max="25" width="7.28515625" style="48" hidden="1" customWidth="1"/>
    <col min="26" max="26" width="6.28515625" style="48" hidden="1" customWidth="1"/>
    <col min="27" max="27" width="6.85546875" style="48" hidden="1" customWidth="1"/>
    <col min="28" max="28" width="6" style="48" hidden="1" customWidth="1"/>
    <col min="29" max="84" width="2.28515625" style="47" customWidth="1"/>
    <col min="85" max="85" width="9" style="46" hidden="1" customWidth="1"/>
    <col min="86" max="16384" width="9" style="45" hidden="1"/>
  </cols>
  <sheetData>
    <row r="1" spans="1:2129 15008:15070 15386:15394" ht="15" hidden="1" x14ac:dyDescent="0.25">
      <c r="A1" s="45" t="s">
        <v>17</v>
      </c>
      <c r="B1" s="45" t="s">
        <v>76</v>
      </c>
      <c r="C1" t="s">
        <v>75</v>
      </c>
      <c r="D1" s="45" t="s">
        <v>74</v>
      </c>
      <c r="E1" s="45" t="s">
        <v>73</v>
      </c>
      <c r="F1" s="45" t="s">
        <v>72</v>
      </c>
      <c r="G1" s="100" t="s">
        <v>44</v>
      </c>
      <c r="H1" s="99" t="s">
        <v>43</v>
      </c>
      <c r="I1" s="98" t="s">
        <v>42</v>
      </c>
      <c r="J1" s="96" t="s">
        <v>41</v>
      </c>
      <c r="K1" s="98" t="s">
        <v>40</v>
      </c>
      <c r="L1" s="97" t="s">
        <v>39</v>
      </c>
      <c r="M1" s="96" t="s">
        <v>38</v>
      </c>
      <c r="N1" s="139" t="s">
        <v>37</v>
      </c>
      <c r="O1" s="139" t="s">
        <v>35</v>
      </c>
      <c r="P1" s="152" t="s">
        <v>33</v>
      </c>
      <c r="Q1" s="144" t="s">
        <v>32</v>
      </c>
      <c r="R1" s="97" t="s">
        <v>36</v>
      </c>
      <c r="S1" s="97" t="s">
        <v>34</v>
      </c>
      <c r="T1" s="96" t="s">
        <v>31</v>
      </c>
      <c r="U1" s="164" t="s">
        <v>30</v>
      </c>
      <c r="V1" s="164" t="s">
        <v>29</v>
      </c>
      <c r="W1" s="164" t="s">
        <v>28</v>
      </c>
      <c r="X1" s="95" t="s">
        <v>27</v>
      </c>
      <c r="Y1" s="33" t="s">
        <v>145</v>
      </c>
      <c r="Z1" s="33" t="s">
        <v>144</v>
      </c>
      <c r="AA1" s="33" t="s">
        <v>170</v>
      </c>
      <c r="AB1" s="33" t="s">
        <v>171</v>
      </c>
      <c r="AC1" s="47" t="s">
        <v>143</v>
      </c>
      <c r="CF1" s="47" t="s">
        <v>142</v>
      </c>
      <c r="CCW1" s="45" t="s">
        <v>141</v>
      </c>
      <c r="VEF1" s="45" t="s">
        <v>140</v>
      </c>
      <c r="VEG1" s="45" t="s">
        <v>4</v>
      </c>
      <c r="VEH1" s="45" t="s">
        <v>6</v>
      </c>
      <c r="VEI1" s="45" t="s">
        <v>139</v>
      </c>
      <c r="VEJ1" s="45" t="s">
        <v>138</v>
      </c>
      <c r="VEK1" s="45" t="s">
        <v>137</v>
      </c>
      <c r="VEL1" s="45" t="s">
        <v>136</v>
      </c>
      <c r="VEM1" s="45" t="s">
        <v>135</v>
      </c>
      <c r="VEN1" s="45" t="s">
        <v>134</v>
      </c>
      <c r="VEO1" s="45" t="s">
        <v>133</v>
      </c>
      <c r="VEP1" s="45" t="s">
        <v>179</v>
      </c>
      <c r="VEQ1" s="45" t="s">
        <v>180</v>
      </c>
      <c r="VER1" s="45" t="s">
        <v>172</v>
      </c>
      <c r="VES1" s="45" t="s">
        <v>173</v>
      </c>
      <c r="VET1" s="45" t="s">
        <v>132</v>
      </c>
      <c r="VEU1" s="45" t="s">
        <v>131</v>
      </c>
      <c r="VEV1" s="45" t="s">
        <v>130</v>
      </c>
      <c r="VEW1" s="45" t="s">
        <v>129</v>
      </c>
      <c r="VEX1" s="45" t="s">
        <v>128</v>
      </c>
      <c r="VEY1" s="45" t="s">
        <v>127</v>
      </c>
      <c r="VEZ1" s="45" t="s">
        <v>126</v>
      </c>
      <c r="VFA1" s="45" t="s">
        <v>125</v>
      </c>
      <c r="VFB1" s="45" t="s">
        <v>124</v>
      </c>
      <c r="VFC1" s="45" t="s">
        <v>123</v>
      </c>
      <c r="VFD1" s="45" t="s">
        <v>122</v>
      </c>
      <c r="VFE1" s="45" t="s">
        <v>121</v>
      </c>
      <c r="VFF1" s="45" t="s">
        <v>120</v>
      </c>
      <c r="VFG1" s="45" t="s">
        <v>119</v>
      </c>
      <c r="VFH1" s="45" t="s">
        <v>118</v>
      </c>
      <c r="VFI1" s="45" t="s">
        <v>117</v>
      </c>
      <c r="VFJ1" s="45" t="s">
        <v>116</v>
      </c>
      <c r="VFK1" s="45" t="s">
        <v>115</v>
      </c>
      <c r="VFL1" s="45" t="s">
        <v>114</v>
      </c>
      <c r="VFM1" s="45" t="s">
        <v>166</v>
      </c>
      <c r="VFN1" s="45" t="s">
        <v>113</v>
      </c>
      <c r="VFO1" s="45" t="s">
        <v>112</v>
      </c>
      <c r="VFP1" s="45" t="s">
        <v>111</v>
      </c>
      <c r="VFQ1" s="45" t="s">
        <v>110</v>
      </c>
      <c r="VFR1" s="45" t="s">
        <v>109</v>
      </c>
      <c r="VFS1" s="45" t="s">
        <v>108</v>
      </c>
      <c r="VFT1" s="45" t="s">
        <v>107</v>
      </c>
      <c r="VFU1" s="45" t="s">
        <v>106</v>
      </c>
      <c r="VFV1" s="45" t="s">
        <v>105</v>
      </c>
      <c r="VFW1" s="45" t="s">
        <v>104</v>
      </c>
      <c r="VFX1" s="45" t="s">
        <v>103</v>
      </c>
      <c r="VFY1" s="45" t="s">
        <v>102</v>
      </c>
      <c r="VFZ1" s="45" t="s">
        <v>101</v>
      </c>
      <c r="VGA1" s="45" t="s">
        <v>100</v>
      </c>
      <c r="VGB1" s="45" t="s">
        <v>99</v>
      </c>
      <c r="VGC1" s="45" t="s">
        <v>98</v>
      </c>
      <c r="VGD1" s="45" t="s">
        <v>97</v>
      </c>
      <c r="VGE1" s="45" t="s">
        <v>96</v>
      </c>
      <c r="VGF1" s="45" t="s">
        <v>95</v>
      </c>
      <c r="VGG1" s="45" t="s">
        <v>94</v>
      </c>
      <c r="VGH1" s="45" t="s">
        <v>93</v>
      </c>
      <c r="VGI1" s="45" t="s">
        <v>92</v>
      </c>
      <c r="VGJ1" s="45" t="s">
        <v>91</v>
      </c>
      <c r="VGK1" s="45" t="s">
        <v>156</v>
      </c>
      <c r="VGL1" s="45" t="s">
        <v>157</v>
      </c>
      <c r="VGM1" s="45" t="s">
        <v>158</v>
      </c>
      <c r="VGN1" s="45" t="s">
        <v>165</v>
      </c>
      <c r="VGO1" s="45" t="s">
        <v>175</v>
      </c>
      <c r="VGP1" s="45" t="s">
        <v>176</v>
      </c>
    </row>
    <row r="2" spans="1:2129 15008:15070 15386:15394" ht="12.75" hidden="1" x14ac:dyDescent="0.2">
      <c r="A2" s="108" t="s">
        <v>90</v>
      </c>
      <c r="B2" s="108" t="s">
        <v>90</v>
      </c>
      <c r="C2" s="108" t="s">
        <v>90</v>
      </c>
      <c r="D2" s="108" t="s">
        <v>90</v>
      </c>
      <c r="E2" s="108" t="s">
        <v>90</v>
      </c>
      <c r="F2" s="108" t="s">
        <v>90</v>
      </c>
      <c r="G2" s="100" t="s">
        <v>90</v>
      </c>
      <c r="H2" s="99" t="s">
        <v>90</v>
      </c>
      <c r="I2" s="98" t="s">
        <v>90</v>
      </c>
      <c r="J2" s="96" t="s">
        <v>90</v>
      </c>
      <c r="K2" s="98" t="s">
        <v>90</v>
      </c>
      <c r="L2" s="97" t="s">
        <v>90</v>
      </c>
      <c r="M2" s="96" t="s">
        <v>90</v>
      </c>
      <c r="N2" s="139" t="s">
        <v>90</v>
      </c>
      <c r="O2" s="139" t="s">
        <v>90</v>
      </c>
      <c r="P2" s="152" t="s">
        <v>90</v>
      </c>
      <c r="Q2" s="145" t="s">
        <v>90</v>
      </c>
      <c r="R2" s="97" t="s">
        <v>90</v>
      </c>
      <c r="S2" s="97" t="s">
        <v>90</v>
      </c>
      <c r="T2" s="96" t="s">
        <v>90</v>
      </c>
      <c r="U2" s="152" t="s">
        <v>90</v>
      </c>
      <c r="V2" s="152" t="s">
        <v>90</v>
      </c>
      <c r="W2" s="152" t="s">
        <v>90</v>
      </c>
      <c r="X2" s="107" t="s">
        <v>90</v>
      </c>
      <c r="Y2" s="134" t="s">
        <v>90</v>
      </c>
      <c r="Z2" s="134" t="s">
        <v>90</v>
      </c>
      <c r="AA2" s="134" t="s">
        <v>90</v>
      </c>
      <c r="AB2" s="134" t="s">
        <v>90</v>
      </c>
      <c r="VEF2" s="103" t="b">
        <v>1</v>
      </c>
      <c r="VEG2" s="103"/>
      <c r="VEH2" s="103"/>
      <c r="VEI2" s="103"/>
      <c r="VEJ2" s="103">
        <v>0</v>
      </c>
      <c r="VEK2" s="106">
        <v>2158758</v>
      </c>
      <c r="VEL2" s="106">
        <v>9041872</v>
      </c>
      <c r="VEM2" s="106">
        <v>15773696</v>
      </c>
      <c r="VEN2" s="106">
        <v>10086143</v>
      </c>
      <c r="VEO2" s="103">
        <v>15773696</v>
      </c>
      <c r="VEP2" s="103">
        <v>255</v>
      </c>
      <c r="VEQ2" s="103">
        <v>0</v>
      </c>
      <c r="VER2" s="103">
        <v>0</v>
      </c>
      <c r="VES2" s="103">
        <v>0</v>
      </c>
      <c r="VET2" s="103" t="s">
        <v>8</v>
      </c>
      <c r="VEU2" s="105"/>
      <c r="VEV2" s="105"/>
      <c r="VEW2" s="105"/>
      <c r="VEX2" s="105"/>
      <c r="VEY2" s="103">
        <v>1</v>
      </c>
      <c r="VEZ2" s="103" t="s">
        <v>89</v>
      </c>
      <c r="VFA2" s="103">
        <v>1</v>
      </c>
      <c r="VFB2" s="103">
        <v>1</v>
      </c>
      <c r="VFC2" s="103">
        <v>1</v>
      </c>
      <c r="VFD2" s="103">
        <v>1</v>
      </c>
      <c r="VFE2" s="103"/>
      <c r="VFF2" s="103">
        <v>1</v>
      </c>
      <c r="VFG2" s="103">
        <v>1</v>
      </c>
      <c r="VFH2" s="103">
        <v>1</v>
      </c>
      <c r="VFI2" s="103">
        <v>1</v>
      </c>
      <c r="VFJ2" s="103">
        <v>1</v>
      </c>
      <c r="VFK2" s="103"/>
      <c r="VFL2" s="103">
        <v>1</v>
      </c>
      <c r="VFM2" s="45" t="s">
        <v>167</v>
      </c>
      <c r="VFN2" s="103">
        <v>1</v>
      </c>
      <c r="VFO2" s="104">
        <v>16</v>
      </c>
      <c r="VFP2" s="103">
        <v>0</v>
      </c>
      <c r="VFQ2" s="45">
        <v>1</v>
      </c>
      <c r="VFR2" s="45">
        <v>1</v>
      </c>
      <c r="VFS2" s="45" t="s">
        <v>181</v>
      </c>
      <c r="VFT2" s="45">
        <v>8</v>
      </c>
      <c r="VFU2" s="45">
        <v>0</v>
      </c>
      <c r="VFV2" s="45" t="s">
        <v>88</v>
      </c>
      <c r="VFW2" s="45">
        <v>1</v>
      </c>
      <c r="VFX2" s="45">
        <v>1</v>
      </c>
      <c r="VFY2" s="45">
        <v>0</v>
      </c>
      <c r="VFZ2" s="102" t="s">
        <v>184</v>
      </c>
      <c r="VGA2" s="102" t="s">
        <v>183</v>
      </c>
      <c r="VGB2" s="102" t="s">
        <v>182</v>
      </c>
      <c r="VGD2" s="45">
        <v>0</v>
      </c>
      <c r="VGE2" s="45">
        <v>25</v>
      </c>
      <c r="VGF2" s="45">
        <v>10</v>
      </c>
      <c r="VGG2" s="45" t="s">
        <v>43</v>
      </c>
      <c r="VGH2" s="45">
        <v>0</v>
      </c>
      <c r="VGI2" s="45">
        <v>0</v>
      </c>
      <c r="VGJ2" s="45">
        <v>0</v>
      </c>
      <c r="VGK2" s="45">
        <v>12566463</v>
      </c>
      <c r="VGL2" s="45">
        <v>16777164</v>
      </c>
      <c r="VGM2" s="70" t="s">
        <v>185</v>
      </c>
      <c r="VGN2" s="45" t="s">
        <v>186</v>
      </c>
      <c r="VGO2" s="45" t="s">
        <v>177</v>
      </c>
      <c r="VGP2" s="45" t="s">
        <v>178</v>
      </c>
    </row>
    <row r="3" spans="1:2129 15008:15070 15386:15394" ht="12.75" hidden="1" x14ac:dyDescent="0.2">
      <c r="A3" s="103"/>
      <c r="G3" s="100"/>
      <c r="H3" s="99"/>
      <c r="I3" s="98"/>
      <c r="J3" s="96"/>
      <c r="K3" s="98"/>
      <c r="L3" s="97"/>
      <c r="M3" s="96"/>
      <c r="N3" s="139"/>
      <c r="O3" s="139"/>
      <c r="P3" s="152"/>
      <c r="Q3" s="144"/>
      <c r="R3" s="97"/>
      <c r="S3" s="97"/>
      <c r="T3" s="96"/>
      <c r="U3" s="164"/>
      <c r="V3" s="164"/>
      <c r="W3" s="164"/>
      <c r="X3" s="95"/>
      <c r="Y3" s="33"/>
      <c r="Z3" s="33"/>
      <c r="AA3" s="33"/>
      <c r="AB3" s="33"/>
      <c r="VEU3" s="101"/>
    </row>
    <row r="4" spans="1:2129 15008:15070 15386:15394" ht="12.75" hidden="1" x14ac:dyDescent="0.2">
      <c r="G4" s="100"/>
      <c r="H4" s="99"/>
      <c r="I4" s="98"/>
      <c r="J4" s="96"/>
      <c r="K4" s="98"/>
      <c r="L4" s="97"/>
      <c r="M4" s="96"/>
      <c r="N4" s="139"/>
      <c r="O4" s="139"/>
      <c r="P4" s="152"/>
      <c r="Q4" s="144"/>
      <c r="R4" s="97"/>
      <c r="S4" s="97"/>
      <c r="T4" s="96"/>
      <c r="U4" s="164"/>
      <c r="V4" s="164"/>
      <c r="W4" s="164"/>
      <c r="X4" s="95"/>
      <c r="Y4" s="33"/>
      <c r="Z4" s="33"/>
      <c r="AA4" s="33"/>
      <c r="AB4" s="33"/>
    </row>
    <row r="5" spans="1:2129 15008:15070 15386:15394" ht="12.75" hidden="1" x14ac:dyDescent="0.2">
      <c r="G5" s="100"/>
      <c r="H5" s="99"/>
      <c r="I5" s="98"/>
      <c r="J5" s="96"/>
      <c r="K5" s="98"/>
      <c r="L5" s="97"/>
      <c r="M5" s="96"/>
      <c r="N5" s="139"/>
      <c r="O5" s="139"/>
      <c r="P5" s="152"/>
      <c r="Q5" s="144"/>
      <c r="R5" s="97"/>
      <c r="S5" s="97"/>
      <c r="T5" s="96"/>
      <c r="U5" s="164"/>
      <c r="V5" s="164"/>
      <c r="W5" s="164"/>
      <c r="X5" s="95"/>
      <c r="Y5" s="33"/>
      <c r="Z5" s="33"/>
      <c r="AA5" s="33"/>
      <c r="AB5" s="33"/>
    </row>
    <row r="6" spans="1:2129 15008:15070 15386:15394" ht="20.25" customHeight="1" x14ac:dyDescent="0.2">
      <c r="G6" s="167" t="s">
        <v>87</v>
      </c>
      <c r="H6" s="92"/>
      <c r="I6" s="92"/>
      <c r="J6" s="94"/>
      <c r="K6" s="92"/>
      <c r="L6" s="92"/>
      <c r="M6" s="94"/>
      <c r="N6" s="93"/>
      <c r="O6" s="93"/>
      <c r="P6" s="153"/>
      <c r="Q6" s="146"/>
      <c r="R6" s="92"/>
      <c r="S6" s="92"/>
      <c r="T6" s="94"/>
      <c r="U6" s="153"/>
      <c r="V6" s="153"/>
      <c r="W6" s="153"/>
      <c r="X6" s="92"/>
      <c r="Y6" s="92"/>
      <c r="Z6" s="92"/>
      <c r="AA6" s="92"/>
      <c r="AB6" s="92"/>
      <c r="AC6" s="91">
        <v>42387</v>
      </c>
      <c r="AD6" s="91">
        <v>42388</v>
      </c>
      <c r="AE6" s="91">
        <v>42389</v>
      </c>
      <c r="AF6" s="91">
        <v>42390</v>
      </c>
      <c r="AG6" s="91">
        <v>42391</v>
      </c>
      <c r="AH6" s="91">
        <v>42392</v>
      </c>
      <c r="AI6" s="91">
        <v>42393</v>
      </c>
      <c r="AJ6" s="91">
        <v>42394</v>
      </c>
      <c r="AK6" s="91">
        <v>42395</v>
      </c>
      <c r="AL6" s="91">
        <v>42396</v>
      </c>
      <c r="AM6" s="91">
        <v>42397</v>
      </c>
      <c r="AN6" s="91">
        <v>42398</v>
      </c>
      <c r="AO6" s="91">
        <v>42399</v>
      </c>
      <c r="AP6" s="91">
        <v>42400</v>
      </c>
      <c r="AQ6" s="91">
        <v>42401</v>
      </c>
      <c r="AR6" s="91">
        <v>42402</v>
      </c>
      <c r="AS6" s="91">
        <v>42403</v>
      </c>
      <c r="AT6" s="91">
        <v>42404</v>
      </c>
      <c r="AU6" s="91">
        <v>42405</v>
      </c>
      <c r="AV6" s="91">
        <v>42406</v>
      </c>
      <c r="AW6" s="91">
        <v>42407</v>
      </c>
      <c r="AX6" s="91">
        <v>42408</v>
      </c>
      <c r="AY6" s="91">
        <v>42409</v>
      </c>
      <c r="AZ6" s="91">
        <v>42410</v>
      </c>
      <c r="BA6" s="91">
        <v>42411</v>
      </c>
      <c r="BB6" s="91">
        <v>42412</v>
      </c>
      <c r="BC6" s="91">
        <v>42413</v>
      </c>
      <c r="BD6" s="91">
        <v>42414</v>
      </c>
      <c r="BE6" s="91">
        <v>42415</v>
      </c>
      <c r="BF6" s="91">
        <v>42416</v>
      </c>
      <c r="BG6" s="91">
        <v>42417</v>
      </c>
      <c r="BH6" s="91">
        <v>42418</v>
      </c>
      <c r="BI6" s="91">
        <v>42419</v>
      </c>
      <c r="BJ6" s="91">
        <v>42420</v>
      </c>
      <c r="BK6" s="91">
        <v>42421</v>
      </c>
      <c r="BL6" s="91">
        <v>42422</v>
      </c>
      <c r="BM6" s="91">
        <v>42423</v>
      </c>
      <c r="BN6" s="91">
        <v>42424</v>
      </c>
      <c r="BO6" s="91">
        <v>42425</v>
      </c>
      <c r="BP6" s="91">
        <v>42426</v>
      </c>
      <c r="BQ6" s="91">
        <v>42427</v>
      </c>
      <c r="BR6" s="91">
        <v>42428</v>
      </c>
      <c r="BS6" s="91">
        <v>42429</v>
      </c>
      <c r="BT6" s="91">
        <v>42430</v>
      </c>
      <c r="BU6" s="91">
        <v>42431</v>
      </c>
      <c r="BV6" s="91">
        <v>42432</v>
      </c>
      <c r="BW6" s="91">
        <v>42433</v>
      </c>
      <c r="BX6" s="91">
        <v>42434</v>
      </c>
      <c r="BY6" s="91">
        <v>42435</v>
      </c>
      <c r="BZ6" s="91">
        <v>42436</v>
      </c>
      <c r="CA6" s="91">
        <v>42437</v>
      </c>
      <c r="CB6" s="91">
        <v>42438</v>
      </c>
      <c r="CC6" s="91">
        <v>42439</v>
      </c>
      <c r="CD6" s="91">
        <v>42440</v>
      </c>
      <c r="CE6" s="91">
        <v>42441</v>
      </c>
      <c r="CF6" s="91">
        <v>42442</v>
      </c>
      <c r="CG6" s="91">
        <v>42443</v>
      </c>
      <c r="CH6" s="91"/>
      <c r="CI6" s="91"/>
      <c r="CJ6" s="91"/>
      <c r="CK6" s="91"/>
      <c r="CL6" s="91"/>
      <c r="CM6" s="91"/>
      <c r="CN6" s="91"/>
      <c r="CO6" s="91"/>
      <c r="CP6" s="91"/>
      <c r="CQ6" s="91"/>
      <c r="CR6" s="91"/>
      <c r="CS6" s="91"/>
      <c r="CT6" s="91"/>
      <c r="CU6" s="91"/>
      <c r="CV6" s="91"/>
      <c r="CW6" s="91"/>
      <c r="CX6" s="91"/>
      <c r="CY6" s="91"/>
      <c r="CZ6" s="91"/>
      <c r="DA6" s="91"/>
      <c r="DB6" s="91"/>
      <c r="DC6" s="91"/>
      <c r="DD6" s="91"/>
      <c r="DE6" s="91"/>
      <c r="DF6" s="91"/>
      <c r="DG6" s="91"/>
      <c r="DH6" s="91"/>
      <c r="DI6" s="91"/>
      <c r="DJ6" s="91"/>
      <c r="DK6" s="91"/>
      <c r="DL6" s="91"/>
      <c r="DM6" s="91"/>
      <c r="DN6" s="91"/>
      <c r="DO6" s="91"/>
      <c r="DP6" s="91"/>
      <c r="DQ6" s="91"/>
      <c r="DR6" s="91"/>
      <c r="DS6" s="91"/>
      <c r="DT6" s="91"/>
      <c r="DU6" s="91"/>
      <c r="DV6" s="91"/>
      <c r="DW6" s="91"/>
      <c r="DX6" s="91"/>
      <c r="DY6" s="91"/>
      <c r="DZ6" s="91"/>
      <c r="EA6" s="91"/>
      <c r="EB6" s="91"/>
      <c r="EC6" s="91"/>
      <c r="ED6" s="91"/>
      <c r="EE6" s="91"/>
      <c r="EF6" s="91"/>
      <c r="EG6" s="91"/>
      <c r="EH6" s="91"/>
      <c r="EI6" s="91"/>
      <c r="EJ6" s="91"/>
      <c r="EK6" s="91"/>
      <c r="EL6" s="91"/>
      <c r="EM6" s="91"/>
      <c r="EN6" s="91"/>
      <c r="EO6" s="91"/>
      <c r="EP6" s="91"/>
      <c r="EQ6" s="91"/>
      <c r="ER6" s="91"/>
      <c r="ES6" s="91"/>
      <c r="ET6" s="91"/>
      <c r="EU6" s="91"/>
      <c r="EV6" s="91"/>
      <c r="EW6" s="91"/>
      <c r="EX6" s="91"/>
      <c r="EY6" s="91"/>
      <c r="EZ6" s="91"/>
      <c r="FA6" s="91"/>
      <c r="FB6" s="91"/>
      <c r="FC6" s="91"/>
      <c r="FD6" s="91"/>
      <c r="FE6" s="91"/>
      <c r="FF6" s="91"/>
      <c r="FG6" s="91"/>
      <c r="FH6" s="91"/>
      <c r="FI6" s="91"/>
      <c r="FJ6" s="91"/>
      <c r="FK6" s="91"/>
      <c r="FL6" s="91"/>
      <c r="FM6" s="91"/>
      <c r="FN6" s="91"/>
      <c r="FO6" s="91"/>
      <c r="FP6" s="91"/>
      <c r="FQ6" s="91"/>
      <c r="FR6" s="91"/>
      <c r="FS6" s="91"/>
      <c r="FT6" s="91"/>
      <c r="FU6" s="91"/>
      <c r="FV6" s="91"/>
      <c r="FW6" s="91"/>
      <c r="FX6" s="91"/>
      <c r="FY6" s="91"/>
      <c r="FZ6" s="91"/>
      <c r="GA6" s="91"/>
      <c r="GB6" s="91"/>
      <c r="GC6" s="91"/>
      <c r="GD6" s="91"/>
      <c r="GE6" s="91"/>
      <c r="GF6" s="91"/>
      <c r="GG6" s="91"/>
      <c r="GH6" s="91"/>
      <c r="GI6" s="91"/>
      <c r="GJ6" s="91"/>
      <c r="GK6" s="91"/>
      <c r="GL6" s="91"/>
      <c r="GM6" s="91"/>
      <c r="GN6" s="91"/>
      <c r="GO6" s="91"/>
      <c r="GP6" s="91"/>
      <c r="GQ6" s="91"/>
      <c r="GR6" s="91"/>
      <c r="GS6" s="91"/>
      <c r="GT6" s="91"/>
      <c r="GU6" s="91"/>
      <c r="GV6" s="91"/>
      <c r="GW6" s="91"/>
      <c r="GX6" s="91"/>
      <c r="GY6" s="91"/>
      <c r="GZ6" s="91"/>
      <c r="HA6" s="91"/>
      <c r="HB6" s="91"/>
      <c r="HC6" s="91"/>
      <c r="HD6" s="91"/>
      <c r="HE6" s="91"/>
      <c r="HF6" s="91"/>
      <c r="HG6" s="91"/>
      <c r="HH6" s="91"/>
      <c r="HI6" s="91"/>
      <c r="HJ6" s="91"/>
      <c r="HK6" s="91"/>
      <c r="HL6" s="91"/>
      <c r="HM6" s="91"/>
      <c r="HN6" s="91"/>
      <c r="HO6" s="91"/>
      <c r="HP6" s="91"/>
      <c r="HQ6" s="91"/>
      <c r="HR6" s="91"/>
      <c r="HS6" s="91"/>
      <c r="HT6" s="91"/>
      <c r="HU6" s="91"/>
      <c r="HV6" s="91"/>
      <c r="HW6" s="91"/>
      <c r="HX6" s="91"/>
      <c r="HY6" s="91"/>
      <c r="HZ6" s="91"/>
      <c r="IA6" s="91"/>
      <c r="IB6" s="91"/>
      <c r="IC6" s="91"/>
      <c r="ID6" s="91"/>
      <c r="IE6" s="91"/>
      <c r="IF6" s="91"/>
      <c r="IG6" s="91"/>
      <c r="IH6" s="91"/>
      <c r="II6" s="91"/>
      <c r="IJ6" s="91"/>
      <c r="IK6" s="91"/>
      <c r="IL6" s="91"/>
      <c r="IM6" s="91"/>
      <c r="IN6" s="91"/>
      <c r="IO6" s="91"/>
      <c r="IP6" s="91"/>
      <c r="IQ6" s="91"/>
      <c r="IR6" s="91"/>
      <c r="IS6" s="91"/>
      <c r="IT6" s="91"/>
      <c r="IU6" s="91"/>
      <c r="IV6" s="91"/>
      <c r="IW6" s="91"/>
      <c r="IX6" s="91"/>
      <c r="IY6" s="91"/>
      <c r="IZ6" s="91"/>
      <c r="JA6" s="91"/>
      <c r="JB6" s="91"/>
      <c r="JC6" s="91"/>
      <c r="JD6" s="91"/>
      <c r="JE6" s="91"/>
      <c r="JF6" s="91"/>
      <c r="JG6" s="91"/>
      <c r="JH6" s="91"/>
      <c r="JI6" s="91"/>
      <c r="JJ6" s="91"/>
      <c r="JK6" s="91"/>
      <c r="JL6" s="91"/>
      <c r="JM6" s="91"/>
      <c r="JN6" s="91"/>
      <c r="JO6" s="91"/>
      <c r="JP6" s="91"/>
      <c r="JQ6" s="91"/>
      <c r="JR6" s="91"/>
      <c r="JS6" s="91"/>
      <c r="JT6" s="91"/>
      <c r="JU6" s="91"/>
      <c r="JV6" s="91"/>
      <c r="JW6" s="91"/>
      <c r="JX6" s="91"/>
      <c r="JY6" s="91"/>
      <c r="JZ6" s="91"/>
      <c r="KA6" s="91"/>
      <c r="KB6" s="91"/>
      <c r="KC6" s="91"/>
      <c r="KD6" s="91"/>
      <c r="KE6" s="91"/>
      <c r="KF6" s="91"/>
      <c r="KG6" s="91"/>
      <c r="KH6" s="91"/>
      <c r="KI6" s="91"/>
      <c r="KJ6" s="91"/>
      <c r="KK6" s="91"/>
      <c r="KL6" s="91"/>
      <c r="KM6" s="91"/>
      <c r="KN6" s="91"/>
      <c r="KO6" s="91"/>
      <c r="KP6" s="91"/>
      <c r="KQ6" s="91"/>
      <c r="KR6" s="91"/>
      <c r="KS6" s="91"/>
      <c r="KT6" s="91"/>
      <c r="KU6" s="91"/>
      <c r="KV6" s="91"/>
      <c r="KW6" s="91"/>
      <c r="KX6" s="91"/>
      <c r="KY6" s="91"/>
      <c r="KZ6" s="91"/>
      <c r="LA6" s="91"/>
      <c r="LB6" s="91"/>
      <c r="LC6" s="91"/>
      <c r="LD6" s="91"/>
      <c r="LE6" s="91"/>
      <c r="LF6" s="91"/>
      <c r="LG6" s="91"/>
      <c r="LH6" s="91"/>
      <c r="LI6" s="91"/>
      <c r="LJ6" s="91"/>
      <c r="LK6" s="91"/>
      <c r="LL6" s="91"/>
      <c r="LM6" s="91"/>
      <c r="LN6" s="91"/>
      <c r="LO6" s="91"/>
      <c r="LP6" s="91"/>
      <c r="LQ6" s="91"/>
      <c r="LR6" s="91"/>
      <c r="LS6" s="91"/>
      <c r="LT6" s="91"/>
      <c r="LU6" s="91"/>
      <c r="LV6" s="91"/>
      <c r="LW6" s="91"/>
      <c r="LX6" s="91"/>
      <c r="LY6" s="91"/>
      <c r="LZ6" s="91"/>
      <c r="MA6" s="91"/>
      <c r="MB6" s="91"/>
      <c r="MC6" s="91"/>
      <c r="MD6" s="91"/>
      <c r="ME6" s="91"/>
      <c r="MF6" s="91"/>
      <c r="MG6" s="91"/>
      <c r="MH6" s="91"/>
      <c r="MI6" s="91"/>
      <c r="MJ6" s="91"/>
      <c r="MK6" s="91"/>
      <c r="ML6" s="91"/>
      <c r="MM6" s="91"/>
      <c r="MN6" s="91"/>
      <c r="MO6" s="91"/>
      <c r="MP6" s="91"/>
      <c r="MQ6" s="91"/>
      <c r="MR6" s="91"/>
      <c r="MS6" s="91"/>
      <c r="MT6" s="91"/>
      <c r="MU6" s="91"/>
      <c r="MV6" s="91"/>
      <c r="MW6" s="91"/>
      <c r="MX6" s="91"/>
      <c r="MY6" s="91"/>
      <c r="MZ6" s="91"/>
      <c r="NA6" s="91"/>
      <c r="NB6" s="91"/>
      <c r="NC6" s="91"/>
      <c r="ND6" s="91"/>
      <c r="NE6" s="91"/>
      <c r="NF6" s="91"/>
      <c r="NG6" s="91"/>
      <c r="NH6" s="91"/>
      <c r="NI6" s="91"/>
      <c r="NJ6" s="91"/>
      <c r="NK6" s="91"/>
      <c r="NL6" s="91"/>
      <c r="NM6" s="91"/>
      <c r="NN6" s="91"/>
      <c r="NO6" s="91"/>
      <c r="NP6" s="91"/>
      <c r="NQ6" s="91"/>
      <c r="NR6" s="91"/>
      <c r="NS6" s="91"/>
      <c r="NT6" s="91"/>
      <c r="NU6" s="91"/>
      <c r="NV6" s="91"/>
      <c r="NW6" s="91"/>
      <c r="NX6" s="91"/>
      <c r="NY6" s="91"/>
      <c r="NZ6" s="91"/>
      <c r="OA6" s="91"/>
      <c r="OB6" s="91"/>
      <c r="OC6" s="91"/>
      <c r="OD6" s="91"/>
      <c r="OE6" s="91"/>
      <c r="OF6" s="91"/>
      <c r="OG6" s="91"/>
      <c r="OH6" s="91"/>
      <c r="OI6" s="91"/>
      <c r="OJ6" s="91"/>
      <c r="OK6" s="91"/>
      <c r="OL6" s="91"/>
      <c r="OM6" s="91"/>
      <c r="ON6" s="91"/>
      <c r="OO6" s="91"/>
      <c r="OP6" s="91"/>
      <c r="OQ6" s="91"/>
      <c r="OR6" s="91"/>
      <c r="OS6" s="91"/>
      <c r="OT6" s="91"/>
      <c r="OU6" s="91"/>
      <c r="OV6" s="91"/>
      <c r="OW6" s="91"/>
      <c r="OX6" s="91"/>
      <c r="OY6" s="91"/>
      <c r="OZ6" s="91"/>
      <c r="PA6" s="91"/>
      <c r="PB6" s="91"/>
      <c r="PC6" s="91"/>
      <c r="PD6" s="91"/>
      <c r="PE6" s="91"/>
      <c r="PF6" s="91"/>
      <c r="PG6" s="91"/>
      <c r="PH6" s="91"/>
      <c r="PI6" s="91"/>
      <c r="PJ6" s="91"/>
      <c r="PK6" s="91"/>
      <c r="PL6" s="91"/>
      <c r="PM6" s="91"/>
      <c r="PN6" s="91"/>
      <c r="PO6" s="91"/>
      <c r="PP6" s="91"/>
      <c r="PQ6" s="91"/>
      <c r="PR6" s="91"/>
      <c r="PS6" s="91"/>
      <c r="PT6" s="91"/>
      <c r="PU6" s="91"/>
      <c r="PV6" s="91"/>
      <c r="PW6" s="91"/>
      <c r="PX6" s="91"/>
      <c r="PY6" s="91"/>
      <c r="PZ6" s="91"/>
      <c r="QA6" s="91"/>
      <c r="QB6" s="91"/>
      <c r="QC6" s="91"/>
      <c r="QD6" s="91"/>
      <c r="QE6" s="91"/>
      <c r="QF6" s="91"/>
      <c r="QG6" s="91"/>
      <c r="QH6" s="91"/>
      <c r="QI6" s="91"/>
      <c r="QJ6" s="91"/>
      <c r="QK6" s="91"/>
      <c r="QL6" s="91"/>
      <c r="QM6" s="91"/>
      <c r="QN6" s="91"/>
      <c r="QO6" s="91"/>
      <c r="QP6" s="91"/>
      <c r="QQ6" s="91"/>
      <c r="QR6" s="91"/>
      <c r="QS6" s="91"/>
      <c r="QT6" s="91"/>
      <c r="QU6" s="91"/>
      <c r="QV6" s="91"/>
      <c r="QW6" s="91"/>
      <c r="QX6" s="91"/>
      <c r="QY6" s="91"/>
      <c r="QZ6" s="91"/>
      <c r="RA6" s="91"/>
      <c r="RB6" s="91"/>
      <c r="RC6" s="91"/>
      <c r="RD6" s="91"/>
      <c r="RE6" s="91"/>
      <c r="RF6" s="91"/>
      <c r="RG6" s="91"/>
      <c r="RH6" s="91"/>
      <c r="RI6" s="91"/>
      <c r="RJ6" s="91"/>
      <c r="RK6" s="91"/>
      <c r="RL6" s="91"/>
      <c r="RM6" s="91"/>
      <c r="RN6" s="91"/>
      <c r="RO6" s="91"/>
      <c r="RP6" s="91"/>
      <c r="RQ6" s="91"/>
      <c r="RR6" s="91"/>
      <c r="RS6" s="91"/>
      <c r="RT6" s="91"/>
      <c r="RU6" s="91"/>
      <c r="RV6" s="91"/>
      <c r="RW6" s="91"/>
      <c r="RX6" s="91"/>
      <c r="RY6" s="91"/>
      <c r="RZ6" s="91"/>
      <c r="SA6" s="91"/>
      <c r="SB6" s="91"/>
      <c r="SC6" s="91"/>
      <c r="SD6" s="91"/>
      <c r="SE6" s="91"/>
      <c r="SF6" s="91"/>
      <c r="SG6" s="91"/>
      <c r="SH6" s="91"/>
      <c r="SI6" s="91"/>
      <c r="SJ6" s="91"/>
      <c r="SK6" s="91"/>
      <c r="SL6" s="91"/>
      <c r="SM6" s="91"/>
      <c r="SN6" s="91"/>
      <c r="SO6" s="91"/>
      <c r="SP6" s="91"/>
      <c r="SQ6" s="91"/>
      <c r="SR6" s="91"/>
      <c r="SS6" s="91"/>
      <c r="ST6" s="91"/>
      <c r="SU6" s="91"/>
      <c r="SV6" s="91"/>
      <c r="SW6" s="91"/>
      <c r="SX6" s="91"/>
      <c r="SY6" s="91"/>
      <c r="SZ6" s="91"/>
      <c r="TA6" s="91"/>
      <c r="TB6" s="91"/>
      <c r="TC6" s="91"/>
      <c r="TD6" s="91"/>
      <c r="TE6" s="91"/>
      <c r="TF6" s="91"/>
      <c r="TG6" s="91"/>
      <c r="TH6" s="91"/>
      <c r="TI6" s="91"/>
      <c r="TJ6" s="91"/>
      <c r="TK6" s="91"/>
      <c r="TL6" s="91"/>
      <c r="TM6" s="91"/>
      <c r="TN6" s="91"/>
      <c r="TO6" s="91"/>
      <c r="TP6" s="91"/>
      <c r="TQ6" s="91"/>
      <c r="TR6" s="91"/>
      <c r="TS6" s="91"/>
      <c r="TT6" s="91"/>
      <c r="TU6" s="91"/>
      <c r="TV6" s="91"/>
      <c r="TW6" s="91"/>
      <c r="TX6" s="91"/>
      <c r="TY6" s="91"/>
      <c r="TZ6" s="91"/>
      <c r="UA6" s="91"/>
      <c r="UB6" s="91"/>
      <c r="UC6" s="91"/>
      <c r="UD6" s="91"/>
      <c r="UE6" s="91"/>
      <c r="UF6" s="91"/>
      <c r="UG6" s="91"/>
      <c r="UH6" s="91"/>
      <c r="UI6" s="91"/>
      <c r="UJ6" s="91"/>
      <c r="UK6" s="91"/>
      <c r="UL6" s="91"/>
      <c r="UM6" s="91"/>
      <c r="UN6" s="91"/>
      <c r="UO6" s="91"/>
      <c r="UP6" s="91"/>
      <c r="UQ6" s="91"/>
      <c r="UR6" s="91"/>
      <c r="US6" s="91"/>
      <c r="UT6" s="91"/>
      <c r="UU6" s="91"/>
      <c r="UV6" s="91"/>
      <c r="UW6" s="91"/>
      <c r="UX6" s="91"/>
      <c r="UY6" s="91"/>
      <c r="UZ6" s="91"/>
      <c r="VA6" s="91"/>
      <c r="VB6" s="91"/>
      <c r="VC6" s="91"/>
      <c r="VD6" s="91"/>
      <c r="VE6" s="91"/>
      <c r="VF6" s="91"/>
      <c r="VG6" s="91"/>
      <c r="VH6" s="91"/>
      <c r="VI6" s="91"/>
      <c r="VJ6" s="91"/>
      <c r="VK6" s="91"/>
      <c r="VL6" s="91"/>
      <c r="VM6" s="91"/>
      <c r="VN6" s="91"/>
      <c r="VO6" s="91"/>
      <c r="VP6" s="91"/>
      <c r="VQ6" s="91"/>
      <c r="VR6" s="91"/>
      <c r="VS6" s="91"/>
      <c r="VT6" s="91"/>
      <c r="VU6" s="91"/>
      <c r="VV6" s="91"/>
      <c r="VW6" s="91"/>
      <c r="VX6" s="91"/>
      <c r="VY6" s="91"/>
      <c r="VZ6" s="91"/>
      <c r="WA6" s="91"/>
      <c r="WB6" s="91"/>
      <c r="WC6" s="91"/>
      <c r="WD6" s="91"/>
      <c r="WE6" s="91"/>
      <c r="WF6" s="91"/>
      <c r="WG6" s="91"/>
      <c r="WH6" s="91"/>
      <c r="WI6" s="91"/>
      <c r="WJ6" s="91"/>
      <c r="WK6" s="91"/>
      <c r="WL6" s="91"/>
      <c r="WM6" s="91"/>
      <c r="WN6" s="91"/>
      <c r="WO6" s="91"/>
      <c r="WP6" s="91"/>
      <c r="WQ6" s="91"/>
      <c r="WR6" s="91"/>
      <c r="WS6" s="91"/>
      <c r="WT6" s="91"/>
      <c r="WU6" s="91"/>
      <c r="WV6" s="91"/>
      <c r="WW6" s="91"/>
      <c r="WX6" s="91"/>
      <c r="WY6" s="91"/>
      <c r="WZ6" s="91"/>
      <c r="XA6" s="91"/>
      <c r="XB6" s="91"/>
      <c r="XC6" s="91"/>
      <c r="XD6" s="91"/>
      <c r="XE6" s="91"/>
      <c r="XF6" s="91"/>
      <c r="XG6" s="91"/>
      <c r="XH6" s="91"/>
      <c r="XI6" s="91"/>
      <c r="XJ6" s="91"/>
      <c r="XK6" s="91"/>
      <c r="XL6" s="91"/>
      <c r="XM6" s="91"/>
      <c r="XN6" s="91"/>
      <c r="XO6" s="91"/>
      <c r="XP6" s="91"/>
      <c r="XQ6" s="91"/>
      <c r="XR6" s="91"/>
      <c r="XS6" s="91"/>
      <c r="XT6" s="91"/>
      <c r="XU6" s="91"/>
      <c r="XV6" s="91"/>
      <c r="XW6" s="91"/>
      <c r="XX6" s="91"/>
      <c r="XY6" s="91"/>
      <c r="XZ6" s="91"/>
      <c r="YA6" s="91"/>
      <c r="YB6" s="91"/>
      <c r="YC6" s="91"/>
      <c r="YD6" s="91"/>
      <c r="YE6" s="91"/>
      <c r="YF6" s="91"/>
      <c r="YG6" s="91"/>
      <c r="YH6" s="91"/>
      <c r="YI6" s="91"/>
      <c r="YJ6" s="91"/>
      <c r="YK6" s="91"/>
      <c r="YL6" s="91"/>
      <c r="YM6" s="91"/>
      <c r="YN6" s="91"/>
      <c r="YO6" s="91"/>
      <c r="YP6" s="91"/>
      <c r="YQ6" s="91"/>
      <c r="YR6" s="91"/>
      <c r="YS6" s="91"/>
      <c r="YT6" s="91"/>
      <c r="YU6" s="91"/>
      <c r="YV6" s="91"/>
      <c r="YW6" s="91"/>
      <c r="YX6" s="91"/>
      <c r="YY6" s="91"/>
      <c r="YZ6" s="91"/>
      <c r="ZA6" s="91"/>
      <c r="ZB6" s="91"/>
      <c r="ZC6" s="91"/>
      <c r="ZD6" s="91"/>
      <c r="ZE6" s="91"/>
      <c r="ZF6" s="91"/>
      <c r="ZG6" s="91"/>
      <c r="ZH6" s="91"/>
      <c r="ZI6" s="91"/>
      <c r="ZJ6" s="91"/>
      <c r="ZK6" s="91"/>
      <c r="ZL6" s="91"/>
      <c r="ZM6" s="91"/>
      <c r="ZN6" s="91"/>
      <c r="ZO6" s="91"/>
      <c r="ZP6" s="91"/>
      <c r="ZQ6" s="91"/>
      <c r="ZR6" s="91"/>
      <c r="ZS6" s="91"/>
      <c r="ZT6" s="91"/>
      <c r="ZU6" s="91"/>
      <c r="ZV6" s="91"/>
      <c r="ZW6" s="91"/>
      <c r="ZX6" s="91"/>
      <c r="ZY6" s="91"/>
      <c r="ZZ6" s="91"/>
      <c r="AAA6" s="91"/>
      <c r="AAB6" s="91"/>
      <c r="AAC6" s="91"/>
      <c r="AAD6" s="91"/>
      <c r="AAE6" s="91"/>
      <c r="AAF6" s="91"/>
      <c r="AAG6" s="91"/>
      <c r="AAH6" s="91"/>
      <c r="AAI6" s="91"/>
      <c r="AAJ6" s="91"/>
      <c r="AAK6" s="91"/>
      <c r="AAL6" s="91"/>
      <c r="AAM6" s="91"/>
      <c r="AAN6" s="91"/>
      <c r="AAO6" s="91"/>
      <c r="AAP6" s="91"/>
      <c r="AAQ6" s="91"/>
      <c r="AAR6" s="91"/>
      <c r="AAS6" s="91"/>
      <c r="AAT6" s="91"/>
      <c r="AAU6" s="91"/>
      <c r="AAV6" s="91"/>
      <c r="AAW6" s="91"/>
      <c r="AAX6" s="91"/>
      <c r="AAY6" s="91"/>
      <c r="AAZ6" s="91"/>
      <c r="ABA6" s="91"/>
      <c r="ABB6" s="91"/>
      <c r="ABC6" s="91"/>
      <c r="ABD6" s="91"/>
      <c r="ABE6" s="91"/>
      <c r="ABF6" s="91"/>
      <c r="ABG6" s="91"/>
      <c r="ABH6" s="91"/>
      <c r="ABI6" s="91"/>
      <c r="ABJ6" s="91"/>
      <c r="ABK6" s="91"/>
      <c r="ABL6" s="91"/>
      <c r="ABM6" s="91"/>
      <c r="ABN6" s="91"/>
      <c r="ABO6" s="91"/>
      <c r="ABP6" s="91"/>
      <c r="ABQ6" s="91"/>
      <c r="ABR6" s="91"/>
      <c r="ABS6" s="91"/>
      <c r="ABT6" s="91"/>
      <c r="ABU6" s="91"/>
      <c r="ABV6" s="91"/>
      <c r="ABW6" s="91"/>
      <c r="ABX6" s="91"/>
      <c r="ABY6" s="91"/>
      <c r="ABZ6" s="91"/>
      <c r="ACA6" s="91"/>
      <c r="ACB6" s="91"/>
      <c r="ACC6" s="91"/>
      <c r="ACD6" s="91"/>
      <c r="ACE6" s="91"/>
      <c r="ACF6" s="91"/>
      <c r="ACG6" s="91"/>
      <c r="ACH6" s="91"/>
      <c r="ACI6" s="91"/>
      <c r="ACJ6" s="91"/>
      <c r="ACK6" s="91"/>
      <c r="ACL6" s="91"/>
      <c r="ACM6" s="91"/>
      <c r="ACN6" s="91"/>
      <c r="ACO6" s="91"/>
      <c r="ACP6" s="91"/>
      <c r="ACQ6" s="91"/>
      <c r="ACR6" s="91"/>
      <c r="ACS6" s="91"/>
      <c r="ACT6" s="91"/>
      <c r="ACU6" s="91"/>
      <c r="ACV6" s="91"/>
      <c r="ACW6" s="91"/>
      <c r="ACX6" s="91"/>
      <c r="ACY6" s="91"/>
      <c r="ACZ6" s="91"/>
      <c r="ADA6" s="91"/>
      <c r="ADB6" s="91"/>
      <c r="ADC6" s="91"/>
      <c r="ADD6" s="91"/>
      <c r="ADE6" s="91"/>
      <c r="ADF6" s="91"/>
      <c r="ADG6" s="91"/>
      <c r="ADH6" s="91"/>
      <c r="ADI6" s="91"/>
      <c r="ADJ6" s="91"/>
      <c r="ADK6" s="91"/>
      <c r="ADL6" s="91"/>
      <c r="ADM6" s="91"/>
      <c r="ADN6" s="91"/>
      <c r="ADO6" s="91"/>
      <c r="ADP6" s="91"/>
      <c r="ADQ6" s="91"/>
      <c r="ADR6" s="91"/>
      <c r="ADS6" s="91"/>
      <c r="ADT6" s="91"/>
      <c r="ADU6" s="91"/>
      <c r="ADV6" s="91"/>
      <c r="ADW6" s="91"/>
      <c r="ADX6" s="91"/>
      <c r="ADY6" s="91"/>
      <c r="ADZ6" s="91"/>
      <c r="AEA6" s="91"/>
      <c r="AEB6" s="91"/>
      <c r="AEC6" s="91"/>
      <c r="AED6" s="91"/>
      <c r="AEE6" s="91"/>
      <c r="AEF6" s="91"/>
      <c r="AEG6" s="91"/>
      <c r="AEH6" s="91"/>
      <c r="AEI6" s="91"/>
      <c r="AEJ6" s="91"/>
      <c r="AEK6" s="91"/>
      <c r="AEL6" s="91"/>
      <c r="AEM6" s="91"/>
      <c r="AEN6" s="91"/>
      <c r="AEO6" s="91"/>
      <c r="AEP6" s="91"/>
      <c r="AEQ6" s="91"/>
      <c r="AER6" s="91"/>
      <c r="AES6" s="91"/>
      <c r="AET6" s="91"/>
      <c r="AEU6" s="91"/>
      <c r="AEV6" s="91"/>
      <c r="AEW6" s="91"/>
      <c r="AEX6" s="91"/>
      <c r="AEY6" s="91"/>
      <c r="AEZ6" s="91"/>
      <c r="AFA6" s="91"/>
      <c r="AFB6" s="91"/>
      <c r="AFC6" s="91"/>
      <c r="AFD6" s="91"/>
      <c r="AFE6" s="91"/>
      <c r="AFF6" s="91"/>
      <c r="AFG6" s="91"/>
      <c r="AFH6" s="91"/>
      <c r="AFI6" s="91"/>
      <c r="AFJ6" s="91"/>
      <c r="AFK6" s="91"/>
      <c r="AFL6" s="91"/>
      <c r="AFM6" s="91"/>
      <c r="AFN6" s="91"/>
      <c r="AFO6" s="91"/>
      <c r="AFP6" s="91"/>
      <c r="AFQ6" s="91"/>
      <c r="AFR6" s="91"/>
      <c r="AFS6" s="91"/>
      <c r="AFT6" s="91"/>
      <c r="AFU6" s="91"/>
      <c r="AFV6" s="91"/>
      <c r="AFW6" s="91"/>
      <c r="AFX6" s="91"/>
      <c r="AFY6" s="91"/>
      <c r="AFZ6" s="91"/>
      <c r="AGA6" s="91"/>
      <c r="AGB6" s="91"/>
      <c r="AGC6" s="91"/>
      <c r="AGD6" s="91"/>
      <c r="AGE6" s="91"/>
      <c r="AGF6" s="91"/>
      <c r="AGG6" s="91"/>
      <c r="AGH6" s="91"/>
      <c r="AGI6" s="91"/>
      <c r="AGJ6" s="91"/>
      <c r="AGK6" s="91"/>
      <c r="AGL6" s="91"/>
      <c r="AGM6" s="91"/>
      <c r="AGN6" s="91"/>
      <c r="AGO6" s="91"/>
      <c r="AGP6" s="91"/>
      <c r="AGQ6" s="91"/>
      <c r="AGR6" s="91"/>
      <c r="AGS6" s="91"/>
      <c r="AGT6" s="91"/>
      <c r="AGU6" s="91"/>
      <c r="AGV6" s="91"/>
      <c r="AGW6" s="91"/>
      <c r="AGX6" s="91"/>
      <c r="AGY6" s="91"/>
      <c r="AGZ6" s="91"/>
      <c r="AHA6" s="91"/>
      <c r="AHB6" s="91"/>
      <c r="AHC6" s="91"/>
      <c r="AHD6" s="91"/>
      <c r="AHE6" s="91"/>
      <c r="AHF6" s="91"/>
      <c r="AHG6" s="91"/>
      <c r="AHH6" s="91"/>
      <c r="AHI6" s="91"/>
      <c r="AHJ6" s="91"/>
      <c r="AHK6" s="91"/>
      <c r="AHL6" s="91"/>
      <c r="AHM6" s="91"/>
      <c r="AHN6" s="91"/>
      <c r="AHO6" s="91"/>
      <c r="AHP6" s="91"/>
      <c r="AHQ6" s="91"/>
      <c r="AHR6" s="91"/>
      <c r="AHS6" s="91"/>
      <c r="AHT6" s="91"/>
      <c r="AHU6" s="91"/>
      <c r="AHV6" s="91"/>
      <c r="AHW6" s="91"/>
      <c r="AHX6" s="91"/>
      <c r="AHY6" s="91"/>
      <c r="AHZ6" s="91"/>
      <c r="AIA6" s="91"/>
      <c r="AIB6" s="91"/>
      <c r="AIC6" s="91"/>
      <c r="AID6" s="91"/>
      <c r="AIE6" s="91"/>
      <c r="AIF6" s="91"/>
      <c r="AIG6" s="91"/>
      <c r="AIH6" s="91"/>
      <c r="AII6" s="91"/>
      <c r="AIJ6" s="91"/>
      <c r="AIK6" s="91"/>
      <c r="AIL6" s="91"/>
      <c r="AIM6" s="91"/>
      <c r="AIN6" s="91"/>
      <c r="AIO6" s="91"/>
      <c r="AIP6" s="91"/>
      <c r="AIQ6" s="91"/>
      <c r="AIR6" s="91"/>
      <c r="AIS6" s="91"/>
      <c r="AIT6" s="91"/>
      <c r="AIU6" s="91"/>
      <c r="AIV6" s="91"/>
      <c r="AIW6" s="91"/>
      <c r="AIX6" s="91"/>
      <c r="AIY6" s="91"/>
      <c r="AIZ6" s="91"/>
      <c r="AJA6" s="91"/>
      <c r="AJB6" s="91"/>
      <c r="AJC6" s="91"/>
      <c r="AJD6" s="91"/>
      <c r="AJE6" s="91"/>
      <c r="AJF6" s="91"/>
      <c r="AJG6" s="91"/>
      <c r="AJH6" s="91"/>
      <c r="AJI6" s="91"/>
      <c r="AJJ6" s="91"/>
      <c r="AJK6" s="91"/>
      <c r="AJL6" s="91"/>
      <c r="AJM6" s="91"/>
      <c r="AJN6" s="91"/>
      <c r="AJO6" s="91"/>
      <c r="AJP6" s="91"/>
      <c r="AJQ6" s="91"/>
      <c r="AJR6" s="91"/>
      <c r="AJS6" s="91"/>
      <c r="AJT6" s="91"/>
      <c r="AJU6" s="91"/>
      <c r="AJV6" s="91"/>
      <c r="AJW6" s="91"/>
      <c r="AJX6" s="91"/>
      <c r="AJY6" s="91"/>
      <c r="AJZ6" s="91"/>
      <c r="AKA6" s="91"/>
      <c r="AKB6" s="91"/>
      <c r="AKC6" s="91"/>
      <c r="AKD6" s="91"/>
      <c r="AKE6" s="91"/>
      <c r="AKF6" s="91"/>
      <c r="AKG6" s="91"/>
      <c r="AKH6" s="91"/>
      <c r="AKI6" s="91"/>
      <c r="AKJ6" s="91"/>
      <c r="AKK6" s="91"/>
      <c r="AKL6" s="91"/>
      <c r="AKM6" s="91"/>
      <c r="AKN6" s="91"/>
      <c r="AKO6" s="91"/>
      <c r="AKP6" s="91"/>
      <c r="AKQ6" s="91"/>
      <c r="AKR6" s="91"/>
      <c r="AKS6" s="91"/>
      <c r="AKT6" s="91"/>
      <c r="AKU6" s="91"/>
      <c r="AKV6" s="91"/>
      <c r="AKW6" s="91"/>
      <c r="AKX6" s="91"/>
      <c r="AKY6" s="91"/>
      <c r="AKZ6" s="91"/>
      <c r="ALA6" s="91"/>
      <c r="ALB6" s="91"/>
      <c r="ALC6" s="91"/>
      <c r="ALD6" s="91"/>
      <c r="ALE6" s="91"/>
      <c r="ALF6" s="91"/>
      <c r="ALG6" s="91"/>
      <c r="ALH6" s="91"/>
      <c r="ALI6" s="91"/>
      <c r="ALJ6" s="91"/>
      <c r="ALK6" s="91"/>
      <c r="ALL6" s="91"/>
      <c r="ALM6" s="91"/>
      <c r="ALN6" s="91"/>
      <c r="ALO6" s="91"/>
      <c r="ALP6" s="91"/>
      <c r="ALQ6" s="91"/>
      <c r="ALR6" s="91"/>
      <c r="ALS6" s="91"/>
      <c r="ALT6" s="91"/>
      <c r="ALU6" s="91"/>
      <c r="ALV6" s="91"/>
      <c r="ALW6" s="91"/>
      <c r="ALX6" s="91"/>
      <c r="ALY6" s="91"/>
      <c r="ALZ6" s="91"/>
      <c r="AMA6" s="91"/>
      <c r="AMB6" s="91"/>
      <c r="AMC6" s="91"/>
      <c r="AMD6" s="91"/>
      <c r="AME6" s="91"/>
      <c r="AMF6" s="91"/>
      <c r="AMG6" s="91"/>
      <c r="AMH6" s="91"/>
      <c r="AMI6" s="91"/>
      <c r="AMJ6" s="91"/>
      <c r="AMK6" s="91"/>
      <c r="AML6" s="91"/>
      <c r="AMM6" s="91"/>
      <c r="AMN6" s="91"/>
      <c r="AMO6" s="91"/>
      <c r="AMP6" s="91"/>
      <c r="AMQ6" s="91"/>
      <c r="AMR6" s="91"/>
      <c r="AMS6" s="91"/>
      <c r="AMT6" s="91"/>
      <c r="AMU6" s="91"/>
      <c r="AMV6" s="91"/>
      <c r="AMW6" s="91"/>
      <c r="AMX6" s="91"/>
      <c r="AMY6" s="91"/>
      <c r="AMZ6" s="91"/>
      <c r="ANA6" s="91"/>
      <c r="ANB6" s="91"/>
      <c r="ANC6" s="91"/>
      <c r="AND6" s="91"/>
      <c r="ANE6" s="91"/>
      <c r="ANF6" s="91"/>
      <c r="ANG6" s="91"/>
      <c r="ANH6" s="91"/>
      <c r="ANI6" s="91"/>
      <c r="ANJ6" s="91"/>
      <c r="ANK6" s="91"/>
      <c r="ANL6" s="91"/>
      <c r="ANM6" s="91"/>
      <c r="ANN6" s="91"/>
      <c r="ANO6" s="91"/>
      <c r="ANP6" s="91"/>
      <c r="ANQ6" s="91"/>
      <c r="ANR6" s="91"/>
      <c r="ANS6" s="91"/>
      <c r="ANT6" s="91"/>
      <c r="ANU6" s="91"/>
      <c r="ANV6" s="91"/>
      <c r="ANW6" s="91"/>
      <c r="ANX6" s="91"/>
      <c r="ANY6" s="91"/>
      <c r="ANZ6" s="91"/>
      <c r="AOA6" s="91"/>
      <c r="AOB6" s="91"/>
      <c r="AOC6" s="91"/>
      <c r="AOD6" s="91"/>
      <c r="AOE6" s="91"/>
      <c r="AOF6" s="91"/>
      <c r="AOG6" s="91"/>
      <c r="AOH6" s="91"/>
      <c r="AOI6" s="91"/>
      <c r="AOJ6" s="91"/>
      <c r="AOK6" s="91"/>
      <c r="AOL6" s="91"/>
      <c r="AOM6" s="91"/>
      <c r="AON6" s="91"/>
      <c r="AOO6" s="91"/>
      <c r="AOP6" s="91"/>
      <c r="AOQ6" s="91"/>
      <c r="AOR6" s="91"/>
      <c r="AOS6" s="91"/>
      <c r="AOT6" s="91"/>
      <c r="AOU6" s="91"/>
      <c r="AOV6" s="91"/>
      <c r="AOW6" s="91"/>
      <c r="AOX6" s="91"/>
      <c r="AOY6" s="91"/>
      <c r="AOZ6" s="91"/>
      <c r="APA6" s="91"/>
      <c r="APB6" s="91"/>
      <c r="APC6" s="91"/>
      <c r="APD6" s="91"/>
      <c r="APE6" s="91"/>
      <c r="APF6" s="91"/>
      <c r="APG6" s="91"/>
      <c r="APH6" s="91"/>
      <c r="API6" s="91"/>
      <c r="APJ6" s="91"/>
      <c r="APK6" s="91"/>
      <c r="APL6" s="91"/>
      <c r="APM6" s="91"/>
      <c r="APN6" s="91"/>
      <c r="APO6" s="91"/>
      <c r="APP6" s="91"/>
      <c r="APQ6" s="91"/>
      <c r="APR6" s="91"/>
      <c r="APS6" s="91"/>
      <c r="APT6" s="91"/>
      <c r="APU6" s="91"/>
      <c r="APV6" s="91"/>
      <c r="APW6" s="91"/>
      <c r="APX6" s="91"/>
      <c r="APY6" s="91"/>
      <c r="APZ6" s="91"/>
      <c r="AQA6" s="91"/>
      <c r="AQB6" s="91"/>
      <c r="AQC6" s="91"/>
      <c r="AQD6" s="91"/>
      <c r="AQE6" s="91"/>
      <c r="AQF6" s="91"/>
      <c r="AQG6" s="91"/>
      <c r="AQH6" s="91"/>
      <c r="AQI6" s="91"/>
      <c r="AQJ6" s="91"/>
      <c r="AQK6" s="91"/>
      <c r="AQL6" s="91"/>
      <c r="AQM6" s="91"/>
      <c r="AQN6" s="91"/>
      <c r="AQO6" s="91"/>
      <c r="AQP6" s="91"/>
      <c r="AQQ6" s="91"/>
      <c r="AQR6" s="91"/>
      <c r="AQS6" s="91"/>
      <c r="AQT6" s="91"/>
      <c r="AQU6" s="91"/>
      <c r="AQV6" s="91"/>
      <c r="AQW6" s="91"/>
      <c r="AQX6" s="91"/>
      <c r="AQY6" s="91"/>
      <c r="AQZ6" s="91"/>
      <c r="ARA6" s="91"/>
      <c r="ARB6" s="91"/>
      <c r="ARC6" s="91"/>
      <c r="ARD6" s="91"/>
      <c r="ARE6" s="91"/>
      <c r="ARF6" s="91"/>
      <c r="ARG6" s="91"/>
      <c r="ARH6" s="91"/>
      <c r="ARI6" s="91"/>
      <c r="ARJ6" s="91"/>
      <c r="ARK6" s="91"/>
      <c r="ARL6" s="91"/>
      <c r="ARM6" s="91"/>
      <c r="ARN6" s="91"/>
      <c r="ARO6" s="91"/>
      <c r="ARP6" s="91"/>
      <c r="ARQ6" s="91"/>
      <c r="ARR6" s="91"/>
      <c r="ARS6" s="91"/>
      <c r="ART6" s="91"/>
      <c r="ARU6" s="91"/>
      <c r="ARV6" s="91"/>
      <c r="ARW6" s="91"/>
      <c r="ARX6" s="91"/>
      <c r="ARY6" s="91"/>
      <c r="ARZ6" s="91"/>
      <c r="ASA6" s="91"/>
      <c r="ASB6" s="91"/>
      <c r="ASC6" s="91"/>
      <c r="ASD6" s="91"/>
      <c r="ASE6" s="91"/>
      <c r="ASF6" s="91"/>
      <c r="ASG6" s="91"/>
      <c r="ASH6" s="91"/>
      <c r="ASI6" s="91"/>
      <c r="ASJ6" s="91"/>
      <c r="ASK6" s="91"/>
      <c r="ASL6" s="91"/>
      <c r="ASM6" s="91"/>
      <c r="ASN6" s="91"/>
      <c r="ASO6" s="91"/>
      <c r="ASP6" s="91"/>
      <c r="ASQ6" s="91"/>
      <c r="ASR6" s="91"/>
      <c r="ASS6" s="91"/>
      <c r="AST6" s="91"/>
      <c r="ASU6" s="91"/>
      <c r="ASV6" s="91"/>
      <c r="ASW6" s="91"/>
      <c r="ASX6" s="91"/>
      <c r="ASY6" s="91"/>
      <c r="ASZ6" s="91"/>
      <c r="ATA6" s="91"/>
      <c r="ATB6" s="91"/>
      <c r="ATC6" s="91"/>
      <c r="ATD6" s="91"/>
      <c r="ATE6" s="91"/>
      <c r="ATF6" s="91"/>
      <c r="ATG6" s="91"/>
      <c r="ATH6" s="91"/>
      <c r="ATI6" s="91"/>
      <c r="ATJ6" s="91"/>
      <c r="ATK6" s="91"/>
      <c r="ATL6" s="91"/>
      <c r="ATM6" s="91"/>
      <c r="ATN6" s="91"/>
      <c r="ATO6" s="91"/>
      <c r="ATP6" s="91"/>
      <c r="ATQ6" s="91"/>
      <c r="ATR6" s="91"/>
      <c r="ATS6" s="91"/>
      <c r="ATT6" s="91"/>
      <c r="ATU6" s="91"/>
      <c r="ATV6" s="91"/>
      <c r="ATW6" s="91"/>
      <c r="ATX6" s="91"/>
      <c r="ATY6" s="91"/>
      <c r="ATZ6" s="91"/>
      <c r="AUA6" s="91"/>
      <c r="AUB6" s="91"/>
      <c r="AUC6" s="91"/>
      <c r="AUD6" s="91"/>
      <c r="AUE6" s="91"/>
      <c r="AUF6" s="91"/>
      <c r="AUG6" s="91"/>
      <c r="AUH6" s="91"/>
      <c r="AUI6" s="91"/>
      <c r="AUJ6" s="91"/>
      <c r="AUK6" s="91"/>
      <c r="AUL6" s="91"/>
      <c r="AUM6" s="91"/>
      <c r="AUN6" s="91"/>
      <c r="AUO6" s="91"/>
      <c r="AUP6" s="91"/>
      <c r="AUQ6" s="91"/>
      <c r="AUR6" s="91"/>
      <c r="AUS6" s="91"/>
      <c r="AUT6" s="91"/>
      <c r="AUU6" s="91"/>
      <c r="AUV6" s="91"/>
      <c r="AUW6" s="91"/>
      <c r="AUX6" s="91"/>
      <c r="AUY6" s="91"/>
      <c r="AUZ6" s="91"/>
      <c r="AVA6" s="91"/>
      <c r="AVB6" s="91"/>
      <c r="AVC6" s="91"/>
      <c r="AVD6" s="91"/>
      <c r="AVE6" s="91"/>
      <c r="AVF6" s="91"/>
      <c r="AVG6" s="91"/>
      <c r="AVH6" s="91"/>
      <c r="AVI6" s="91"/>
      <c r="AVJ6" s="91"/>
      <c r="AVK6" s="91"/>
      <c r="AVL6" s="91"/>
      <c r="AVM6" s="91"/>
      <c r="AVN6" s="91"/>
      <c r="AVO6" s="91"/>
      <c r="AVP6" s="91"/>
      <c r="AVQ6" s="91"/>
      <c r="AVR6" s="91"/>
      <c r="AVS6" s="91"/>
      <c r="AVT6" s="91"/>
      <c r="AVU6" s="91"/>
      <c r="AVV6" s="91"/>
      <c r="AVW6" s="91"/>
      <c r="AVX6" s="91"/>
      <c r="AVY6" s="91"/>
      <c r="AVZ6" s="91"/>
      <c r="AWA6" s="91"/>
      <c r="AWB6" s="91"/>
      <c r="AWC6" s="91"/>
      <c r="AWD6" s="91"/>
      <c r="AWE6" s="91"/>
      <c r="AWF6" s="91"/>
      <c r="AWG6" s="91"/>
      <c r="AWH6" s="91"/>
      <c r="AWI6" s="91"/>
      <c r="AWJ6" s="91"/>
      <c r="AWK6" s="91"/>
      <c r="AWL6" s="91"/>
      <c r="AWM6" s="91"/>
      <c r="AWN6" s="91"/>
      <c r="AWO6" s="91"/>
      <c r="AWP6" s="91"/>
      <c r="AWQ6" s="91"/>
      <c r="AWR6" s="91"/>
      <c r="AWS6" s="91"/>
      <c r="AWT6" s="91"/>
      <c r="AWU6" s="91"/>
      <c r="AWV6" s="91"/>
      <c r="AWW6" s="91"/>
      <c r="AWX6" s="91"/>
      <c r="AWY6" s="91"/>
      <c r="AWZ6" s="91"/>
      <c r="AXA6" s="91"/>
      <c r="AXB6" s="91"/>
      <c r="AXC6" s="91"/>
      <c r="AXD6" s="91"/>
      <c r="AXE6" s="91"/>
      <c r="AXF6" s="91"/>
      <c r="AXG6" s="91"/>
      <c r="AXH6" s="91"/>
      <c r="AXI6" s="91"/>
      <c r="AXJ6" s="91"/>
      <c r="AXK6" s="91"/>
      <c r="AXL6" s="91"/>
      <c r="AXM6" s="91"/>
      <c r="AXN6" s="91"/>
      <c r="AXO6" s="91"/>
      <c r="AXP6" s="91"/>
      <c r="AXQ6" s="91"/>
      <c r="AXR6" s="91"/>
      <c r="AXS6" s="91"/>
      <c r="AXT6" s="91"/>
      <c r="AXU6" s="91"/>
      <c r="AXV6" s="91"/>
      <c r="AXW6" s="91"/>
      <c r="AXX6" s="91"/>
      <c r="AXY6" s="91"/>
      <c r="AXZ6" s="91"/>
      <c r="AYA6" s="91"/>
      <c r="AYB6" s="91"/>
      <c r="AYC6" s="91"/>
      <c r="AYD6" s="91"/>
      <c r="AYE6" s="91"/>
      <c r="AYF6" s="91"/>
      <c r="AYG6" s="91"/>
      <c r="AYH6" s="91"/>
      <c r="AYI6" s="91"/>
      <c r="AYJ6" s="91"/>
      <c r="AYK6" s="91"/>
      <c r="AYL6" s="91"/>
      <c r="AYM6" s="91"/>
      <c r="AYN6" s="91"/>
      <c r="AYO6" s="91"/>
      <c r="AYP6" s="91"/>
      <c r="AYQ6" s="91"/>
      <c r="AYR6" s="91"/>
      <c r="AYS6" s="91"/>
      <c r="AYT6" s="91"/>
      <c r="AYU6" s="91"/>
      <c r="AYV6" s="91"/>
      <c r="AYW6" s="91"/>
      <c r="AYX6" s="91"/>
      <c r="AYY6" s="91"/>
      <c r="AYZ6" s="91"/>
      <c r="AZA6" s="91"/>
      <c r="AZB6" s="91"/>
      <c r="AZC6" s="91"/>
      <c r="AZD6" s="91"/>
      <c r="AZE6" s="91"/>
      <c r="AZF6" s="91"/>
      <c r="AZG6" s="91"/>
      <c r="AZH6" s="91"/>
      <c r="AZI6" s="91"/>
      <c r="AZJ6" s="91"/>
      <c r="AZK6" s="91"/>
      <c r="AZL6" s="91"/>
      <c r="AZM6" s="91"/>
      <c r="AZN6" s="91"/>
      <c r="AZO6" s="91"/>
      <c r="AZP6" s="91"/>
      <c r="AZQ6" s="91"/>
      <c r="AZR6" s="91"/>
      <c r="AZS6" s="91"/>
      <c r="AZT6" s="91"/>
      <c r="AZU6" s="91"/>
      <c r="AZV6" s="91"/>
      <c r="AZW6" s="91"/>
      <c r="AZX6" s="91"/>
      <c r="AZY6" s="91"/>
      <c r="AZZ6" s="91"/>
      <c r="BAA6" s="91"/>
      <c r="BAB6" s="91"/>
      <c r="BAC6" s="91"/>
      <c r="BAD6" s="91"/>
      <c r="BAE6" s="91"/>
      <c r="BAF6" s="91"/>
      <c r="BAG6" s="91"/>
      <c r="BAH6" s="91"/>
      <c r="BAI6" s="91"/>
      <c r="BAJ6" s="91"/>
      <c r="BAK6" s="91"/>
      <c r="BAL6" s="91"/>
      <c r="BAM6" s="91"/>
      <c r="BAN6" s="91"/>
      <c r="BAO6" s="91"/>
      <c r="BAP6" s="91"/>
      <c r="BAQ6" s="91"/>
      <c r="BAR6" s="91"/>
      <c r="BAS6" s="91"/>
      <c r="BAT6" s="91"/>
      <c r="BAU6" s="91"/>
      <c r="BAV6" s="91"/>
      <c r="BAW6" s="91"/>
      <c r="BAX6" s="91"/>
      <c r="BAY6" s="91"/>
      <c r="BAZ6" s="91"/>
      <c r="BBA6" s="91"/>
      <c r="BBB6" s="91"/>
      <c r="BBC6" s="91"/>
      <c r="BBD6" s="91"/>
      <c r="BBE6" s="91"/>
      <c r="BBF6" s="91"/>
      <c r="BBG6" s="91"/>
      <c r="BBH6" s="91"/>
      <c r="BBI6" s="91"/>
      <c r="BBJ6" s="91"/>
      <c r="BBK6" s="91"/>
      <c r="BBL6" s="91"/>
      <c r="BBM6" s="91"/>
      <c r="BBN6" s="91"/>
      <c r="BBO6" s="91"/>
      <c r="BBP6" s="91"/>
      <c r="BBQ6" s="91"/>
      <c r="BBR6" s="91"/>
      <c r="BBS6" s="91"/>
      <c r="BBT6" s="91"/>
      <c r="BBU6" s="91"/>
      <c r="BBV6" s="91"/>
      <c r="BBW6" s="91"/>
      <c r="BBX6" s="91"/>
      <c r="BBY6" s="91"/>
      <c r="BBZ6" s="91"/>
      <c r="BCA6" s="91"/>
      <c r="BCB6" s="91"/>
      <c r="BCC6" s="91"/>
      <c r="BCD6" s="91"/>
      <c r="BCE6" s="91"/>
      <c r="BCF6" s="91"/>
      <c r="BCG6" s="91"/>
      <c r="BCH6" s="91"/>
      <c r="BCI6" s="91"/>
      <c r="BCJ6" s="91"/>
      <c r="BCK6" s="91"/>
      <c r="BCL6" s="91"/>
      <c r="BCM6" s="91"/>
      <c r="BCN6" s="91"/>
      <c r="BCO6" s="91"/>
      <c r="BCP6" s="91"/>
      <c r="BCQ6" s="91"/>
      <c r="BCR6" s="91"/>
      <c r="BCS6" s="91"/>
      <c r="BCT6" s="91"/>
      <c r="BCU6" s="91"/>
      <c r="BCV6" s="91"/>
      <c r="BCW6" s="91"/>
      <c r="BCX6" s="91"/>
      <c r="BCY6" s="91"/>
      <c r="BCZ6" s="91"/>
      <c r="BDA6" s="91"/>
      <c r="BDB6" s="91"/>
      <c r="BDC6" s="91"/>
      <c r="BDD6" s="91"/>
      <c r="BDE6" s="91"/>
      <c r="BDF6" s="91"/>
      <c r="BDG6" s="91"/>
      <c r="BDH6" s="91"/>
      <c r="BDI6" s="91"/>
      <c r="BDJ6" s="91"/>
      <c r="BDK6" s="91"/>
      <c r="BDL6" s="91"/>
      <c r="BDM6" s="91"/>
      <c r="BDN6" s="91"/>
      <c r="BDO6" s="91"/>
      <c r="BDP6" s="91"/>
      <c r="BDQ6" s="91"/>
      <c r="BDR6" s="91"/>
      <c r="BDS6" s="91"/>
      <c r="BDT6" s="91"/>
      <c r="BDU6" s="91"/>
      <c r="BDV6" s="91"/>
      <c r="BDW6" s="91"/>
      <c r="BDX6" s="91"/>
      <c r="BDY6" s="91"/>
      <c r="BDZ6" s="91"/>
      <c r="BEA6" s="91"/>
      <c r="BEB6" s="91"/>
      <c r="BEC6" s="91"/>
      <c r="BED6" s="91"/>
      <c r="BEE6" s="91"/>
      <c r="BEF6" s="91"/>
      <c r="BEG6" s="91"/>
      <c r="BEH6" s="91"/>
      <c r="BEI6" s="91"/>
      <c r="BEJ6" s="91"/>
      <c r="BEK6" s="91"/>
      <c r="BEL6" s="91"/>
      <c r="BEM6" s="91"/>
      <c r="BEN6" s="91"/>
      <c r="BEO6" s="91"/>
      <c r="BEP6" s="91"/>
      <c r="BEQ6" s="91"/>
      <c r="BER6" s="91"/>
      <c r="BES6" s="91"/>
      <c r="BET6" s="91"/>
      <c r="BEU6" s="91"/>
      <c r="BEV6" s="91"/>
      <c r="BEW6" s="91"/>
      <c r="BEX6" s="91"/>
      <c r="BEY6" s="91"/>
      <c r="BEZ6" s="91"/>
      <c r="BFA6" s="91"/>
      <c r="BFB6" s="91"/>
      <c r="BFC6" s="91"/>
      <c r="BFD6" s="91"/>
      <c r="BFE6" s="91"/>
      <c r="BFF6" s="91"/>
      <c r="BFG6" s="91"/>
      <c r="BFH6" s="91"/>
      <c r="BFI6" s="91"/>
      <c r="BFJ6" s="91"/>
      <c r="BFK6" s="91"/>
      <c r="BFL6" s="91"/>
      <c r="BFM6" s="91"/>
      <c r="BFN6" s="91"/>
      <c r="BFO6" s="91"/>
      <c r="BFP6" s="91"/>
      <c r="BFQ6" s="91"/>
      <c r="BFR6" s="91"/>
      <c r="BFS6" s="91"/>
      <c r="BFT6" s="91"/>
      <c r="BFU6" s="91"/>
      <c r="BFV6" s="91"/>
      <c r="BFW6" s="91"/>
      <c r="BFX6" s="91"/>
      <c r="BFY6" s="91"/>
      <c r="BFZ6" s="91"/>
      <c r="BGA6" s="91"/>
      <c r="BGB6" s="91"/>
      <c r="BGC6" s="91"/>
      <c r="BGD6" s="91"/>
      <c r="BGE6" s="91"/>
      <c r="BGF6" s="91"/>
      <c r="BGG6" s="91"/>
      <c r="BGH6" s="91"/>
      <c r="BGI6" s="91"/>
      <c r="BGJ6" s="91"/>
      <c r="BGK6" s="91"/>
      <c r="BGL6" s="91"/>
      <c r="BGM6" s="91"/>
      <c r="BGN6" s="91"/>
      <c r="BGO6" s="91"/>
      <c r="BGP6" s="91"/>
      <c r="BGQ6" s="91"/>
      <c r="BGR6" s="91"/>
      <c r="BGS6" s="91"/>
      <c r="BGT6" s="91"/>
      <c r="BGU6" s="91"/>
      <c r="BGV6" s="91"/>
      <c r="BGW6" s="91"/>
      <c r="BGX6" s="91"/>
      <c r="BGY6" s="91"/>
      <c r="BGZ6" s="91"/>
      <c r="BHA6" s="91"/>
      <c r="BHB6" s="91"/>
      <c r="BHC6" s="91"/>
      <c r="BHD6" s="91"/>
      <c r="BHE6" s="91"/>
      <c r="BHF6" s="91"/>
      <c r="BHG6" s="91"/>
      <c r="BHH6" s="91"/>
      <c r="BHI6" s="91"/>
      <c r="BHJ6" s="91"/>
      <c r="BHK6" s="91"/>
      <c r="BHL6" s="91"/>
      <c r="BHM6" s="91"/>
      <c r="BHN6" s="91"/>
      <c r="BHO6" s="91"/>
      <c r="BHP6" s="91"/>
      <c r="BHQ6" s="91"/>
      <c r="BHR6" s="91"/>
      <c r="BHS6" s="91"/>
      <c r="BHT6" s="91"/>
      <c r="BHU6" s="91"/>
      <c r="BHV6" s="91"/>
      <c r="BHW6" s="91"/>
      <c r="BHX6" s="91"/>
      <c r="BHY6" s="91"/>
      <c r="BHZ6" s="91"/>
      <c r="BIA6" s="91"/>
      <c r="BIB6" s="91"/>
      <c r="BIC6" s="91"/>
      <c r="BID6" s="91"/>
      <c r="BIE6" s="91"/>
      <c r="BIF6" s="91"/>
      <c r="BIG6" s="91"/>
      <c r="BIH6" s="91"/>
      <c r="BII6" s="91"/>
      <c r="BIJ6" s="91"/>
      <c r="BIK6" s="91"/>
      <c r="BIL6" s="91"/>
      <c r="BIM6" s="91"/>
      <c r="BIN6" s="91"/>
      <c r="BIO6" s="91"/>
      <c r="BIP6" s="91"/>
      <c r="BIQ6" s="91"/>
      <c r="BIR6" s="91"/>
      <c r="BIS6" s="91"/>
      <c r="BIT6" s="91"/>
      <c r="BIU6" s="91"/>
      <c r="BIV6" s="91"/>
      <c r="BIW6" s="91"/>
      <c r="BIX6" s="91"/>
      <c r="BIY6" s="91"/>
      <c r="BIZ6" s="91"/>
      <c r="BJA6" s="91"/>
      <c r="BJB6" s="91"/>
      <c r="BJC6" s="91"/>
      <c r="BJD6" s="91"/>
      <c r="BJE6" s="91"/>
      <c r="BJF6" s="91"/>
      <c r="BJG6" s="91"/>
      <c r="BJH6" s="91"/>
      <c r="BJI6" s="91"/>
      <c r="BJJ6" s="91"/>
      <c r="BJK6" s="91"/>
      <c r="BJL6" s="91"/>
      <c r="BJM6" s="91"/>
      <c r="BJN6" s="91"/>
      <c r="BJO6" s="91"/>
      <c r="BJP6" s="91"/>
      <c r="BJQ6" s="91"/>
      <c r="BJR6" s="91"/>
      <c r="BJS6" s="91"/>
      <c r="BJT6" s="91"/>
      <c r="BJU6" s="91"/>
      <c r="BJV6" s="91"/>
      <c r="BJW6" s="91"/>
      <c r="BJX6" s="91"/>
      <c r="BJY6" s="91"/>
      <c r="BJZ6" s="91"/>
      <c r="BKA6" s="91"/>
      <c r="BKB6" s="91"/>
      <c r="BKC6" s="91"/>
      <c r="BKD6" s="91"/>
      <c r="BKE6" s="91"/>
      <c r="BKF6" s="91"/>
      <c r="BKG6" s="91"/>
      <c r="BKH6" s="91"/>
      <c r="BKI6" s="91"/>
      <c r="BKJ6" s="91"/>
      <c r="BKK6" s="91"/>
      <c r="BKL6" s="91"/>
      <c r="BKM6" s="91"/>
      <c r="BKN6" s="91"/>
      <c r="BKO6" s="91"/>
      <c r="BKP6" s="91"/>
      <c r="BKQ6" s="91"/>
      <c r="BKR6" s="91"/>
      <c r="BKS6" s="91"/>
      <c r="BKT6" s="91"/>
      <c r="BKU6" s="91"/>
      <c r="BKV6" s="91"/>
      <c r="BKW6" s="91"/>
      <c r="BKX6" s="91"/>
      <c r="BKY6" s="91"/>
      <c r="BKZ6" s="91"/>
      <c r="BLA6" s="91"/>
      <c r="BLB6" s="91"/>
      <c r="BLC6" s="91"/>
      <c r="BLD6" s="91"/>
      <c r="BLE6" s="91"/>
      <c r="BLF6" s="91"/>
      <c r="BLG6" s="91"/>
      <c r="BLH6" s="91"/>
      <c r="BLI6" s="91"/>
      <c r="BLJ6" s="91"/>
      <c r="BLK6" s="91"/>
      <c r="BLL6" s="91"/>
      <c r="BLM6" s="91"/>
      <c r="BLN6" s="91"/>
      <c r="BLO6" s="91"/>
      <c r="BLP6" s="91"/>
      <c r="BLQ6" s="91"/>
      <c r="BLR6" s="91"/>
      <c r="BLS6" s="91"/>
      <c r="BLT6" s="91"/>
      <c r="BLU6" s="91"/>
      <c r="BLV6" s="91"/>
      <c r="BLW6" s="91"/>
      <c r="BLX6" s="91"/>
      <c r="BLY6" s="91"/>
      <c r="BLZ6" s="91"/>
      <c r="BMA6" s="91"/>
      <c r="BMB6" s="91"/>
      <c r="BMC6" s="91"/>
      <c r="BMD6" s="91"/>
      <c r="BME6" s="91"/>
      <c r="BMF6" s="91"/>
      <c r="BMG6" s="91"/>
      <c r="BMH6" s="91"/>
      <c r="BMI6" s="91"/>
      <c r="BMJ6" s="91"/>
      <c r="BMK6" s="91"/>
      <c r="BML6" s="91"/>
      <c r="BMM6" s="91"/>
      <c r="BMN6" s="91"/>
      <c r="BMO6" s="91"/>
      <c r="BMP6" s="91"/>
      <c r="BMQ6" s="91"/>
      <c r="BMR6" s="91"/>
      <c r="BMS6" s="91"/>
      <c r="BMT6" s="91"/>
      <c r="BMU6" s="91"/>
      <c r="BMV6" s="91"/>
      <c r="BMW6" s="91"/>
      <c r="BMX6" s="91"/>
      <c r="BMY6" s="91"/>
      <c r="BMZ6" s="91"/>
      <c r="BNA6" s="91"/>
      <c r="BNB6" s="91"/>
      <c r="BNC6" s="91"/>
      <c r="BND6" s="91"/>
      <c r="BNE6" s="91"/>
      <c r="BNF6" s="91"/>
      <c r="BNG6" s="91"/>
      <c r="BNH6" s="91"/>
      <c r="BNI6" s="91"/>
      <c r="BNJ6" s="91"/>
      <c r="BNK6" s="91"/>
      <c r="BNL6" s="91"/>
      <c r="BNM6" s="91"/>
      <c r="BNN6" s="91"/>
      <c r="BNO6" s="91"/>
      <c r="BNP6" s="91"/>
      <c r="BNQ6" s="91"/>
      <c r="BNR6" s="91"/>
      <c r="BNS6" s="91"/>
      <c r="BNT6" s="91"/>
      <c r="BNU6" s="91"/>
      <c r="BNV6" s="91"/>
      <c r="BNW6" s="91"/>
      <c r="BNX6" s="91"/>
      <c r="BNY6" s="91"/>
      <c r="BNZ6" s="91"/>
      <c r="BOA6" s="91"/>
      <c r="BOB6" s="91"/>
      <c r="BOC6" s="91"/>
      <c r="BOD6" s="91"/>
      <c r="BOE6" s="91"/>
      <c r="BOF6" s="91"/>
      <c r="BOG6" s="91"/>
      <c r="BOH6" s="91"/>
      <c r="BOI6" s="91"/>
      <c r="BOJ6" s="91"/>
      <c r="BOK6" s="91"/>
      <c r="BOL6" s="91"/>
      <c r="BOM6" s="91"/>
      <c r="BON6" s="91"/>
      <c r="BOO6" s="91"/>
      <c r="BOP6" s="91"/>
      <c r="BOQ6" s="91"/>
      <c r="BOR6" s="91"/>
      <c r="BOS6" s="91"/>
      <c r="BOT6" s="91"/>
      <c r="BOU6" s="91"/>
      <c r="BOV6" s="91"/>
      <c r="BOW6" s="91"/>
      <c r="BOX6" s="91"/>
      <c r="BOY6" s="91"/>
      <c r="BOZ6" s="91"/>
      <c r="BPA6" s="91"/>
      <c r="BPB6" s="91"/>
      <c r="BPC6" s="91"/>
      <c r="BPD6" s="91"/>
      <c r="BPE6" s="91"/>
      <c r="BPF6" s="91"/>
      <c r="BPG6" s="91"/>
      <c r="BPH6" s="91"/>
      <c r="BPI6" s="91"/>
      <c r="BPJ6" s="91"/>
      <c r="BPK6" s="91"/>
      <c r="BPL6" s="91"/>
      <c r="BPM6" s="91"/>
      <c r="BPN6" s="91"/>
      <c r="BPO6" s="91"/>
      <c r="BPP6" s="91"/>
      <c r="BPQ6" s="91"/>
      <c r="BPR6" s="91"/>
      <c r="BPS6" s="91"/>
      <c r="BPT6" s="91"/>
      <c r="BPU6" s="91"/>
      <c r="BPV6" s="91"/>
      <c r="BPW6" s="91"/>
      <c r="BPX6" s="91"/>
      <c r="BPY6" s="91"/>
      <c r="BPZ6" s="91"/>
      <c r="BQA6" s="91"/>
      <c r="BQB6" s="91"/>
      <c r="BQC6" s="91"/>
      <c r="BQD6" s="91"/>
      <c r="BQE6" s="91"/>
      <c r="BQF6" s="91"/>
      <c r="BQG6" s="91"/>
      <c r="BQH6" s="91"/>
      <c r="BQI6" s="91"/>
      <c r="BQJ6" s="91"/>
      <c r="BQK6" s="91"/>
      <c r="BQL6" s="91"/>
      <c r="BQM6" s="91"/>
      <c r="BQN6" s="91"/>
      <c r="BQO6" s="91"/>
      <c r="BQP6" s="91"/>
      <c r="BQQ6" s="91"/>
      <c r="BQR6" s="91"/>
      <c r="BQS6" s="91"/>
      <c r="BQT6" s="91"/>
      <c r="BQU6" s="91"/>
      <c r="BQV6" s="91"/>
      <c r="BQW6" s="91"/>
      <c r="BQX6" s="91"/>
      <c r="BQY6" s="91"/>
      <c r="BQZ6" s="91"/>
      <c r="BRA6" s="91"/>
      <c r="BRB6" s="91"/>
      <c r="BRC6" s="91"/>
      <c r="BRD6" s="91"/>
      <c r="BRE6" s="91"/>
      <c r="BRF6" s="91"/>
      <c r="BRG6" s="91"/>
      <c r="BRH6" s="91"/>
      <c r="BRI6" s="91"/>
      <c r="BRJ6" s="91"/>
      <c r="BRK6" s="91"/>
      <c r="BRL6" s="91"/>
      <c r="BRM6" s="91"/>
      <c r="BRN6" s="91"/>
      <c r="BRO6" s="91"/>
      <c r="BRP6" s="91"/>
      <c r="BRQ6" s="91"/>
      <c r="BRR6" s="91"/>
      <c r="BRS6" s="91"/>
      <c r="BRT6" s="91"/>
      <c r="BRU6" s="91"/>
      <c r="BRV6" s="91"/>
      <c r="BRW6" s="91"/>
      <c r="BRX6" s="91"/>
      <c r="BRY6" s="91"/>
      <c r="BRZ6" s="91"/>
      <c r="BSA6" s="91"/>
      <c r="BSB6" s="91"/>
      <c r="BSC6" s="91"/>
      <c r="BSD6" s="91"/>
      <c r="BSE6" s="91"/>
      <c r="BSF6" s="91"/>
      <c r="BSG6" s="91"/>
      <c r="BSH6" s="91"/>
      <c r="BSI6" s="91"/>
      <c r="BSJ6" s="91"/>
      <c r="BSK6" s="91"/>
      <c r="BSL6" s="91"/>
      <c r="BSM6" s="91"/>
      <c r="BSN6" s="91"/>
      <c r="BSO6" s="91"/>
      <c r="BSP6" s="91"/>
      <c r="BSQ6" s="91"/>
      <c r="BSR6" s="91"/>
      <c r="BSS6" s="91"/>
      <c r="BST6" s="91"/>
      <c r="BSU6" s="91"/>
      <c r="BSV6" s="91"/>
      <c r="BSW6" s="91"/>
      <c r="BSX6" s="91"/>
      <c r="BSY6" s="91"/>
      <c r="BSZ6" s="91"/>
      <c r="BTA6" s="91"/>
      <c r="BTB6" s="91"/>
      <c r="BTC6" s="91"/>
      <c r="BTD6" s="91"/>
      <c r="BTE6" s="91"/>
      <c r="BTF6" s="91"/>
      <c r="BTG6" s="91"/>
      <c r="BTH6" s="91"/>
      <c r="BTI6" s="91"/>
      <c r="BTJ6" s="91"/>
      <c r="BTK6" s="91"/>
      <c r="BTL6" s="91"/>
      <c r="BTM6" s="91"/>
      <c r="BTN6" s="91"/>
      <c r="BTO6" s="91"/>
      <c r="BTP6" s="91"/>
      <c r="BTQ6" s="91"/>
      <c r="BTR6" s="91"/>
      <c r="BTS6" s="91"/>
      <c r="BTT6" s="91"/>
      <c r="BTU6" s="91"/>
      <c r="BTV6" s="91"/>
      <c r="BTW6" s="91"/>
      <c r="BTX6" s="91"/>
      <c r="BTY6" s="91"/>
      <c r="BTZ6" s="91"/>
      <c r="BUA6" s="91"/>
      <c r="BUB6" s="91"/>
      <c r="BUC6" s="91"/>
      <c r="BUD6" s="91"/>
      <c r="BUE6" s="91"/>
      <c r="BUF6" s="91"/>
      <c r="BUG6" s="91"/>
      <c r="BUH6" s="91"/>
      <c r="BUI6" s="91"/>
      <c r="BUJ6" s="91"/>
      <c r="BUK6" s="91"/>
      <c r="BUL6" s="91"/>
      <c r="BUM6" s="91"/>
      <c r="BUN6" s="91"/>
      <c r="BUO6" s="91"/>
      <c r="BUP6" s="91"/>
      <c r="BUQ6" s="91"/>
      <c r="BUR6" s="91"/>
      <c r="BUS6" s="91"/>
      <c r="BUT6" s="91"/>
      <c r="BUU6" s="91"/>
      <c r="BUV6" s="91"/>
      <c r="BUW6" s="91"/>
      <c r="BUX6" s="91"/>
      <c r="BUY6" s="91"/>
      <c r="BUZ6" s="91"/>
      <c r="BVA6" s="91"/>
      <c r="BVB6" s="91"/>
      <c r="BVC6" s="91"/>
      <c r="BVD6" s="91"/>
      <c r="BVE6" s="91"/>
      <c r="BVF6" s="91"/>
      <c r="BVG6" s="91"/>
      <c r="BVH6" s="91"/>
      <c r="BVI6" s="91"/>
      <c r="BVJ6" s="91"/>
      <c r="BVK6" s="91"/>
      <c r="BVL6" s="91"/>
      <c r="BVM6" s="91"/>
      <c r="BVN6" s="91"/>
      <c r="BVO6" s="91"/>
      <c r="BVP6" s="91"/>
      <c r="BVQ6" s="91"/>
      <c r="BVR6" s="91"/>
      <c r="BVS6" s="91"/>
      <c r="BVT6" s="91"/>
      <c r="BVU6" s="91"/>
      <c r="BVV6" s="91"/>
      <c r="BVW6" s="91"/>
      <c r="BVX6" s="91"/>
      <c r="BVY6" s="91"/>
      <c r="BVZ6" s="91"/>
      <c r="BWA6" s="91"/>
      <c r="BWB6" s="91"/>
      <c r="BWC6" s="91"/>
      <c r="BWD6" s="91"/>
      <c r="BWE6" s="91"/>
      <c r="BWF6" s="91"/>
      <c r="BWG6" s="91"/>
      <c r="BWH6" s="91"/>
      <c r="BWI6" s="91"/>
      <c r="BWJ6" s="91"/>
      <c r="BWK6" s="91"/>
      <c r="BWL6" s="91"/>
      <c r="BWM6" s="91"/>
      <c r="BWN6" s="91"/>
      <c r="BWO6" s="91"/>
      <c r="BWP6" s="91"/>
      <c r="BWQ6" s="91"/>
      <c r="BWR6" s="91"/>
      <c r="BWS6" s="91"/>
      <c r="BWT6" s="91"/>
      <c r="BWU6" s="91"/>
      <c r="BWV6" s="91"/>
      <c r="BWW6" s="91"/>
      <c r="BWX6" s="91"/>
      <c r="BWY6" s="91"/>
      <c r="BWZ6" s="91"/>
      <c r="BXA6" s="91"/>
      <c r="BXB6" s="91"/>
      <c r="BXC6" s="91"/>
      <c r="BXD6" s="91"/>
      <c r="BXE6" s="91"/>
      <c r="BXF6" s="91"/>
      <c r="BXG6" s="91"/>
      <c r="BXH6" s="91"/>
      <c r="BXI6" s="91"/>
      <c r="BXJ6" s="91"/>
      <c r="BXK6" s="91"/>
      <c r="BXL6" s="91"/>
      <c r="BXM6" s="91"/>
      <c r="BXN6" s="91"/>
      <c r="BXO6" s="91"/>
      <c r="BXP6" s="91"/>
      <c r="BXQ6" s="91"/>
      <c r="BXR6" s="91"/>
      <c r="BXS6" s="91"/>
      <c r="BXT6" s="91"/>
      <c r="BXU6" s="91"/>
      <c r="BXV6" s="91"/>
      <c r="BXW6" s="91"/>
      <c r="BXX6" s="91"/>
      <c r="BXY6" s="91"/>
      <c r="BXZ6" s="91"/>
      <c r="BYA6" s="91"/>
      <c r="BYB6" s="91"/>
      <c r="BYC6" s="91"/>
      <c r="BYD6" s="91"/>
      <c r="BYE6" s="91"/>
      <c r="BYF6" s="91"/>
      <c r="BYG6" s="91"/>
      <c r="BYH6" s="91"/>
      <c r="BYI6" s="91"/>
      <c r="BYJ6" s="91"/>
      <c r="BYK6" s="91"/>
      <c r="BYL6" s="91"/>
      <c r="BYM6" s="91"/>
      <c r="BYN6" s="91"/>
      <c r="BYO6" s="91"/>
      <c r="BYP6" s="91"/>
      <c r="BYQ6" s="91"/>
      <c r="BYR6" s="91"/>
      <c r="BYS6" s="91"/>
      <c r="BYT6" s="91"/>
      <c r="BYU6" s="91"/>
      <c r="BYV6" s="91"/>
      <c r="BYW6" s="91"/>
      <c r="BYX6" s="91"/>
      <c r="BYY6" s="91"/>
      <c r="BYZ6" s="91"/>
      <c r="BZA6" s="91"/>
      <c r="BZB6" s="91"/>
      <c r="BZC6" s="91"/>
      <c r="BZD6" s="91"/>
      <c r="BZE6" s="91"/>
      <c r="BZF6" s="91"/>
      <c r="BZG6" s="91"/>
      <c r="BZH6" s="91"/>
      <c r="BZI6" s="91"/>
      <c r="BZJ6" s="91"/>
      <c r="BZK6" s="91"/>
      <c r="BZL6" s="91"/>
      <c r="BZM6" s="91"/>
      <c r="BZN6" s="91"/>
      <c r="BZO6" s="91"/>
      <c r="BZP6" s="91"/>
      <c r="BZQ6" s="91"/>
      <c r="BZR6" s="91"/>
      <c r="BZS6" s="91"/>
      <c r="BZT6" s="91"/>
      <c r="BZU6" s="91"/>
      <c r="BZV6" s="91"/>
      <c r="BZW6" s="91"/>
      <c r="BZX6" s="91"/>
      <c r="BZY6" s="91"/>
      <c r="BZZ6" s="91"/>
      <c r="CAA6" s="91"/>
      <c r="CAB6" s="91"/>
      <c r="CAC6" s="91"/>
      <c r="CAD6" s="91"/>
      <c r="CAE6" s="91"/>
      <c r="CAF6" s="91"/>
      <c r="CAG6" s="91"/>
      <c r="CAH6" s="91"/>
      <c r="CAI6" s="91"/>
      <c r="CAJ6" s="91"/>
      <c r="CAK6" s="91"/>
      <c r="CAL6" s="91"/>
      <c r="CAM6" s="91"/>
      <c r="CAN6" s="91"/>
      <c r="CAO6" s="91"/>
      <c r="CAP6" s="91"/>
      <c r="CAQ6" s="91"/>
      <c r="CAR6" s="91"/>
      <c r="CAS6" s="91"/>
      <c r="CAT6" s="91"/>
      <c r="CAU6" s="91"/>
      <c r="CAV6" s="91"/>
      <c r="CAW6" s="91"/>
      <c r="CAX6" s="91"/>
      <c r="CAY6" s="91"/>
      <c r="CAZ6" s="91"/>
      <c r="CBA6" s="91"/>
      <c r="CBB6" s="91"/>
      <c r="CBC6" s="91"/>
      <c r="CBD6" s="91"/>
      <c r="CBE6" s="91"/>
      <c r="CBF6" s="91"/>
      <c r="CBG6" s="91"/>
      <c r="CBH6" s="91"/>
      <c r="CBI6" s="91"/>
      <c r="CBJ6" s="91"/>
      <c r="CBK6" s="91"/>
      <c r="CBL6" s="91"/>
      <c r="CBM6" s="91"/>
      <c r="CBN6" s="91"/>
      <c r="CBO6" s="91"/>
      <c r="CBP6" s="91"/>
      <c r="CBQ6" s="91"/>
      <c r="CBR6" s="91"/>
      <c r="CBS6" s="91"/>
      <c r="CBT6" s="91"/>
      <c r="CBU6" s="91"/>
      <c r="CBV6" s="91"/>
      <c r="CBW6" s="91"/>
      <c r="CBX6" s="91"/>
      <c r="CBY6" s="91"/>
      <c r="CBZ6" s="91"/>
      <c r="CCA6" s="91"/>
      <c r="CCB6" s="91"/>
      <c r="CCC6" s="91"/>
      <c r="CCD6" s="91"/>
      <c r="CCE6" s="91"/>
      <c r="CCF6" s="91"/>
      <c r="CCG6" s="91"/>
      <c r="CCH6" s="91"/>
      <c r="CCI6" s="91"/>
      <c r="CCJ6" s="91"/>
      <c r="CCK6" s="91"/>
      <c r="CCL6" s="91"/>
      <c r="CCM6" s="91"/>
      <c r="CCN6" s="91"/>
      <c r="CCO6" s="91"/>
      <c r="CCP6" s="91"/>
      <c r="CCQ6" s="91"/>
      <c r="CCR6" s="91"/>
      <c r="CCS6" s="91"/>
      <c r="CCT6" s="91"/>
      <c r="CCU6" s="91"/>
      <c r="CCV6" s="91"/>
    </row>
    <row r="7" spans="1:2129 15008:15070 15386:15394" ht="14.1" customHeight="1" x14ac:dyDescent="0.25">
      <c r="G7" s="168" t="s">
        <v>86</v>
      </c>
      <c r="H7" s="169"/>
      <c r="I7" s="90"/>
      <c r="J7" s="170"/>
      <c r="K7" s="90"/>
      <c r="L7" s="89"/>
      <c r="M7" s="88"/>
      <c r="N7" s="140"/>
      <c r="O7" s="140"/>
      <c r="P7" s="154"/>
      <c r="Q7" s="147"/>
      <c r="R7" s="89"/>
      <c r="S7" s="89"/>
      <c r="T7" s="88"/>
      <c r="U7" s="165"/>
      <c r="V7" s="165"/>
      <c r="W7" s="165"/>
      <c r="X7" s="87"/>
      <c r="Y7" s="87"/>
      <c r="Z7" s="87"/>
      <c r="AA7" s="87"/>
      <c r="AB7" s="87"/>
      <c r="AC7" s="85" t="s">
        <v>85</v>
      </c>
      <c r="AD7" s="85"/>
      <c r="AE7" s="85"/>
      <c r="AF7" s="85"/>
      <c r="AG7" s="85"/>
      <c r="AH7" s="85"/>
      <c r="AI7" s="85"/>
      <c r="AJ7" s="84" t="s">
        <v>84</v>
      </c>
      <c r="AK7" s="84"/>
      <c r="AL7" s="84"/>
      <c r="AM7" s="84"/>
      <c r="AN7" s="84"/>
      <c r="AO7" s="84"/>
      <c r="AP7" s="84"/>
      <c r="AQ7" s="85" t="s">
        <v>83</v>
      </c>
      <c r="AR7" s="85"/>
      <c r="AS7" s="85"/>
      <c r="AT7" s="85"/>
      <c r="AU7" s="85"/>
      <c r="AV7" s="85"/>
      <c r="AW7" s="85"/>
      <c r="AX7" s="84" t="s">
        <v>82</v>
      </c>
      <c r="AY7" s="84"/>
      <c r="AZ7" s="84"/>
      <c r="BA7" s="84"/>
      <c r="BB7" s="84"/>
      <c r="BC7" s="86"/>
      <c r="BD7" s="84"/>
      <c r="BE7" s="85" t="s">
        <v>81</v>
      </c>
      <c r="BF7" s="85"/>
      <c r="BG7" s="85"/>
      <c r="BH7" s="85"/>
      <c r="BI7" s="85"/>
      <c r="BJ7" s="85"/>
      <c r="BK7" s="85"/>
      <c r="BL7" s="84" t="s">
        <v>80</v>
      </c>
      <c r="BM7" s="84"/>
      <c r="BN7" s="84"/>
      <c r="BO7" s="86"/>
      <c r="BP7" s="84"/>
      <c r="BQ7" s="84"/>
      <c r="BR7" s="84"/>
      <c r="BS7" s="85" t="s">
        <v>79</v>
      </c>
      <c r="BT7" s="85"/>
      <c r="BU7" s="85"/>
      <c r="BV7" s="85"/>
      <c r="BW7" s="85"/>
      <c r="BX7" s="85"/>
      <c r="BY7" s="85"/>
      <c r="BZ7" s="84" t="s">
        <v>78</v>
      </c>
      <c r="CA7" s="84"/>
      <c r="CB7" s="84"/>
      <c r="CC7" s="84"/>
      <c r="CD7" s="84"/>
      <c r="CE7" s="84"/>
      <c r="CF7" s="84"/>
      <c r="CG7" s="85"/>
      <c r="CH7" s="85"/>
      <c r="CI7" s="85"/>
      <c r="CJ7" s="85"/>
      <c r="CK7" s="85"/>
      <c r="CL7" s="85"/>
      <c r="CM7" s="85"/>
      <c r="CN7" s="84"/>
      <c r="CO7" s="84"/>
      <c r="CP7" s="84"/>
      <c r="CQ7" s="84"/>
      <c r="CR7" s="84"/>
      <c r="CS7" s="84"/>
      <c r="CT7" s="84"/>
      <c r="CU7" s="85"/>
      <c r="CV7" s="85"/>
      <c r="CW7" s="85"/>
      <c r="CX7" s="85"/>
      <c r="CY7" s="85"/>
      <c r="CZ7" s="85"/>
      <c r="DA7" s="85"/>
      <c r="DB7" s="84"/>
      <c r="DC7" s="84"/>
      <c r="DD7" s="84"/>
      <c r="DE7" s="84"/>
      <c r="DF7" s="84"/>
      <c r="DG7" s="84"/>
      <c r="DH7" s="84"/>
      <c r="DI7" s="85"/>
      <c r="DJ7" s="85"/>
      <c r="DK7" s="85"/>
      <c r="DL7" s="85"/>
      <c r="DM7" s="85"/>
      <c r="DN7" s="85"/>
      <c r="DO7" s="85"/>
      <c r="DP7" s="84"/>
      <c r="DQ7" s="84"/>
      <c r="DR7" s="84"/>
      <c r="DS7" s="84"/>
      <c r="DT7" s="84"/>
      <c r="DU7" s="84"/>
      <c r="DV7" s="84"/>
      <c r="DW7" s="85"/>
      <c r="DX7" s="85"/>
      <c r="DY7" s="85"/>
      <c r="DZ7" s="85"/>
      <c r="EA7" s="85"/>
      <c r="EB7" s="85"/>
      <c r="EC7" s="85"/>
      <c r="ED7" s="84"/>
      <c r="EE7" s="84"/>
      <c r="EF7" s="84"/>
      <c r="EG7" s="84"/>
      <c r="EH7" s="84"/>
      <c r="EI7" s="84"/>
      <c r="EJ7" s="84"/>
      <c r="EK7" s="85"/>
      <c r="EL7" s="85"/>
      <c r="EM7" s="85"/>
      <c r="EN7" s="85"/>
      <c r="EO7" s="85"/>
      <c r="EP7" s="85"/>
      <c r="EQ7" s="85"/>
      <c r="ER7" s="84"/>
      <c r="ES7" s="84"/>
      <c r="ET7" s="84"/>
      <c r="EU7" s="84"/>
      <c r="EV7" s="84"/>
      <c r="EW7" s="84"/>
      <c r="EX7" s="84"/>
      <c r="EY7" s="85"/>
      <c r="EZ7" s="85"/>
      <c r="FA7" s="85"/>
      <c r="FB7" s="85"/>
      <c r="FC7" s="85"/>
      <c r="FD7" s="85"/>
      <c r="FE7" s="85"/>
      <c r="FF7" s="84"/>
      <c r="FG7" s="84"/>
      <c r="FH7" s="84"/>
      <c r="FI7" s="84"/>
      <c r="FJ7" s="84"/>
      <c r="FK7" s="84"/>
      <c r="FL7" s="84"/>
      <c r="FM7" s="85"/>
      <c r="FN7" s="85"/>
      <c r="FO7" s="85"/>
      <c r="FP7" s="85"/>
      <c r="FQ7" s="85"/>
      <c r="FR7" s="85"/>
      <c r="FS7" s="85"/>
      <c r="FT7" s="84"/>
      <c r="FU7" s="84"/>
      <c r="FV7" s="84"/>
      <c r="FW7" s="84"/>
      <c r="FX7" s="84"/>
      <c r="FY7" s="84"/>
      <c r="FZ7" s="84"/>
      <c r="GA7" s="85"/>
      <c r="GB7" s="85"/>
      <c r="GC7" s="85"/>
      <c r="GD7" s="85"/>
      <c r="GE7" s="85"/>
      <c r="GF7" s="85"/>
      <c r="GG7" s="85"/>
      <c r="GH7" s="84"/>
      <c r="GI7" s="84"/>
      <c r="GJ7" s="84"/>
      <c r="GK7" s="84"/>
      <c r="GL7" s="84"/>
      <c r="GM7" s="84"/>
      <c r="GN7" s="84"/>
      <c r="GO7" s="85"/>
      <c r="GP7" s="85"/>
      <c r="GQ7" s="85"/>
      <c r="GR7" s="85"/>
      <c r="GS7" s="85"/>
      <c r="GT7" s="85"/>
      <c r="GU7" s="85"/>
      <c r="GV7" s="84"/>
      <c r="GW7" s="84"/>
      <c r="GX7" s="84"/>
      <c r="GY7" s="84"/>
      <c r="GZ7" s="84"/>
      <c r="HA7" s="84"/>
      <c r="HB7" s="84"/>
      <c r="HC7" s="85"/>
      <c r="HD7" s="85"/>
      <c r="HE7" s="85"/>
      <c r="HF7" s="85"/>
      <c r="HG7" s="85"/>
      <c r="HH7" s="85"/>
      <c r="HI7" s="85"/>
      <c r="HJ7" s="84"/>
      <c r="HK7" s="84"/>
      <c r="HL7" s="84"/>
      <c r="HM7" s="84"/>
      <c r="HN7" s="84"/>
      <c r="HO7" s="84"/>
      <c r="HP7" s="84"/>
      <c r="HQ7" s="85"/>
      <c r="HR7" s="85"/>
      <c r="HS7" s="85"/>
      <c r="HT7" s="85"/>
      <c r="HU7" s="85"/>
      <c r="HV7" s="85"/>
      <c r="HW7" s="85"/>
      <c r="HX7" s="84"/>
      <c r="HY7" s="84"/>
      <c r="HZ7" s="84"/>
      <c r="IA7" s="84"/>
      <c r="IB7" s="84"/>
      <c r="IC7" s="84"/>
      <c r="ID7" s="84"/>
      <c r="IE7" s="85"/>
      <c r="IF7" s="85"/>
      <c r="IG7" s="85"/>
      <c r="IH7" s="85"/>
      <c r="II7" s="85"/>
      <c r="IJ7" s="85"/>
      <c r="IK7" s="85"/>
      <c r="IL7" s="84"/>
      <c r="IM7" s="84"/>
      <c r="IN7" s="84"/>
      <c r="IO7" s="84"/>
      <c r="IP7" s="84"/>
      <c r="IQ7" s="84"/>
      <c r="IR7" s="84"/>
      <c r="IS7" s="85"/>
      <c r="IT7" s="85"/>
      <c r="IU7" s="85"/>
      <c r="IV7" s="85"/>
      <c r="IW7" s="85"/>
      <c r="IX7" s="85"/>
      <c r="IY7" s="85"/>
      <c r="IZ7" s="84"/>
      <c r="JA7" s="84"/>
      <c r="JB7" s="84"/>
      <c r="JC7" s="84"/>
      <c r="JD7" s="84"/>
      <c r="JE7" s="84"/>
      <c r="JF7" s="84"/>
      <c r="JG7" s="85"/>
      <c r="JH7" s="85"/>
      <c r="JI7" s="85"/>
      <c r="JJ7" s="85"/>
      <c r="JK7" s="85"/>
      <c r="JL7" s="85"/>
      <c r="JM7" s="85"/>
      <c r="JN7" s="84"/>
      <c r="JO7" s="84"/>
      <c r="JP7" s="84"/>
      <c r="JQ7" s="84"/>
      <c r="JR7" s="84"/>
      <c r="JS7" s="84"/>
      <c r="JT7" s="84"/>
      <c r="JU7" s="85"/>
      <c r="JV7" s="85"/>
      <c r="JW7" s="85"/>
      <c r="JX7" s="85"/>
      <c r="JY7" s="85"/>
      <c r="JZ7" s="85"/>
      <c r="KA7" s="85"/>
      <c r="KB7" s="84"/>
      <c r="KC7" s="84"/>
      <c r="KD7" s="84"/>
      <c r="KE7" s="84"/>
      <c r="KF7" s="84"/>
      <c r="KG7" s="84"/>
      <c r="KH7" s="84"/>
      <c r="KI7" s="85"/>
      <c r="KJ7" s="85"/>
      <c r="KK7" s="85"/>
      <c r="KL7" s="85"/>
      <c r="KM7" s="85"/>
      <c r="KN7" s="85"/>
      <c r="KO7" s="85"/>
      <c r="KP7" s="84"/>
      <c r="KQ7" s="84"/>
      <c r="KR7" s="84"/>
      <c r="KS7" s="84"/>
      <c r="KT7" s="84"/>
      <c r="KU7" s="84"/>
      <c r="KV7" s="84"/>
      <c r="KW7" s="85"/>
      <c r="KX7" s="85"/>
      <c r="KY7" s="85"/>
      <c r="KZ7" s="85"/>
      <c r="LA7" s="85"/>
      <c r="LB7" s="85"/>
      <c r="LC7" s="85"/>
      <c r="LD7" s="84"/>
      <c r="LE7" s="84"/>
      <c r="LF7" s="84"/>
      <c r="LG7" s="84"/>
      <c r="LH7" s="84"/>
      <c r="LI7" s="84"/>
      <c r="LJ7" s="84"/>
      <c r="LK7" s="85"/>
      <c r="LL7" s="85"/>
      <c r="LM7" s="85"/>
      <c r="LN7" s="85"/>
      <c r="LO7" s="85"/>
      <c r="LP7" s="85"/>
      <c r="LQ7" s="85"/>
      <c r="LR7" s="84"/>
      <c r="LS7" s="84"/>
      <c r="LT7" s="84"/>
      <c r="LU7" s="84"/>
      <c r="LV7" s="84"/>
      <c r="LW7" s="84"/>
      <c r="LX7" s="84"/>
      <c r="LY7" s="85"/>
      <c r="LZ7" s="85"/>
      <c r="MA7" s="85"/>
      <c r="MB7" s="85"/>
      <c r="MC7" s="85"/>
      <c r="MD7" s="85"/>
      <c r="ME7" s="85"/>
      <c r="MF7" s="84"/>
      <c r="MG7" s="84"/>
      <c r="MH7" s="84"/>
      <c r="MI7" s="84"/>
      <c r="MJ7" s="84"/>
      <c r="MK7" s="84"/>
      <c r="ML7" s="84"/>
      <c r="MM7" s="85"/>
      <c r="MN7" s="85"/>
      <c r="MO7" s="85"/>
      <c r="MP7" s="85"/>
      <c r="MQ7" s="85"/>
      <c r="MR7" s="85"/>
      <c r="MS7" s="85"/>
      <c r="MT7" s="84"/>
      <c r="MU7" s="84"/>
      <c r="MV7" s="84"/>
      <c r="MW7" s="84"/>
      <c r="MX7" s="84"/>
      <c r="MY7" s="84"/>
      <c r="MZ7" s="84"/>
      <c r="NA7" s="85"/>
      <c r="NB7" s="85"/>
      <c r="NC7" s="85"/>
      <c r="ND7" s="85"/>
      <c r="NE7" s="85"/>
      <c r="NF7" s="85"/>
      <c r="NG7" s="85"/>
      <c r="NH7" s="84"/>
      <c r="NI7" s="84"/>
      <c r="NJ7" s="84"/>
      <c r="NK7" s="84"/>
      <c r="NL7" s="84"/>
      <c r="NM7" s="84"/>
      <c r="NN7" s="84"/>
      <c r="NO7" s="85"/>
      <c r="NP7" s="85"/>
      <c r="NQ7" s="85"/>
      <c r="NR7" s="85"/>
      <c r="NS7" s="85"/>
      <c r="NT7" s="85"/>
      <c r="NU7" s="85"/>
      <c r="NV7" s="84"/>
      <c r="NW7" s="84"/>
      <c r="NX7" s="84"/>
      <c r="NY7" s="84"/>
      <c r="NZ7" s="84"/>
      <c r="OA7" s="84"/>
      <c r="OB7" s="84"/>
      <c r="OC7" s="85"/>
      <c r="OD7" s="85"/>
      <c r="OE7" s="85"/>
      <c r="OF7" s="85"/>
      <c r="OG7" s="85"/>
      <c r="OH7" s="85"/>
      <c r="OI7" s="85"/>
      <c r="OJ7" s="84"/>
      <c r="OK7" s="84"/>
      <c r="OL7" s="84"/>
      <c r="OM7" s="84"/>
      <c r="ON7" s="84"/>
      <c r="OO7" s="84"/>
      <c r="OP7" s="84"/>
      <c r="OQ7" s="85"/>
      <c r="OR7" s="85"/>
      <c r="OS7" s="85"/>
      <c r="OT7" s="85"/>
      <c r="OU7" s="85"/>
      <c r="OV7" s="85"/>
      <c r="OW7" s="85"/>
      <c r="OX7" s="84"/>
      <c r="OY7" s="84"/>
      <c r="OZ7" s="84"/>
      <c r="PA7" s="84"/>
      <c r="PB7" s="84"/>
      <c r="PC7" s="84"/>
      <c r="PD7" s="84"/>
      <c r="PE7" s="85"/>
      <c r="PF7" s="85"/>
      <c r="PG7" s="85"/>
      <c r="PH7" s="85"/>
      <c r="PI7" s="85"/>
      <c r="PJ7" s="85"/>
      <c r="PK7" s="85"/>
      <c r="PL7" s="84"/>
      <c r="PM7" s="84"/>
      <c r="PN7" s="84"/>
      <c r="PO7" s="84"/>
      <c r="PP7" s="84"/>
      <c r="PQ7" s="84"/>
      <c r="PR7" s="84"/>
      <c r="PS7" s="85"/>
      <c r="PT7" s="85"/>
      <c r="PU7" s="85"/>
      <c r="PV7" s="85"/>
      <c r="PW7" s="85"/>
      <c r="PX7" s="85"/>
      <c r="PY7" s="85"/>
      <c r="PZ7" s="84"/>
      <c r="QA7" s="84"/>
      <c r="QB7" s="84"/>
      <c r="QC7" s="84"/>
      <c r="QD7" s="84"/>
      <c r="QE7" s="84"/>
      <c r="QF7" s="84"/>
      <c r="QG7" s="85"/>
      <c r="QH7" s="85"/>
      <c r="QI7" s="85"/>
      <c r="QJ7" s="85"/>
      <c r="QK7" s="85"/>
      <c r="QL7" s="85"/>
      <c r="QM7" s="85"/>
      <c r="QN7" s="84"/>
      <c r="QO7" s="84"/>
      <c r="QP7" s="84"/>
      <c r="QQ7" s="84"/>
      <c r="QR7" s="84"/>
      <c r="QS7" s="84"/>
      <c r="QT7" s="84"/>
      <c r="QU7" s="85"/>
      <c r="QV7" s="85"/>
      <c r="QW7" s="85"/>
      <c r="QX7" s="85"/>
      <c r="QY7" s="85"/>
      <c r="QZ7" s="85"/>
      <c r="RA7" s="85"/>
      <c r="RB7" s="84"/>
      <c r="RC7" s="84"/>
      <c r="RD7" s="84"/>
      <c r="RE7" s="84"/>
      <c r="RF7" s="84"/>
      <c r="RG7" s="84"/>
      <c r="RH7" s="84"/>
      <c r="RI7" s="85"/>
      <c r="RJ7" s="85"/>
      <c r="RK7" s="85"/>
      <c r="RL7" s="85"/>
      <c r="RM7" s="85"/>
      <c r="RN7" s="85"/>
      <c r="RO7" s="85"/>
      <c r="RP7" s="84"/>
      <c r="RQ7" s="84"/>
      <c r="RR7" s="84"/>
      <c r="RS7" s="84"/>
      <c r="RT7" s="84"/>
      <c r="RU7" s="84"/>
      <c r="RV7" s="84"/>
      <c r="RW7" s="85"/>
      <c r="RX7" s="85"/>
      <c r="RY7" s="85"/>
      <c r="RZ7" s="85"/>
      <c r="SA7" s="85"/>
      <c r="SB7" s="85"/>
      <c r="SC7" s="85"/>
      <c r="SD7" s="84"/>
      <c r="SE7" s="84"/>
      <c r="SF7" s="84"/>
      <c r="SG7" s="84"/>
      <c r="SH7" s="84"/>
      <c r="SI7" s="84"/>
      <c r="SJ7" s="84"/>
      <c r="SK7" s="85"/>
      <c r="SL7" s="85"/>
      <c r="SM7" s="85"/>
      <c r="SN7" s="85"/>
      <c r="SO7" s="85"/>
      <c r="SP7" s="85"/>
      <c r="SQ7" s="85"/>
      <c r="SR7" s="84"/>
      <c r="SS7" s="84"/>
      <c r="ST7" s="84"/>
      <c r="SU7" s="84"/>
      <c r="SV7" s="84"/>
      <c r="SW7" s="84"/>
      <c r="SX7" s="84"/>
      <c r="SY7" s="85"/>
      <c r="SZ7" s="85"/>
      <c r="TA7" s="85"/>
      <c r="TB7" s="85"/>
      <c r="TC7" s="85"/>
      <c r="TD7" s="85"/>
      <c r="TE7" s="85"/>
      <c r="TF7" s="84"/>
      <c r="TG7" s="84"/>
      <c r="TH7" s="84"/>
      <c r="TI7" s="84"/>
      <c r="TJ7" s="84"/>
      <c r="TK7" s="84"/>
      <c r="TL7" s="84"/>
      <c r="TM7" s="85"/>
      <c r="TN7" s="85"/>
      <c r="TO7" s="85"/>
      <c r="TP7" s="85"/>
      <c r="TQ7" s="85"/>
      <c r="TR7" s="85"/>
      <c r="TS7" s="85"/>
      <c r="TT7" s="84"/>
      <c r="TU7" s="84"/>
      <c r="TV7" s="84"/>
      <c r="TW7" s="84"/>
      <c r="TX7" s="84"/>
      <c r="TY7" s="84"/>
      <c r="TZ7" s="84"/>
      <c r="UA7" s="85"/>
      <c r="UB7" s="85"/>
      <c r="UC7" s="85"/>
      <c r="UD7" s="85"/>
      <c r="UE7" s="85"/>
      <c r="UF7" s="85"/>
      <c r="UG7" s="85"/>
      <c r="UH7" s="84"/>
      <c r="UI7" s="84"/>
      <c r="UJ7" s="84"/>
      <c r="UK7" s="84"/>
      <c r="UL7" s="84"/>
      <c r="UM7" s="84"/>
      <c r="UN7" s="84"/>
      <c r="UO7" s="85"/>
      <c r="UP7" s="85"/>
      <c r="UQ7" s="85"/>
      <c r="UR7" s="85"/>
      <c r="US7" s="85"/>
      <c r="UT7" s="85"/>
      <c r="UU7" s="85"/>
      <c r="UV7" s="84"/>
      <c r="UW7" s="84"/>
      <c r="UX7" s="84"/>
      <c r="UY7" s="84"/>
      <c r="UZ7" s="84"/>
      <c r="VA7" s="84"/>
      <c r="VB7" s="84"/>
      <c r="VC7" s="85"/>
      <c r="VD7" s="85"/>
      <c r="VE7" s="85"/>
      <c r="VF7" s="85"/>
      <c r="VG7" s="85"/>
      <c r="VH7" s="85"/>
      <c r="VI7" s="85"/>
      <c r="VJ7" s="84"/>
      <c r="VK7" s="84"/>
      <c r="VL7" s="84"/>
      <c r="VM7" s="84"/>
      <c r="VN7" s="84"/>
      <c r="VO7" s="84"/>
      <c r="VP7" s="84"/>
      <c r="VQ7" s="85"/>
      <c r="VR7" s="85"/>
      <c r="VS7" s="85"/>
      <c r="VT7" s="85"/>
      <c r="VU7" s="85"/>
      <c r="VV7" s="85"/>
      <c r="VW7" s="85"/>
      <c r="VX7" s="84"/>
      <c r="VY7" s="84"/>
      <c r="VZ7" s="84"/>
      <c r="WA7" s="84"/>
      <c r="WB7" s="84"/>
      <c r="WC7" s="84"/>
      <c r="WD7" s="84"/>
      <c r="WE7" s="85"/>
      <c r="WF7" s="85"/>
      <c r="WG7" s="85"/>
      <c r="WH7" s="85"/>
      <c r="WI7" s="85"/>
      <c r="WJ7" s="85"/>
      <c r="WK7" s="85"/>
      <c r="WL7" s="84"/>
      <c r="WM7" s="84"/>
      <c r="WN7" s="84"/>
      <c r="WO7" s="84"/>
      <c r="WP7" s="84"/>
      <c r="WQ7" s="84"/>
      <c r="WR7" s="84"/>
      <c r="WS7" s="85"/>
      <c r="WT7" s="85"/>
      <c r="WU7" s="85"/>
      <c r="WV7" s="85"/>
      <c r="WW7" s="85"/>
      <c r="WX7" s="85"/>
      <c r="WY7" s="85"/>
      <c r="WZ7" s="84"/>
      <c r="XA7" s="84"/>
      <c r="XB7" s="84"/>
      <c r="XC7" s="84"/>
      <c r="XD7" s="84"/>
      <c r="XE7" s="84"/>
      <c r="XF7" s="84"/>
      <c r="XG7" s="85"/>
      <c r="XH7" s="85"/>
      <c r="XI7" s="85"/>
      <c r="XJ7" s="85"/>
      <c r="XK7" s="85"/>
      <c r="XL7" s="85"/>
      <c r="XM7" s="85"/>
      <c r="XN7" s="84"/>
      <c r="XO7" s="84"/>
      <c r="XP7" s="84"/>
      <c r="XQ7" s="84"/>
      <c r="XR7" s="84"/>
      <c r="XS7" s="84"/>
      <c r="XT7" s="84"/>
      <c r="XU7" s="85"/>
      <c r="XV7" s="85"/>
      <c r="XW7" s="85"/>
      <c r="XX7" s="85"/>
      <c r="XY7" s="85"/>
      <c r="XZ7" s="85"/>
      <c r="YA7" s="85"/>
      <c r="YB7" s="84"/>
      <c r="YC7" s="84"/>
      <c r="YD7" s="84"/>
      <c r="YE7" s="84"/>
      <c r="YF7" s="84"/>
      <c r="YG7" s="84"/>
      <c r="YH7" s="84"/>
      <c r="YI7" s="85"/>
      <c r="YJ7" s="85"/>
      <c r="YK7" s="85"/>
      <c r="YL7" s="85"/>
      <c r="YM7" s="85"/>
      <c r="YN7" s="85"/>
      <c r="YO7" s="85"/>
      <c r="YP7" s="84"/>
      <c r="YQ7" s="84"/>
      <c r="YR7" s="84"/>
      <c r="YS7" s="84"/>
      <c r="YT7" s="84"/>
      <c r="YU7" s="84"/>
      <c r="YV7" s="84"/>
      <c r="YW7" s="85"/>
      <c r="YX7" s="85"/>
      <c r="YY7" s="85"/>
      <c r="YZ7" s="85"/>
      <c r="ZA7" s="85"/>
      <c r="ZB7" s="85"/>
      <c r="ZC7" s="85"/>
      <c r="ZD7" s="84"/>
      <c r="ZE7" s="84"/>
      <c r="ZF7" s="84"/>
      <c r="ZG7" s="84"/>
      <c r="ZH7" s="84"/>
      <c r="ZI7" s="84"/>
      <c r="ZJ7" s="84"/>
      <c r="ZK7" s="85"/>
      <c r="ZL7" s="85"/>
      <c r="ZM7" s="85"/>
      <c r="ZN7" s="85"/>
      <c r="ZO7" s="85"/>
      <c r="ZP7" s="85"/>
      <c r="ZQ7" s="85"/>
      <c r="ZR7" s="84"/>
      <c r="ZS7" s="84"/>
      <c r="ZT7" s="84"/>
      <c r="ZU7" s="84"/>
      <c r="ZV7" s="84"/>
      <c r="ZW7" s="84"/>
      <c r="ZX7" s="84"/>
      <c r="ZY7" s="85"/>
      <c r="ZZ7" s="85"/>
      <c r="AAA7" s="85"/>
      <c r="AAB7" s="85"/>
      <c r="AAC7" s="85"/>
      <c r="AAD7" s="85"/>
      <c r="AAE7" s="85"/>
      <c r="AAF7" s="84"/>
      <c r="AAG7" s="84"/>
      <c r="AAH7" s="84"/>
      <c r="AAI7" s="84"/>
      <c r="AAJ7" s="84"/>
      <c r="AAK7" s="84"/>
      <c r="AAL7" s="84"/>
      <c r="AAM7" s="85"/>
      <c r="AAN7" s="85"/>
      <c r="AAO7" s="85"/>
      <c r="AAP7" s="85"/>
      <c r="AAQ7" s="85"/>
      <c r="AAR7" s="85"/>
      <c r="AAS7" s="85"/>
      <c r="AAT7" s="84"/>
      <c r="AAU7" s="84"/>
      <c r="AAV7" s="84"/>
      <c r="AAW7" s="84"/>
      <c r="AAX7" s="84"/>
      <c r="AAY7" s="84"/>
      <c r="AAZ7" s="84"/>
      <c r="ABA7" s="85"/>
      <c r="ABB7" s="85"/>
      <c r="ABC7" s="85"/>
      <c r="ABD7" s="85"/>
      <c r="ABE7" s="85"/>
      <c r="ABF7" s="85"/>
      <c r="ABG7" s="85"/>
      <c r="ABH7" s="84"/>
      <c r="ABI7" s="84"/>
      <c r="ABJ7" s="84"/>
      <c r="ABK7" s="84"/>
      <c r="ABL7" s="84"/>
      <c r="ABM7" s="84"/>
      <c r="ABN7" s="84"/>
      <c r="ABO7" s="85"/>
      <c r="ABP7" s="85"/>
      <c r="ABQ7" s="85"/>
      <c r="ABR7" s="85"/>
      <c r="ABS7" s="85"/>
      <c r="ABT7" s="85"/>
      <c r="ABU7" s="85"/>
      <c r="ABV7" s="84"/>
      <c r="ABW7" s="84"/>
      <c r="ABX7" s="84"/>
      <c r="ABY7" s="84"/>
      <c r="ABZ7" s="84"/>
      <c r="ACA7" s="84"/>
      <c r="ACB7" s="84"/>
      <c r="ACC7" s="85"/>
      <c r="ACD7" s="85"/>
      <c r="ACE7" s="85"/>
      <c r="ACF7" s="85"/>
      <c r="ACG7" s="85"/>
      <c r="ACH7" s="85"/>
      <c r="ACI7" s="85"/>
      <c r="ACJ7" s="84"/>
      <c r="ACK7" s="84"/>
      <c r="ACL7" s="84"/>
      <c r="ACM7" s="84"/>
      <c r="ACN7" s="84"/>
      <c r="ACO7" s="84"/>
      <c r="ACP7" s="84"/>
      <c r="ACQ7" s="85"/>
      <c r="ACR7" s="85"/>
      <c r="ACS7" s="85"/>
      <c r="ACT7" s="85"/>
      <c r="ACU7" s="85"/>
      <c r="ACV7" s="85"/>
      <c r="ACW7" s="85"/>
      <c r="ACX7" s="84"/>
      <c r="ACY7" s="84"/>
      <c r="ACZ7" s="84"/>
      <c r="ADA7" s="84"/>
      <c r="ADB7" s="84"/>
      <c r="ADC7" s="84"/>
      <c r="ADD7" s="84"/>
      <c r="ADE7" s="85"/>
      <c r="ADF7" s="85"/>
      <c r="ADG7" s="85"/>
      <c r="ADH7" s="85"/>
      <c r="ADI7" s="85"/>
      <c r="ADJ7" s="85"/>
      <c r="ADK7" s="85"/>
      <c r="ADL7" s="84"/>
      <c r="ADM7" s="84"/>
      <c r="ADN7" s="84"/>
      <c r="ADO7" s="84"/>
      <c r="ADP7" s="84"/>
      <c r="ADQ7" s="84"/>
      <c r="ADR7" s="84"/>
      <c r="ADS7" s="85"/>
      <c r="ADT7" s="85"/>
      <c r="ADU7" s="85"/>
      <c r="ADV7" s="85"/>
      <c r="ADW7" s="85"/>
      <c r="ADX7" s="85"/>
      <c r="ADY7" s="85"/>
      <c r="ADZ7" s="84"/>
      <c r="AEA7" s="84"/>
      <c r="AEB7" s="84"/>
      <c r="AEC7" s="84"/>
      <c r="AED7" s="84"/>
      <c r="AEE7" s="84"/>
      <c r="AEF7" s="84"/>
      <c r="AEG7" s="85"/>
      <c r="AEH7" s="85"/>
      <c r="AEI7" s="85"/>
      <c r="AEJ7" s="85"/>
      <c r="AEK7" s="85"/>
      <c r="AEL7" s="85"/>
      <c r="AEM7" s="85"/>
      <c r="AEN7" s="84"/>
      <c r="AEO7" s="84"/>
      <c r="AEP7" s="84"/>
      <c r="AEQ7" s="84"/>
      <c r="AER7" s="84"/>
      <c r="AES7" s="84"/>
      <c r="AET7" s="84"/>
      <c r="AEU7" s="85"/>
      <c r="AEV7" s="85"/>
      <c r="AEW7" s="85"/>
      <c r="AEX7" s="85"/>
      <c r="AEY7" s="85"/>
      <c r="AEZ7" s="85"/>
      <c r="AFA7" s="85"/>
      <c r="AFB7" s="84"/>
      <c r="AFC7" s="84"/>
      <c r="AFD7" s="84"/>
      <c r="AFE7" s="84"/>
      <c r="AFF7" s="84"/>
      <c r="AFG7" s="84"/>
      <c r="AFH7" s="84"/>
      <c r="AFI7" s="85"/>
      <c r="AFJ7" s="85"/>
      <c r="AFK7" s="85"/>
      <c r="AFL7" s="85"/>
      <c r="AFM7" s="85"/>
      <c r="AFN7" s="85"/>
      <c r="AFO7" s="85"/>
      <c r="AFP7" s="84"/>
      <c r="AFQ7" s="84"/>
      <c r="AFR7" s="84"/>
      <c r="AFS7" s="84"/>
      <c r="AFT7" s="84"/>
      <c r="AFU7" s="84"/>
      <c r="AFV7" s="84"/>
      <c r="AFW7" s="85"/>
      <c r="AFX7" s="85"/>
      <c r="AFY7" s="85"/>
      <c r="AFZ7" s="85"/>
      <c r="AGA7" s="85"/>
      <c r="AGB7" s="85"/>
      <c r="AGC7" s="85"/>
      <c r="AGD7" s="84"/>
      <c r="AGE7" s="84"/>
      <c r="AGF7" s="84"/>
      <c r="AGG7" s="84"/>
      <c r="AGH7" s="84"/>
      <c r="AGI7" s="84"/>
      <c r="AGJ7" s="84"/>
      <c r="AGK7" s="85"/>
      <c r="AGL7" s="85"/>
      <c r="AGM7" s="85"/>
      <c r="AGN7" s="85"/>
      <c r="AGO7" s="85"/>
      <c r="AGP7" s="85"/>
      <c r="AGQ7" s="85"/>
      <c r="AGR7" s="84"/>
      <c r="AGS7" s="84"/>
      <c r="AGT7" s="84"/>
      <c r="AGU7" s="84"/>
      <c r="AGV7" s="84"/>
      <c r="AGW7" s="84"/>
      <c r="AGX7" s="84"/>
      <c r="AGY7" s="85"/>
      <c r="AGZ7" s="85"/>
      <c r="AHA7" s="85"/>
      <c r="AHB7" s="85"/>
      <c r="AHC7" s="85"/>
      <c r="AHD7" s="85"/>
      <c r="AHE7" s="85"/>
      <c r="AHF7" s="84"/>
      <c r="AHG7" s="84"/>
      <c r="AHH7" s="84"/>
      <c r="AHI7" s="84"/>
      <c r="AHJ7" s="84"/>
      <c r="AHK7" s="84"/>
      <c r="AHL7" s="84"/>
      <c r="AHM7" s="85"/>
      <c r="AHN7" s="85"/>
      <c r="AHO7" s="85"/>
      <c r="AHP7" s="85"/>
      <c r="AHQ7" s="85"/>
      <c r="AHR7" s="85"/>
      <c r="AHS7" s="85"/>
      <c r="AHT7" s="84"/>
      <c r="AHU7" s="84"/>
      <c r="AHV7" s="84"/>
      <c r="AHW7" s="84"/>
      <c r="AHX7" s="84"/>
      <c r="AHY7" s="84"/>
      <c r="AHZ7" s="84"/>
      <c r="AIA7" s="85"/>
      <c r="AIB7" s="85"/>
      <c r="AIC7" s="85"/>
      <c r="AID7" s="85"/>
      <c r="AIE7" s="85"/>
      <c r="AIF7" s="85"/>
      <c r="AIG7" s="85"/>
      <c r="AIH7" s="84"/>
      <c r="AII7" s="84"/>
      <c r="AIJ7" s="84"/>
      <c r="AIK7" s="84"/>
      <c r="AIL7" s="84"/>
      <c r="AIM7" s="84"/>
      <c r="AIN7" s="84"/>
      <c r="AIO7" s="85"/>
      <c r="AIP7" s="85"/>
      <c r="AIQ7" s="85"/>
      <c r="AIR7" s="85"/>
      <c r="AIS7" s="85"/>
      <c r="AIT7" s="85"/>
      <c r="AIU7" s="85"/>
      <c r="AIV7" s="84"/>
      <c r="AIW7" s="84"/>
      <c r="AIX7" s="84"/>
      <c r="AIY7" s="84"/>
      <c r="AIZ7" s="84"/>
      <c r="AJA7" s="84"/>
      <c r="AJB7" s="84"/>
      <c r="AJC7" s="85"/>
      <c r="AJD7" s="85"/>
      <c r="AJE7" s="85"/>
      <c r="AJF7" s="85"/>
      <c r="AJG7" s="85"/>
      <c r="AJH7" s="85"/>
      <c r="AJI7" s="85"/>
      <c r="AJJ7" s="84"/>
      <c r="AJK7" s="84"/>
      <c r="AJL7" s="84"/>
      <c r="AJM7" s="84"/>
      <c r="AJN7" s="84"/>
      <c r="AJO7" s="84"/>
      <c r="AJP7" s="84"/>
      <c r="AJQ7" s="85"/>
      <c r="AJR7" s="85"/>
      <c r="AJS7" s="85"/>
      <c r="AJT7" s="85"/>
      <c r="AJU7" s="85"/>
      <c r="AJV7" s="85"/>
      <c r="AJW7" s="85"/>
      <c r="AJX7" s="84"/>
      <c r="AJY7" s="84"/>
      <c r="AJZ7" s="84"/>
      <c r="AKA7" s="84"/>
      <c r="AKB7" s="84"/>
      <c r="AKC7" s="84"/>
      <c r="AKD7" s="84"/>
      <c r="AKE7" s="85"/>
      <c r="AKF7" s="85"/>
      <c r="AKG7" s="85"/>
      <c r="AKH7" s="85"/>
      <c r="AKI7" s="85"/>
      <c r="AKJ7" s="85"/>
      <c r="AKK7" s="85"/>
      <c r="AKL7" s="84"/>
      <c r="AKM7" s="84"/>
      <c r="AKN7" s="84"/>
      <c r="AKO7" s="84"/>
      <c r="AKP7" s="84"/>
      <c r="AKQ7" s="84"/>
      <c r="AKR7" s="84"/>
      <c r="AKS7" s="85"/>
      <c r="AKT7" s="85"/>
      <c r="AKU7" s="85"/>
      <c r="AKV7" s="85"/>
      <c r="AKW7" s="85"/>
      <c r="AKX7" s="85"/>
      <c r="AKY7" s="85"/>
      <c r="AKZ7" s="84"/>
      <c r="ALA7" s="84"/>
      <c r="ALB7" s="84"/>
      <c r="ALC7" s="84"/>
      <c r="ALD7" s="84"/>
      <c r="ALE7" s="84"/>
      <c r="ALF7" s="84"/>
      <c r="ALG7" s="85"/>
      <c r="ALH7" s="85"/>
      <c r="ALI7" s="85"/>
      <c r="ALJ7" s="85"/>
      <c r="ALK7" s="85"/>
      <c r="ALL7" s="85"/>
      <c r="ALM7" s="85"/>
      <c r="ALN7" s="84"/>
      <c r="ALO7" s="84"/>
      <c r="ALP7" s="84"/>
      <c r="ALQ7" s="84"/>
      <c r="ALR7" s="84"/>
      <c r="ALS7" s="84"/>
      <c r="ALT7" s="84"/>
      <c r="ALU7" s="85"/>
      <c r="ALV7" s="85"/>
      <c r="ALW7" s="85"/>
      <c r="ALX7" s="85"/>
      <c r="ALY7" s="85"/>
      <c r="ALZ7" s="85"/>
      <c r="AMA7" s="85"/>
      <c r="AMB7" s="84"/>
      <c r="AMC7" s="84"/>
      <c r="AMD7" s="84"/>
      <c r="AME7" s="84"/>
      <c r="AMF7" s="84"/>
      <c r="AMG7" s="84"/>
      <c r="AMH7" s="84"/>
      <c r="AMI7" s="85"/>
      <c r="AMJ7" s="85"/>
      <c r="AMK7" s="85"/>
      <c r="AML7" s="85"/>
      <c r="AMM7" s="85"/>
      <c r="AMN7" s="85"/>
      <c r="AMO7" s="85"/>
      <c r="AMP7" s="84"/>
      <c r="AMQ7" s="84"/>
      <c r="AMR7" s="84"/>
      <c r="AMS7" s="84"/>
      <c r="AMT7" s="84"/>
      <c r="AMU7" s="84"/>
      <c r="AMV7" s="84"/>
      <c r="AMW7" s="85"/>
      <c r="AMX7" s="85"/>
      <c r="AMY7" s="85"/>
      <c r="AMZ7" s="85"/>
      <c r="ANA7" s="85"/>
      <c r="ANB7" s="85"/>
      <c r="ANC7" s="85"/>
      <c r="AND7" s="84"/>
      <c r="ANE7" s="84"/>
      <c r="ANF7" s="84"/>
      <c r="ANG7" s="84"/>
      <c r="ANH7" s="84"/>
      <c r="ANI7" s="84"/>
      <c r="ANJ7" s="84"/>
      <c r="ANK7" s="85"/>
      <c r="ANL7" s="85"/>
      <c r="ANM7" s="85"/>
      <c r="ANN7" s="85"/>
      <c r="ANO7" s="85"/>
      <c r="ANP7" s="85"/>
      <c r="ANQ7" s="85"/>
      <c r="ANR7" s="84"/>
      <c r="ANS7" s="84"/>
      <c r="ANT7" s="84"/>
      <c r="ANU7" s="84"/>
      <c r="ANV7" s="84"/>
      <c r="ANW7" s="84"/>
      <c r="ANX7" s="84"/>
      <c r="ANY7" s="85"/>
      <c r="ANZ7" s="85"/>
      <c r="AOA7" s="85"/>
      <c r="AOB7" s="85"/>
      <c r="AOC7" s="85"/>
      <c r="AOD7" s="85"/>
      <c r="AOE7" s="85"/>
      <c r="AOF7" s="84"/>
      <c r="AOG7" s="84"/>
      <c r="AOH7" s="84"/>
      <c r="AOI7" s="84"/>
      <c r="AOJ7" s="84"/>
      <c r="AOK7" s="84"/>
      <c r="AOL7" s="84"/>
      <c r="AOM7" s="85"/>
      <c r="AON7" s="85"/>
      <c r="AOO7" s="85"/>
      <c r="AOP7" s="85"/>
      <c r="AOQ7" s="85"/>
      <c r="AOR7" s="85"/>
      <c r="AOS7" s="85"/>
      <c r="AOT7" s="84"/>
      <c r="AOU7" s="84"/>
      <c r="AOV7" s="84"/>
      <c r="AOW7" s="84"/>
      <c r="AOX7" s="84"/>
      <c r="AOY7" s="84"/>
      <c r="AOZ7" s="84"/>
      <c r="APA7" s="85"/>
      <c r="APB7" s="85"/>
      <c r="APC7" s="85"/>
      <c r="APD7" s="85"/>
      <c r="APE7" s="85"/>
      <c r="APF7" s="85"/>
      <c r="APG7" s="85"/>
      <c r="APH7" s="84"/>
      <c r="API7" s="84"/>
      <c r="APJ7" s="84"/>
      <c r="APK7" s="84"/>
      <c r="APL7" s="84"/>
      <c r="APM7" s="84"/>
      <c r="APN7" s="84"/>
      <c r="APO7" s="85"/>
      <c r="APP7" s="85"/>
      <c r="APQ7" s="85"/>
      <c r="APR7" s="85"/>
      <c r="APS7" s="85"/>
      <c r="APT7" s="85"/>
      <c r="APU7" s="85"/>
      <c r="APV7" s="84"/>
      <c r="APW7" s="84"/>
      <c r="APX7" s="84"/>
      <c r="APY7" s="84"/>
      <c r="APZ7" s="84"/>
      <c r="AQA7" s="84"/>
      <c r="AQB7" s="84"/>
      <c r="AQC7" s="85"/>
      <c r="AQD7" s="85"/>
      <c r="AQE7" s="85"/>
      <c r="AQF7" s="85"/>
      <c r="AQG7" s="85"/>
      <c r="AQH7" s="85"/>
      <c r="AQI7" s="85"/>
      <c r="AQJ7" s="84"/>
      <c r="AQK7" s="84"/>
      <c r="AQL7" s="84"/>
      <c r="AQM7" s="84"/>
      <c r="AQN7" s="84"/>
      <c r="AQO7" s="84"/>
      <c r="AQP7" s="84"/>
      <c r="AQQ7" s="85"/>
      <c r="AQR7" s="85"/>
      <c r="AQS7" s="85"/>
      <c r="AQT7" s="85"/>
      <c r="AQU7" s="85"/>
      <c r="AQV7" s="85"/>
      <c r="AQW7" s="85"/>
      <c r="AQX7" s="84"/>
      <c r="AQY7" s="84"/>
      <c r="AQZ7" s="84"/>
      <c r="ARA7" s="84"/>
      <c r="ARB7" s="84"/>
      <c r="ARC7" s="84"/>
      <c r="ARD7" s="84"/>
      <c r="ARE7" s="85"/>
      <c r="ARF7" s="85"/>
      <c r="ARG7" s="85"/>
      <c r="ARH7" s="85"/>
      <c r="ARI7" s="85"/>
      <c r="ARJ7" s="85"/>
      <c r="ARK7" s="85"/>
      <c r="ARL7" s="84"/>
      <c r="ARM7" s="84"/>
      <c r="ARN7" s="84"/>
      <c r="ARO7" s="84"/>
      <c r="ARP7" s="84"/>
      <c r="ARQ7" s="84"/>
      <c r="ARR7" s="84"/>
      <c r="ARS7" s="85"/>
      <c r="ART7" s="85"/>
      <c r="ARU7" s="85"/>
      <c r="ARV7" s="85"/>
      <c r="ARW7" s="85"/>
      <c r="ARX7" s="85"/>
      <c r="ARY7" s="85"/>
      <c r="ARZ7" s="84"/>
      <c r="ASA7" s="84"/>
      <c r="ASB7" s="84"/>
      <c r="ASC7" s="84"/>
      <c r="ASD7" s="84"/>
      <c r="ASE7" s="84"/>
      <c r="ASF7" s="84"/>
      <c r="ASG7" s="85"/>
      <c r="ASH7" s="85"/>
      <c r="ASI7" s="85"/>
      <c r="ASJ7" s="85"/>
      <c r="ASK7" s="85"/>
      <c r="ASL7" s="85"/>
      <c r="ASM7" s="85"/>
      <c r="ASN7" s="84"/>
      <c r="ASO7" s="84"/>
      <c r="ASP7" s="84"/>
      <c r="ASQ7" s="84"/>
      <c r="ASR7" s="84"/>
      <c r="ASS7" s="84"/>
      <c r="AST7" s="84"/>
      <c r="ASU7" s="85"/>
      <c r="ASV7" s="85"/>
      <c r="ASW7" s="85"/>
      <c r="ASX7" s="85"/>
      <c r="ASY7" s="85"/>
      <c r="ASZ7" s="85"/>
      <c r="ATA7" s="85"/>
      <c r="ATB7" s="84"/>
      <c r="ATC7" s="84"/>
      <c r="ATD7" s="84"/>
      <c r="ATE7" s="84"/>
      <c r="ATF7" s="84"/>
      <c r="ATG7" s="84"/>
      <c r="ATH7" s="84"/>
      <c r="ATI7" s="85"/>
      <c r="ATJ7" s="85"/>
      <c r="ATK7" s="85"/>
      <c r="ATL7" s="85"/>
      <c r="ATM7" s="85"/>
      <c r="ATN7" s="85"/>
      <c r="ATO7" s="85"/>
      <c r="ATP7" s="84"/>
      <c r="ATQ7" s="84"/>
      <c r="ATR7" s="84"/>
      <c r="ATS7" s="84"/>
      <c r="ATT7" s="84"/>
      <c r="ATU7" s="84"/>
      <c r="ATV7" s="84"/>
      <c r="ATW7" s="85"/>
      <c r="ATX7" s="85"/>
      <c r="ATY7" s="85"/>
      <c r="ATZ7" s="85"/>
      <c r="AUA7" s="85"/>
      <c r="AUB7" s="85"/>
      <c r="AUC7" s="85"/>
      <c r="AUD7" s="84"/>
      <c r="AUE7" s="84"/>
      <c r="AUF7" s="84"/>
      <c r="AUG7" s="84"/>
      <c r="AUH7" s="84"/>
      <c r="AUI7" s="84"/>
      <c r="AUJ7" s="84"/>
      <c r="AUK7" s="85"/>
      <c r="AUL7" s="85"/>
      <c r="AUM7" s="85"/>
      <c r="AUN7" s="85"/>
      <c r="AUO7" s="85"/>
      <c r="AUP7" s="85"/>
      <c r="AUQ7" s="85"/>
      <c r="AUR7" s="84"/>
      <c r="AUS7" s="84"/>
      <c r="AUT7" s="84"/>
      <c r="AUU7" s="84"/>
      <c r="AUV7" s="84"/>
      <c r="AUW7" s="84"/>
      <c r="AUX7" s="84"/>
      <c r="AUY7" s="85"/>
      <c r="AUZ7" s="85"/>
      <c r="AVA7" s="85"/>
      <c r="AVB7" s="85"/>
      <c r="AVC7" s="85"/>
      <c r="AVD7" s="85"/>
      <c r="AVE7" s="85"/>
      <c r="AVF7" s="84"/>
      <c r="AVG7" s="84"/>
      <c r="AVH7" s="84"/>
      <c r="AVI7" s="84"/>
      <c r="AVJ7" s="84"/>
      <c r="AVK7" s="84"/>
      <c r="AVL7" s="84"/>
      <c r="AVM7" s="85"/>
      <c r="AVN7" s="85"/>
      <c r="AVO7" s="85"/>
      <c r="AVP7" s="85"/>
      <c r="AVQ7" s="85"/>
      <c r="AVR7" s="85"/>
      <c r="AVS7" s="85"/>
      <c r="AVT7" s="84"/>
      <c r="AVU7" s="84"/>
      <c r="AVV7" s="84"/>
      <c r="AVW7" s="84"/>
      <c r="AVX7" s="84"/>
      <c r="AVY7" s="84"/>
      <c r="AVZ7" s="84"/>
      <c r="AWA7" s="85"/>
      <c r="AWB7" s="85"/>
      <c r="AWC7" s="85"/>
      <c r="AWD7" s="85"/>
      <c r="AWE7" s="85"/>
      <c r="AWF7" s="85"/>
      <c r="AWG7" s="85"/>
      <c r="AWH7" s="84"/>
      <c r="AWI7" s="84"/>
      <c r="AWJ7" s="84"/>
      <c r="AWK7" s="84"/>
      <c r="AWL7" s="84"/>
      <c r="AWM7" s="84"/>
      <c r="AWN7" s="84"/>
      <c r="AWO7" s="85"/>
      <c r="AWP7" s="85"/>
      <c r="AWQ7" s="85"/>
      <c r="AWR7" s="85"/>
      <c r="AWS7" s="85"/>
      <c r="AWT7" s="85"/>
      <c r="AWU7" s="85"/>
      <c r="AWV7" s="84"/>
      <c r="AWW7" s="84"/>
      <c r="AWX7" s="84"/>
      <c r="AWY7" s="84"/>
      <c r="AWZ7" s="84"/>
      <c r="AXA7" s="84"/>
      <c r="AXB7" s="84"/>
      <c r="AXC7" s="85"/>
      <c r="AXD7" s="85"/>
      <c r="AXE7" s="85"/>
      <c r="AXF7" s="85"/>
      <c r="AXG7" s="85"/>
      <c r="AXH7" s="85"/>
      <c r="AXI7" s="85"/>
      <c r="AXJ7" s="84"/>
      <c r="AXK7" s="84"/>
      <c r="AXL7" s="84"/>
      <c r="AXM7" s="84"/>
      <c r="AXN7" s="84"/>
      <c r="AXO7" s="84"/>
      <c r="AXP7" s="84"/>
      <c r="AXQ7" s="85"/>
      <c r="AXR7" s="85"/>
      <c r="AXS7" s="85"/>
      <c r="AXT7" s="85"/>
      <c r="AXU7" s="85"/>
      <c r="AXV7" s="85"/>
      <c r="AXW7" s="85"/>
      <c r="AXX7" s="84"/>
      <c r="AXY7" s="84"/>
      <c r="AXZ7" s="84"/>
      <c r="AYA7" s="84"/>
      <c r="AYB7" s="84"/>
      <c r="AYC7" s="84"/>
      <c r="AYD7" s="84"/>
      <c r="AYE7" s="85"/>
      <c r="AYF7" s="85"/>
      <c r="AYG7" s="85"/>
      <c r="AYH7" s="85"/>
      <c r="AYI7" s="85"/>
      <c r="AYJ7" s="85"/>
      <c r="AYK7" s="85"/>
      <c r="AYL7" s="84"/>
      <c r="AYM7" s="84"/>
      <c r="AYN7" s="84"/>
      <c r="AYO7" s="84"/>
      <c r="AYP7" s="84"/>
      <c r="AYQ7" s="84"/>
      <c r="AYR7" s="84"/>
      <c r="AYS7" s="85"/>
      <c r="AYT7" s="85"/>
      <c r="AYU7" s="85"/>
      <c r="AYV7" s="85"/>
      <c r="AYW7" s="85"/>
      <c r="AYX7" s="85"/>
      <c r="AYY7" s="85"/>
      <c r="AYZ7" s="84"/>
      <c r="AZA7" s="84"/>
      <c r="AZB7" s="84"/>
      <c r="AZC7" s="84"/>
      <c r="AZD7" s="84"/>
      <c r="AZE7" s="84"/>
      <c r="AZF7" s="84"/>
      <c r="AZG7" s="85"/>
      <c r="AZH7" s="85"/>
      <c r="AZI7" s="85"/>
      <c r="AZJ7" s="85"/>
      <c r="AZK7" s="85"/>
      <c r="AZL7" s="85"/>
      <c r="AZM7" s="85"/>
      <c r="AZN7" s="84"/>
      <c r="AZO7" s="84"/>
      <c r="AZP7" s="84"/>
      <c r="AZQ7" s="84"/>
      <c r="AZR7" s="84"/>
      <c r="AZS7" s="84"/>
      <c r="AZT7" s="84"/>
      <c r="AZU7" s="85"/>
      <c r="AZV7" s="85"/>
      <c r="AZW7" s="85"/>
      <c r="AZX7" s="85"/>
      <c r="AZY7" s="85"/>
      <c r="AZZ7" s="85"/>
      <c r="BAA7" s="85"/>
      <c r="BAB7" s="84"/>
      <c r="BAC7" s="84"/>
      <c r="BAD7" s="84"/>
      <c r="BAE7" s="84"/>
      <c r="BAF7" s="84"/>
      <c r="BAG7" s="84"/>
      <c r="BAH7" s="84"/>
      <c r="BAI7" s="85"/>
      <c r="BAJ7" s="85"/>
      <c r="BAK7" s="85"/>
      <c r="BAL7" s="85"/>
      <c r="BAM7" s="85"/>
      <c r="BAN7" s="85"/>
      <c r="BAO7" s="85"/>
      <c r="BAP7" s="84"/>
      <c r="BAQ7" s="84"/>
      <c r="BAR7" s="84"/>
      <c r="BAS7" s="84"/>
      <c r="BAT7" s="84"/>
      <c r="BAU7" s="84"/>
      <c r="BAV7" s="84"/>
      <c r="BAW7" s="85"/>
      <c r="BAX7" s="85"/>
      <c r="BAY7" s="85"/>
      <c r="BAZ7" s="85"/>
      <c r="BBA7" s="85"/>
      <c r="BBB7" s="85"/>
      <c r="BBC7" s="85"/>
      <c r="BBD7" s="84"/>
      <c r="BBE7" s="84"/>
      <c r="BBF7" s="84"/>
      <c r="BBG7" s="84"/>
      <c r="BBH7" s="84"/>
      <c r="BBI7" s="84"/>
      <c r="BBJ7" s="84"/>
      <c r="BBK7" s="85"/>
      <c r="BBL7" s="85"/>
      <c r="BBM7" s="85"/>
      <c r="BBN7" s="85"/>
      <c r="BBO7" s="85"/>
      <c r="BBP7" s="85"/>
      <c r="BBQ7" s="85"/>
      <c r="BBR7" s="84"/>
      <c r="BBS7" s="84"/>
      <c r="BBT7" s="84"/>
      <c r="BBU7" s="84"/>
      <c r="BBV7" s="84"/>
      <c r="BBW7" s="84"/>
      <c r="BBX7" s="84"/>
      <c r="BBY7" s="85"/>
      <c r="BBZ7" s="85"/>
      <c r="BCA7" s="85"/>
      <c r="BCB7" s="85"/>
      <c r="BCC7" s="85"/>
      <c r="BCD7" s="85"/>
      <c r="BCE7" s="85"/>
      <c r="BCF7" s="84"/>
      <c r="BCG7" s="84"/>
      <c r="BCH7" s="84"/>
      <c r="BCI7" s="84"/>
      <c r="BCJ7" s="84"/>
      <c r="BCK7" s="84"/>
      <c r="BCL7" s="84"/>
      <c r="BCM7" s="85"/>
      <c r="BCN7" s="85"/>
      <c r="BCO7" s="85"/>
      <c r="BCP7" s="85"/>
      <c r="BCQ7" s="85"/>
      <c r="BCR7" s="85"/>
      <c r="BCS7" s="85"/>
      <c r="BCT7" s="84"/>
      <c r="BCU7" s="84"/>
      <c r="BCV7" s="84"/>
      <c r="BCW7" s="84"/>
      <c r="BCX7" s="84"/>
      <c r="BCY7" s="84"/>
      <c r="BCZ7" s="84"/>
      <c r="BDA7" s="85"/>
      <c r="BDB7" s="85"/>
      <c r="BDC7" s="85"/>
      <c r="BDD7" s="85"/>
      <c r="BDE7" s="85"/>
      <c r="BDF7" s="85"/>
      <c r="BDG7" s="85"/>
      <c r="BDH7" s="84"/>
      <c r="BDI7" s="84"/>
      <c r="BDJ7" s="84"/>
      <c r="BDK7" s="84"/>
      <c r="BDL7" s="84"/>
      <c r="BDM7" s="84"/>
      <c r="BDN7" s="84"/>
      <c r="BDO7" s="85"/>
      <c r="BDP7" s="85"/>
      <c r="BDQ7" s="85"/>
      <c r="BDR7" s="85"/>
      <c r="BDS7" s="85"/>
      <c r="BDT7" s="85"/>
      <c r="BDU7" s="85"/>
      <c r="BDV7" s="84"/>
      <c r="BDW7" s="84"/>
      <c r="BDX7" s="84"/>
      <c r="BDY7" s="84"/>
      <c r="BDZ7" s="84"/>
      <c r="BEA7" s="84"/>
      <c r="BEB7" s="84"/>
      <c r="BEC7" s="85"/>
      <c r="BED7" s="85"/>
      <c r="BEE7" s="85"/>
      <c r="BEF7" s="85"/>
      <c r="BEG7" s="85"/>
      <c r="BEH7" s="85"/>
      <c r="BEI7" s="85"/>
      <c r="BEJ7" s="84"/>
      <c r="BEK7" s="84"/>
      <c r="BEL7" s="84"/>
      <c r="BEM7" s="84"/>
      <c r="BEN7" s="84"/>
      <c r="BEO7" s="84"/>
      <c r="BEP7" s="84"/>
      <c r="BEQ7" s="85"/>
      <c r="BER7" s="85"/>
      <c r="BES7" s="85"/>
      <c r="BET7" s="85"/>
      <c r="BEU7" s="85"/>
      <c r="BEV7" s="85"/>
      <c r="BEW7" s="85"/>
      <c r="BEX7" s="84"/>
      <c r="BEY7" s="84"/>
      <c r="BEZ7" s="84"/>
      <c r="BFA7" s="84"/>
      <c r="BFB7" s="84"/>
      <c r="BFC7" s="84"/>
      <c r="BFD7" s="84"/>
      <c r="BFE7" s="85"/>
      <c r="BFF7" s="85"/>
      <c r="BFG7" s="85"/>
      <c r="BFH7" s="85"/>
      <c r="BFI7" s="85"/>
      <c r="BFJ7" s="85"/>
      <c r="BFK7" s="85"/>
      <c r="BFL7" s="84"/>
      <c r="BFM7" s="84"/>
      <c r="BFN7" s="84"/>
      <c r="BFO7" s="84"/>
      <c r="BFP7" s="84"/>
      <c r="BFQ7" s="84"/>
      <c r="BFR7" s="84"/>
      <c r="BFS7" s="85"/>
      <c r="BFT7" s="85"/>
      <c r="BFU7" s="85"/>
      <c r="BFV7" s="85"/>
      <c r="BFW7" s="85"/>
      <c r="BFX7" s="85"/>
      <c r="BFY7" s="85"/>
      <c r="BFZ7" s="84"/>
      <c r="BGA7" s="84"/>
      <c r="BGB7" s="84"/>
      <c r="BGC7" s="84"/>
      <c r="BGD7" s="84"/>
      <c r="BGE7" s="84"/>
      <c r="BGF7" s="84"/>
      <c r="BGG7" s="85"/>
      <c r="BGH7" s="85"/>
      <c r="BGI7" s="85"/>
      <c r="BGJ7" s="85"/>
      <c r="BGK7" s="85"/>
      <c r="BGL7" s="85"/>
      <c r="BGM7" s="85"/>
      <c r="BGN7" s="84"/>
      <c r="BGO7" s="84"/>
      <c r="BGP7" s="84"/>
      <c r="BGQ7" s="84"/>
      <c r="BGR7" s="84"/>
      <c r="BGS7" s="84"/>
      <c r="BGT7" s="84"/>
      <c r="BGU7" s="85"/>
      <c r="BGV7" s="85"/>
      <c r="BGW7" s="85"/>
      <c r="BGX7" s="85"/>
      <c r="BGY7" s="85"/>
      <c r="BGZ7" s="85"/>
      <c r="BHA7" s="85"/>
      <c r="BHB7" s="84"/>
      <c r="BHC7" s="84"/>
      <c r="BHD7" s="84"/>
      <c r="BHE7" s="84"/>
      <c r="BHF7" s="84"/>
      <c r="BHG7" s="84"/>
      <c r="BHH7" s="84"/>
      <c r="BHI7" s="85"/>
      <c r="BHJ7" s="85"/>
      <c r="BHK7" s="85"/>
      <c r="BHL7" s="85"/>
      <c r="BHM7" s="85"/>
      <c r="BHN7" s="85"/>
      <c r="BHO7" s="85"/>
      <c r="BHP7" s="84"/>
      <c r="BHQ7" s="84"/>
      <c r="BHR7" s="84"/>
      <c r="BHS7" s="84"/>
      <c r="BHT7" s="84"/>
      <c r="BHU7" s="84"/>
      <c r="BHV7" s="84"/>
      <c r="BHW7" s="85"/>
      <c r="BHX7" s="85"/>
      <c r="BHY7" s="85"/>
      <c r="BHZ7" s="85"/>
      <c r="BIA7" s="85"/>
      <c r="BIB7" s="85"/>
      <c r="BIC7" s="85"/>
      <c r="BID7" s="84"/>
      <c r="BIE7" s="84"/>
      <c r="BIF7" s="84"/>
      <c r="BIG7" s="84"/>
      <c r="BIH7" s="84"/>
      <c r="BII7" s="84"/>
      <c r="BIJ7" s="84"/>
      <c r="BIK7" s="85"/>
      <c r="BIL7" s="85"/>
      <c r="BIM7" s="85"/>
      <c r="BIN7" s="85"/>
      <c r="BIO7" s="85"/>
      <c r="BIP7" s="85"/>
      <c r="BIQ7" s="85"/>
      <c r="BIR7" s="84"/>
      <c r="BIS7" s="84"/>
      <c r="BIT7" s="84"/>
      <c r="BIU7" s="84"/>
      <c r="BIV7" s="84"/>
      <c r="BIW7" s="84"/>
      <c r="BIX7" s="84"/>
      <c r="BIY7" s="85"/>
      <c r="BIZ7" s="85"/>
      <c r="BJA7" s="85"/>
      <c r="BJB7" s="85"/>
      <c r="BJC7" s="85"/>
      <c r="BJD7" s="85"/>
      <c r="BJE7" s="85"/>
      <c r="BJF7" s="84"/>
      <c r="BJG7" s="84"/>
      <c r="BJH7" s="84"/>
      <c r="BJI7" s="84"/>
      <c r="BJJ7" s="84"/>
      <c r="BJK7" s="84"/>
      <c r="BJL7" s="84"/>
      <c r="BJM7" s="85"/>
      <c r="BJN7" s="85"/>
      <c r="BJO7" s="85"/>
      <c r="BJP7" s="85"/>
      <c r="BJQ7" s="85"/>
      <c r="BJR7" s="85"/>
      <c r="BJS7" s="85"/>
      <c r="BJT7" s="84"/>
      <c r="BJU7" s="84"/>
      <c r="BJV7" s="84"/>
      <c r="BJW7" s="84"/>
      <c r="BJX7" s="84"/>
      <c r="BJY7" s="84"/>
      <c r="BJZ7" s="84"/>
      <c r="BKA7" s="85"/>
      <c r="BKB7" s="85"/>
      <c r="BKC7" s="85"/>
      <c r="BKD7" s="85"/>
      <c r="BKE7" s="85"/>
      <c r="BKF7" s="85"/>
      <c r="BKG7" s="85"/>
      <c r="BKH7" s="84"/>
      <c r="BKI7" s="84"/>
      <c r="BKJ7" s="84"/>
      <c r="BKK7" s="84"/>
      <c r="BKL7" s="84"/>
      <c r="BKM7" s="84"/>
      <c r="BKN7" s="84"/>
      <c r="BKO7" s="85"/>
      <c r="BKP7" s="85"/>
      <c r="BKQ7" s="85"/>
      <c r="BKR7" s="85"/>
      <c r="BKS7" s="85"/>
      <c r="BKT7" s="85"/>
      <c r="BKU7" s="85"/>
      <c r="BKV7" s="84"/>
      <c r="BKW7" s="84"/>
      <c r="BKX7" s="84"/>
      <c r="BKY7" s="84"/>
      <c r="BKZ7" s="84"/>
      <c r="BLA7" s="84"/>
      <c r="BLB7" s="84"/>
      <c r="BLC7" s="85"/>
      <c r="BLD7" s="85"/>
      <c r="BLE7" s="85"/>
      <c r="BLF7" s="85"/>
      <c r="BLG7" s="85"/>
      <c r="BLH7" s="85"/>
      <c r="BLI7" s="85"/>
      <c r="BLJ7" s="84"/>
      <c r="BLK7" s="84"/>
      <c r="BLL7" s="84"/>
      <c r="BLM7" s="84"/>
      <c r="BLN7" s="84"/>
      <c r="BLO7" s="84"/>
      <c r="BLP7" s="84"/>
      <c r="BLQ7" s="85"/>
      <c r="BLR7" s="85"/>
      <c r="BLS7" s="85"/>
      <c r="BLT7" s="85"/>
      <c r="BLU7" s="85"/>
      <c r="BLV7" s="85"/>
      <c r="BLW7" s="85"/>
      <c r="BLX7" s="84"/>
      <c r="BLY7" s="84"/>
      <c r="BLZ7" s="84"/>
      <c r="BMA7" s="84"/>
      <c r="BMB7" s="84"/>
      <c r="BMC7" s="84"/>
      <c r="BMD7" s="84"/>
      <c r="BME7" s="85"/>
      <c r="BMF7" s="85"/>
      <c r="BMG7" s="85"/>
      <c r="BMH7" s="85"/>
      <c r="BMI7" s="85"/>
      <c r="BMJ7" s="85"/>
      <c r="BMK7" s="85"/>
      <c r="BML7" s="84"/>
      <c r="BMM7" s="84"/>
      <c r="BMN7" s="84"/>
      <c r="BMO7" s="84"/>
      <c r="BMP7" s="84"/>
      <c r="BMQ7" s="84"/>
      <c r="BMR7" s="84"/>
      <c r="BMS7" s="85"/>
      <c r="BMT7" s="85"/>
      <c r="BMU7" s="85"/>
      <c r="BMV7" s="85"/>
      <c r="BMW7" s="85"/>
      <c r="BMX7" s="85"/>
      <c r="BMY7" s="85"/>
      <c r="BMZ7" s="84"/>
      <c r="BNA7" s="84"/>
      <c r="BNB7" s="84"/>
      <c r="BNC7" s="84"/>
      <c r="BND7" s="84"/>
      <c r="BNE7" s="84"/>
      <c r="BNF7" s="84"/>
      <c r="BNG7" s="85"/>
      <c r="BNH7" s="85"/>
      <c r="BNI7" s="85"/>
      <c r="BNJ7" s="85"/>
      <c r="BNK7" s="85"/>
      <c r="BNL7" s="85"/>
      <c r="BNM7" s="85"/>
      <c r="BNN7" s="84"/>
      <c r="BNO7" s="84"/>
      <c r="BNP7" s="84"/>
      <c r="BNQ7" s="84"/>
      <c r="BNR7" s="84"/>
      <c r="BNS7" s="84"/>
      <c r="BNT7" s="84"/>
      <c r="BNU7" s="85"/>
      <c r="BNV7" s="85"/>
      <c r="BNW7" s="85"/>
      <c r="BNX7" s="85"/>
      <c r="BNY7" s="85"/>
      <c r="BNZ7" s="85"/>
      <c r="BOA7" s="85"/>
      <c r="BOB7" s="84"/>
      <c r="BOC7" s="84"/>
      <c r="BOD7" s="84"/>
      <c r="BOE7" s="84"/>
      <c r="BOF7" s="84"/>
      <c r="BOG7" s="84"/>
      <c r="BOH7" s="84"/>
      <c r="BOI7" s="85"/>
      <c r="BOJ7" s="85"/>
      <c r="BOK7" s="85"/>
      <c r="BOL7" s="85"/>
      <c r="BOM7" s="85"/>
      <c r="BON7" s="85"/>
      <c r="BOO7" s="85"/>
      <c r="BOP7" s="84"/>
      <c r="BOQ7" s="84"/>
      <c r="BOR7" s="84"/>
      <c r="BOS7" s="84"/>
      <c r="BOT7" s="84"/>
      <c r="BOU7" s="84"/>
      <c r="BOV7" s="84"/>
      <c r="BOW7" s="85"/>
      <c r="BOX7" s="85"/>
      <c r="BOY7" s="85"/>
      <c r="BOZ7" s="85"/>
      <c r="BPA7" s="85"/>
      <c r="BPB7" s="85"/>
      <c r="BPC7" s="85"/>
      <c r="BPD7" s="84"/>
      <c r="BPE7" s="84"/>
      <c r="BPF7" s="84"/>
      <c r="BPG7" s="84"/>
      <c r="BPH7" s="84"/>
      <c r="BPI7" s="84"/>
      <c r="BPJ7" s="84"/>
      <c r="BPK7" s="85"/>
      <c r="BPL7" s="85"/>
      <c r="BPM7" s="85"/>
      <c r="BPN7" s="85"/>
      <c r="BPO7" s="85"/>
      <c r="BPP7" s="85"/>
      <c r="BPQ7" s="85"/>
      <c r="BPR7" s="84"/>
      <c r="BPS7" s="84"/>
      <c r="BPT7" s="84"/>
      <c r="BPU7" s="84"/>
      <c r="BPV7" s="84"/>
      <c r="BPW7" s="84"/>
      <c r="BPX7" s="84"/>
      <c r="BPY7" s="85"/>
      <c r="BPZ7" s="85"/>
      <c r="BQA7" s="85"/>
      <c r="BQB7" s="85"/>
      <c r="BQC7" s="85"/>
      <c r="BQD7" s="85"/>
      <c r="BQE7" s="85"/>
      <c r="BQF7" s="84"/>
      <c r="BQG7" s="84"/>
      <c r="BQH7" s="84"/>
      <c r="BQI7" s="84"/>
      <c r="BQJ7" s="84"/>
      <c r="BQK7" s="84"/>
      <c r="BQL7" s="84"/>
      <c r="BQM7" s="85"/>
      <c r="BQN7" s="85"/>
      <c r="BQO7" s="85"/>
      <c r="BQP7" s="85"/>
      <c r="BQQ7" s="85"/>
      <c r="BQR7" s="85"/>
      <c r="BQS7" s="85"/>
      <c r="BQT7" s="84"/>
      <c r="BQU7" s="84"/>
      <c r="BQV7" s="84"/>
      <c r="BQW7" s="84"/>
      <c r="BQX7" s="84"/>
      <c r="BQY7" s="84"/>
      <c r="BQZ7" s="84"/>
      <c r="BRA7" s="85"/>
      <c r="BRB7" s="85"/>
      <c r="BRC7" s="85"/>
      <c r="BRD7" s="85"/>
      <c r="BRE7" s="85"/>
      <c r="BRF7" s="85"/>
      <c r="BRG7" s="85"/>
      <c r="BRH7" s="84"/>
      <c r="BRI7" s="84"/>
      <c r="BRJ7" s="84"/>
      <c r="BRK7" s="84"/>
      <c r="BRL7" s="84"/>
      <c r="BRM7" s="84"/>
      <c r="BRN7" s="84"/>
      <c r="BRO7" s="85"/>
      <c r="BRP7" s="85"/>
      <c r="BRQ7" s="85"/>
      <c r="BRR7" s="85"/>
      <c r="BRS7" s="85"/>
      <c r="BRT7" s="85"/>
      <c r="BRU7" s="85"/>
      <c r="BRV7" s="84"/>
      <c r="BRW7" s="84"/>
      <c r="BRX7" s="84"/>
      <c r="BRY7" s="84"/>
      <c r="BRZ7" s="84"/>
      <c r="BSA7" s="84"/>
      <c r="BSB7" s="84"/>
      <c r="BSC7" s="85"/>
      <c r="BSD7" s="85"/>
      <c r="BSE7" s="85"/>
      <c r="BSF7" s="85"/>
      <c r="BSG7" s="85"/>
      <c r="BSH7" s="85"/>
      <c r="BSI7" s="85"/>
      <c r="BSJ7" s="84"/>
      <c r="BSK7" s="84"/>
      <c r="BSL7" s="84"/>
      <c r="BSM7" s="84"/>
      <c r="BSN7" s="84"/>
      <c r="BSO7" s="84"/>
      <c r="BSP7" s="84"/>
      <c r="BSQ7" s="85"/>
      <c r="BSR7" s="85"/>
      <c r="BSS7" s="85"/>
      <c r="BST7" s="85"/>
      <c r="BSU7" s="85"/>
      <c r="BSV7" s="85"/>
      <c r="BSW7" s="85"/>
      <c r="BSX7" s="84"/>
      <c r="BSY7" s="84"/>
      <c r="BSZ7" s="84"/>
      <c r="BTA7" s="84"/>
      <c r="BTB7" s="84"/>
      <c r="BTC7" s="84"/>
      <c r="BTD7" s="84"/>
      <c r="BTE7" s="85"/>
      <c r="BTF7" s="85"/>
      <c r="BTG7" s="85"/>
      <c r="BTH7" s="85"/>
      <c r="BTI7" s="85"/>
      <c r="BTJ7" s="85"/>
      <c r="BTK7" s="85"/>
      <c r="BTL7" s="84"/>
      <c r="BTM7" s="84"/>
      <c r="BTN7" s="84"/>
      <c r="BTO7" s="84"/>
      <c r="BTP7" s="84"/>
      <c r="BTQ7" s="84"/>
      <c r="BTR7" s="84"/>
      <c r="BTS7" s="85"/>
      <c r="BTT7" s="85"/>
      <c r="BTU7" s="85"/>
      <c r="BTV7" s="85"/>
      <c r="BTW7" s="85"/>
      <c r="BTX7" s="85"/>
      <c r="BTY7" s="85"/>
      <c r="BTZ7" s="84"/>
      <c r="BUA7" s="84"/>
      <c r="BUB7" s="84"/>
      <c r="BUC7" s="84"/>
      <c r="BUD7" s="84"/>
      <c r="BUE7" s="84"/>
      <c r="BUF7" s="84"/>
      <c r="BUG7" s="85"/>
      <c r="BUH7" s="85"/>
      <c r="BUI7" s="85"/>
      <c r="BUJ7" s="85"/>
      <c r="BUK7" s="85"/>
      <c r="BUL7" s="85"/>
      <c r="BUM7" s="85"/>
      <c r="BUN7" s="84"/>
      <c r="BUO7" s="84"/>
      <c r="BUP7" s="84"/>
      <c r="BUQ7" s="84"/>
      <c r="BUR7" s="84"/>
      <c r="BUS7" s="84"/>
      <c r="BUT7" s="84"/>
      <c r="BUU7" s="85"/>
      <c r="BUV7" s="85"/>
      <c r="BUW7" s="85"/>
      <c r="BUX7" s="85"/>
      <c r="BUY7" s="85"/>
      <c r="BUZ7" s="85"/>
      <c r="BVA7" s="85"/>
      <c r="BVB7" s="84"/>
      <c r="BVC7" s="84"/>
      <c r="BVD7" s="84"/>
      <c r="BVE7" s="84"/>
      <c r="BVF7" s="84"/>
      <c r="BVG7" s="84"/>
      <c r="BVH7" s="84"/>
      <c r="BVI7" s="85"/>
      <c r="BVJ7" s="85"/>
      <c r="BVK7" s="85"/>
      <c r="BVL7" s="85"/>
      <c r="BVM7" s="85"/>
      <c r="BVN7" s="85"/>
      <c r="BVO7" s="85"/>
      <c r="BVP7" s="84"/>
      <c r="BVQ7" s="84"/>
      <c r="BVR7" s="84"/>
      <c r="BVS7" s="84"/>
      <c r="BVT7" s="84"/>
      <c r="BVU7" s="84"/>
      <c r="BVV7" s="84"/>
      <c r="BVW7" s="85"/>
      <c r="BVX7" s="85"/>
      <c r="BVY7" s="85"/>
      <c r="BVZ7" s="85"/>
      <c r="BWA7" s="85"/>
      <c r="BWB7" s="85"/>
      <c r="BWC7" s="85"/>
      <c r="BWD7" s="84"/>
      <c r="BWE7" s="84"/>
      <c r="BWF7" s="84"/>
      <c r="BWG7" s="84"/>
      <c r="BWH7" s="84"/>
      <c r="BWI7" s="84"/>
      <c r="BWJ7" s="84"/>
      <c r="BWK7" s="85"/>
      <c r="BWL7" s="85"/>
      <c r="BWM7" s="85"/>
      <c r="BWN7" s="85"/>
      <c r="BWO7" s="85"/>
      <c r="BWP7" s="85"/>
      <c r="BWQ7" s="85"/>
      <c r="BWR7" s="84"/>
      <c r="BWS7" s="84"/>
      <c r="BWT7" s="84"/>
      <c r="BWU7" s="84"/>
      <c r="BWV7" s="84"/>
      <c r="BWW7" s="84"/>
      <c r="BWX7" s="84"/>
      <c r="BWY7" s="85"/>
      <c r="BWZ7" s="85"/>
      <c r="BXA7" s="85"/>
      <c r="BXB7" s="85"/>
      <c r="BXC7" s="85"/>
      <c r="BXD7" s="85"/>
      <c r="BXE7" s="85"/>
      <c r="BXF7" s="84"/>
      <c r="BXG7" s="84"/>
      <c r="BXH7" s="84"/>
      <c r="BXI7" s="84"/>
      <c r="BXJ7" s="84"/>
      <c r="BXK7" s="84"/>
      <c r="BXL7" s="84"/>
      <c r="BXM7" s="85"/>
      <c r="BXN7" s="85"/>
      <c r="BXO7" s="85"/>
      <c r="BXP7" s="85"/>
      <c r="BXQ7" s="85"/>
      <c r="BXR7" s="85"/>
      <c r="BXS7" s="85"/>
      <c r="BXT7" s="84"/>
      <c r="BXU7" s="84"/>
      <c r="BXV7" s="84"/>
      <c r="BXW7" s="84"/>
      <c r="BXX7" s="84"/>
      <c r="BXY7" s="84"/>
      <c r="BXZ7" s="84"/>
      <c r="BYA7" s="85"/>
      <c r="BYB7" s="85"/>
      <c r="BYC7" s="85"/>
      <c r="BYD7" s="85"/>
      <c r="BYE7" s="85"/>
      <c r="BYF7" s="85"/>
      <c r="BYG7" s="85"/>
      <c r="BYH7" s="84"/>
      <c r="BYI7" s="84"/>
      <c r="BYJ7" s="84"/>
      <c r="BYK7" s="84"/>
      <c r="BYL7" s="84"/>
      <c r="BYM7" s="84"/>
      <c r="BYN7" s="84"/>
      <c r="BYO7" s="85"/>
      <c r="BYP7" s="85"/>
      <c r="BYQ7" s="85"/>
      <c r="BYR7" s="85"/>
      <c r="BYS7" s="85"/>
      <c r="BYT7" s="85"/>
      <c r="BYU7" s="85"/>
      <c r="BYV7" s="84"/>
      <c r="BYW7" s="84"/>
      <c r="BYX7" s="84"/>
      <c r="BYY7" s="84"/>
      <c r="BYZ7" s="84"/>
      <c r="BZA7" s="84"/>
      <c r="BZB7" s="84"/>
      <c r="BZC7" s="85"/>
      <c r="BZD7" s="85"/>
      <c r="BZE7" s="85"/>
      <c r="BZF7" s="85"/>
      <c r="BZG7" s="85"/>
      <c r="BZH7" s="85"/>
      <c r="BZI7" s="85"/>
      <c r="BZJ7" s="84"/>
      <c r="BZK7" s="84"/>
      <c r="BZL7" s="84"/>
      <c r="BZM7" s="84"/>
      <c r="BZN7" s="84"/>
      <c r="BZO7" s="84"/>
      <c r="BZP7" s="84"/>
      <c r="BZQ7" s="85"/>
      <c r="BZR7" s="85"/>
      <c r="BZS7" s="85"/>
      <c r="BZT7" s="85"/>
      <c r="BZU7" s="85"/>
      <c r="BZV7" s="85"/>
      <c r="BZW7" s="85"/>
      <c r="BZX7" s="84"/>
      <c r="BZY7" s="84"/>
      <c r="BZZ7" s="84"/>
      <c r="CAA7" s="84"/>
      <c r="CAB7" s="84"/>
      <c r="CAC7" s="84"/>
      <c r="CAD7" s="84"/>
      <c r="CAE7" s="85"/>
      <c r="CAF7" s="85"/>
      <c r="CAG7" s="85"/>
      <c r="CAH7" s="85"/>
      <c r="CAI7" s="85"/>
      <c r="CAJ7" s="85"/>
      <c r="CAK7" s="85"/>
      <c r="CAL7" s="84"/>
      <c r="CAM7" s="84"/>
      <c r="CAN7" s="84"/>
      <c r="CAO7" s="84"/>
      <c r="CAP7" s="84"/>
      <c r="CAQ7" s="84"/>
      <c r="CAR7" s="84"/>
      <c r="CAS7" s="85"/>
      <c r="CAT7" s="85"/>
      <c r="CAU7" s="85"/>
      <c r="CAV7" s="85"/>
      <c r="CAW7" s="85"/>
      <c r="CAX7" s="85"/>
      <c r="CAY7" s="85"/>
      <c r="CAZ7" s="84"/>
      <c r="CBA7" s="84"/>
      <c r="CBB7" s="84"/>
      <c r="CBC7" s="84"/>
      <c r="CBD7" s="84"/>
      <c r="CBE7" s="84"/>
      <c r="CBF7" s="84"/>
      <c r="CBG7" s="85"/>
      <c r="CBH7" s="85"/>
      <c r="CBI7" s="85"/>
      <c r="CBJ7" s="85"/>
      <c r="CBK7" s="85"/>
      <c r="CBL7" s="85"/>
      <c r="CBM7" s="85"/>
      <c r="CBN7" s="84"/>
      <c r="CBO7" s="84"/>
      <c r="CBP7" s="84"/>
      <c r="CBQ7" s="84"/>
      <c r="CBR7" s="84"/>
      <c r="CBS7" s="84"/>
      <c r="CBT7" s="84"/>
      <c r="CBU7" s="85"/>
      <c r="CBV7" s="85"/>
      <c r="CBW7" s="85"/>
      <c r="CBX7" s="85"/>
      <c r="CBY7" s="85"/>
      <c r="CBZ7" s="85"/>
      <c r="CCA7" s="85"/>
      <c r="CCB7" s="84"/>
      <c r="CCC7" s="84"/>
      <c r="CCD7" s="84"/>
      <c r="CCE7" s="84"/>
      <c r="CCF7" s="84"/>
      <c r="CCG7" s="84"/>
      <c r="CCH7" s="84"/>
      <c r="CCI7" s="85"/>
      <c r="CCJ7" s="85"/>
      <c r="CCK7" s="85"/>
      <c r="CCL7" s="85"/>
      <c r="CCM7" s="85"/>
      <c r="CCN7" s="85"/>
      <c r="CCO7" s="85"/>
      <c r="CCP7" s="84"/>
      <c r="CCQ7" s="84"/>
      <c r="CCR7" s="84"/>
      <c r="CCS7" s="84"/>
      <c r="CCT7" s="84"/>
      <c r="CCU7" s="84"/>
      <c r="CCV7" s="84"/>
    </row>
    <row r="8" spans="1:2129 15008:15070 15386:15394" ht="14.1" customHeight="1" x14ac:dyDescent="0.2">
      <c r="G8" s="83" t="s">
        <v>77</v>
      </c>
      <c r="H8" s="82"/>
      <c r="I8" s="82"/>
      <c r="J8" s="81"/>
      <c r="K8" s="82"/>
      <c r="L8" s="82"/>
      <c r="M8" s="81"/>
      <c r="N8" s="141"/>
      <c r="O8" s="141"/>
      <c r="P8" s="155"/>
      <c r="Q8" s="148"/>
      <c r="R8" s="82"/>
      <c r="S8" s="82"/>
      <c r="T8" s="81"/>
      <c r="U8" s="166"/>
      <c r="V8" s="166"/>
      <c r="W8" s="166"/>
      <c r="X8" s="80"/>
      <c r="Y8" s="80"/>
      <c r="Z8" s="80"/>
      <c r="AA8" s="80"/>
      <c r="AB8" s="80"/>
      <c r="AC8" s="157">
        <v>18</v>
      </c>
      <c r="AD8" s="157">
        <v>19</v>
      </c>
      <c r="AE8" s="157">
        <v>20</v>
      </c>
      <c r="AF8" s="157">
        <v>21</v>
      </c>
      <c r="AG8" s="157">
        <v>22</v>
      </c>
      <c r="AH8" s="157">
        <v>23</v>
      </c>
      <c r="AI8" s="157">
        <v>24</v>
      </c>
      <c r="AJ8" s="157">
        <v>25</v>
      </c>
      <c r="AK8" s="157">
        <v>26</v>
      </c>
      <c r="AL8" s="157">
        <v>27</v>
      </c>
      <c r="AM8" s="157">
        <v>28</v>
      </c>
      <c r="AN8" s="157">
        <v>29</v>
      </c>
      <c r="AO8" s="157">
        <v>30</v>
      </c>
      <c r="AP8" s="157">
        <v>31</v>
      </c>
      <c r="AQ8" s="157">
        <v>1</v>
      </c>
      <c r="AR8" s="157">
        <v>2</v>
      </c>
      <c r="AS8" s="157">
        <v>3</v>
      </c>
      <c r="AT8" s="157">
        <v>4</v>
      </c>
      <c r="AU8" s="157">
        <v>5</v>
      </c>
      <c r="AV8" s="157">
        <v>6</v>
      </c>
      <c r="AW8" s="157">
        <v>7</v>
      </c>
      <c r="AX8" s="157">
        <v>8</v>
      </c>
      <c r="AY8" s="157">
        <v>9</v>
      </c>
      <c r="AZ8" s="157">
        <v>10</v>
      </c>
      <c r="BA8" s="157">
        <v>11</v>
      </c>
      <c r="BB8" s="157">
        <v>12</v>
      </c>
      <c r="BC8" s="157">
        <v>13</v>
      </c>
      <c r="BD8" s="157">
        <v>14</v>
      </c>
      <c r="BE8" s="157">
        <v>15</v>
      </c>
      <c r="BF8" s="157">
        <v>16</v>
      </c>
      <c r="BG8" s="157">
        <v>17</v>
      </c>
      <c r="BH8" s="157">
        <v>18</v>
      </c>
      <c r="BI8" s="157">
        <v>19</v>
      </c>
      <c r="BJ8" s="157">
        <v>20</v>
      </c>
      <c r="BK8" s="157">
        <v>21</v>
      </c>
      <c r="BL8" s="157">
        <v>22</v>
      </c>
      <c r="BM8" s="157">
        <v>23</v>
      </c>
      <c r="BN8" s="157">
        <v>24</v>
      </c>
      <c r="BO8" s="157">
        <v>25</v>
      </c>
      <c r="BP8" s="157">
        <v>26</v>
      </c>
      <c r="BQ8" s="157">
        <v>27</v>
      </c>
      <c r="BR8" s="157">
        <v>28</v>
      </c>
      <c r="BS8" s="157">
        <v>29</v>
      </c>
      <c r="BT8" s="157">
        <v>1</v>
      </c>
      <c r="BU8" s="157">
        <v>2</v>
      </c>
      <c r="BV8" s="157">
        <v>3</v>
      </c>
      <c r="BW8" s="157">
        <v>4</v>
      </c>
      <c r="BX8" s="157">
        <v>5</v>
      </c>
      <c r="BY8" s="157">
        <v>6</v>
      </c>
      <c r="BZ8" s="157">
        <v>7</v>
      </c>
      <c r="CA8" s="157">
        <v>8</v>
      </c>
      <c r="CB8" s="157">
        <v>9</v>
      </c>
      <c r="CC8" s="157">
        <v>10</v>
      </c>
      <c r="CD8" s="157">
        <v>11</v>
      </c>
      <c r="CE8" s="157">
        <v>12</v>
      </c>
      <c r="CF8" s="157">
        <v>13</v>
      </c>
      <c r="CG8" s="157"/>
      <c r="CH8" s="157"/>
      <c r="CI8" s="157"/>
      <c r="CJ8" s="157"/>
      <c r="CK8" s="157"/>
      <c r="CL8" s="157"/>
      <c r="CM8" s="157"/>
      <c r="CN8" s="157"/>
      <c r="CO8" s="157"/>
      <c r="CP8" s="157"/>
      <c r="CQ8" s="157"/>
      <c r="CR8" s="157"/>
      <c r="CS8" s="157"/>
      <c r="CT8" s="157"/>
      <c r="CU8" s="157"/>
      <c r="CV8" s="157"/>
      <c r="CW8" s="157"/>
      <c r="CX8" s="157"/>
      <c r="CY8" s="157"/>
      <c r="CZ8" s="157"/>
      <c r="DA8" s="157"/>
      <c r="DB8" s="157"/>
      <c r="DC8" s="157"/>
      <c r="DD8" s="157"/>
      <c r="DE8" s="157"/>
      <c r="DF8" s="157"/>
      <c r="DG8" s="157"/>
      <c r="DH8" s="157"/>
      <c r="DI8" s="157"/>
      <c r="DJ8" s="157"/>
      <c r="DK8" s="157"/>
      <c r="DL8" s="157"/>
      <c r="DM8" s="157"/>
      <c r="DN8" s="157"/>
      <c r="DO8" s="157"/>
      <c r="DP8" s="157"/>
      <c r="DQ8" s="157"/>
      <c r="DR8" s="157"/>
      <c r="DS8" s="157"/>
      <c r="DT8" s="157"/>
      <c r="DU8" s="157"/>
      <c r="DV8" s="157"/>
      <c r="DW8" s="157"/>
      <c r="DX8" s="157"/>
      <c r="DY8" s="157"/>
      <c r="DZ8" s="157"/>
      <c r="EA8" s="157"/>
      <c r="EB8" s="157"/>
      <c r="EC8" s="157"/>
      <c r="ED8" s="157"/>
      <c r="EE8" s="157"/>
      <c r="EF8" s="157"/>
      <c r="EG8" s="157"/>
      <c r="EH8" s="157"/>
      <c r="EI8" s="157"/>
      <c r="EJ8" s="157"/>
      <c r="EK8" s="157"/>
      <c r="EL8" s="157"/>
      <c r="EM8" s="157"/>
      <c r="EN8" s="157"/>
      <c r="EO8" s="157"/>
      <c r="EP8" s="157"/>
      <c r="EQ8" s="157"/>
      <c r="ER8" s="157"/>
      <c r="ES8" s="157"/>
      <c r="ET8" s="157"/>
      <c r="EU8" s="157"/>
      <c r="EV8" s="157"/>
      <c r="EW8" s="157"/>
      <c r="EX8" s="157"/>
      <c r="EY8" s="157"/>
      <c r="EZ8" s="157"/>
      <c r="FA8" s="157"/>
      <c r="FB8" s="157"/>
      <c r="FC8" s="157"/>
      <c r="FD8" s="157"/>
      <c r="FE8" s="157"/>
      <c r="FF8" s="157"/>
      <c r="FG8" s="157"/>
      <c r="FH8" s="157"/>
      <c r="FI8" s="157"/>
      <c r="FJ8" s="157"/>
      <c r="FK8" s="157"/>
      <c r="FL8" s="157"/>
      <c r="FM8" s="157"/>
      <c r="FN8" s="157"/>
      <c r="FO8" s="157"/>
      <c r="FP8" s="157"/>
      <c r="FQ8" s="157"/>
      <c r="FR8" s="157"/>
      <c r="FS8" s="157"/>
      <c r="FT8" s="157"/>
      <c r="FU8" s="157"/>
      <c r="FV8" s="157"/>
      <c r="FW8" s="157"/>
      <c r="FX8" s="157"/>
      <c r="FY8" s="157"/>
      <c r="FZ8" s="157"/>
      <c r="GA8" s="157"/>
      <c r="GB8" s="157"/>
      <c r="GC8" s="157"/>
      <c r="GD8" s="157"/>
      <c r="GE8" s="157"/>
      <c r="GF8" s="157"/>
      <c r="GG8" s="157"/>
      <c r="GH8" s="157"/>
      <c r="GI8" s="157"/>
      <c r="GJ8" s="157"/>
      <c r="GK8" s="157"/>
      <c r="GL8" s="157"/>
      <c r="GM8" s="157"/>
      <c r="GN8" s="157"/>
      <c r="GO8" s="157"/>
      <c r="GP8" s="157"/>
      <c r="GQ8" s="157"/>
      <c r="GR8" s="157"/>
      <c r="GS8" s="157"/>
      <c r="GT8" s="157"/>
      <c r="GU8" s="157"/>
      <c r="GV8" s="157"/>
      <c r="GW8" s="157"/>
      <c r="GX8" s="157"/>
      <c r="GY8" s="157"/>
      <c r="GZ8" s="157"/>
      <c r="HA8" s="157"/>
      <c r="HB8" s="157"/>
      <c r="HC8" s="157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IW8" s="157"/>
      <c r="IX8" s="157"/>
      <c r="IY8" s="157"/>
      <c r="IZ8" s="157"/>
      <c r="JA8" s="157"/>
      <c r="JB8" s="157"/>
      <c r="JC8" s="157"/>
      <c r="JD8" s="157"/>
      <c r="JE8" s="157"/>
      <c r="JF8" s="157"/>
      <c r="JG8" s="157"/>
      <c r="JH8" s="157"/>
      <c r="JI8" s="157"/>
      <c r="JJ8" s="157"/>
      <c r="JK8" s="157"/>
      <c r="JL8" s="157"/>
      <c r="JM8" s="157"/>
      <c r="JN8" s="157"/>
      <c r="JO8" s="157"/>
      <c r="JP8" s="157"/>
      <c r="JQ8" s="157"/>
      <c r="JR8" s="157"/>
      <c r="JS8" s="157"/>
      <c r="JT8" s="157"/>
      <c r="JU8" s="157"/>
      <c r="JV8" s="157"/>
      <c r="JW8" s="157"/>
      <c r="JX8" s="157"/>
      <c r="JY8" s="157"/>
      <c r="JZ8" s="157"/>
      <c r="KA8" s="157"/>
      <c r="KB8" s="157"/>
      <c r="KC8" s="157"/>
      <c r="KD8" s="157"/>
      <c r="KE8" s="157"/>
      <c r="KF8" s="157"/>
      <c r="KG8" s="157"/>
      <c r="KH8" s="157"/>
      <c r="KI8" s="157"/>
      <c r="KJ8" s="157"/>
      <c r="KK8" s="157"/>
      <c r="KL8" s="157"/>
      <c r="KM8" s="157"/>
      <c r="KN8" s="157"/>
      <c r="KO8" s="157"/>
      <c r="KP8" s="157"/>
      <c r="KQ8" s="157"/>
      <c r="KR8" s="157"/>
      <c r="KS8" s="157"/>
      <c r="KT8" s="157"/>
      <c r="KU8" s="157"/>
      <c r="KV8" s="157"/>
      <c r="KW8" s="157"/>
      <c r="KX8" s="157"/>
      <c r="KY8" s="157"/>
      <c r="KZ8" s="157"/>
      <c r="LA8" s="157"/>
      <c r="LB8" s="157"/>
      <c r="LC8" s="157"/>
      <c r="LD8" s="157"/>
      <c r="LE8" s="157"/>
      <c r="LF8" s="157"/>
      <c r="LG8" s="157"/>
      <c r="LH8" s="157"/>
      <c r="LI8" s="157"/>
      <c r="LJ8" s="157"/>
      <c r="LK8" s="157"/>
      <c r="LL8" s="157"/>
      <c r="LM8" s="157"/>
      <c r="LN8" s="157"/>
      <c r="LO8" s="157"/>
      <c r="LP8" s="157"/>
      <c r="LQ8" s="157"/>
      <c r="LR8" s="157"/>
      <c r="LS8" s="157"/>
      <c r="LT8" s="157"/>
      <c r="LU8" s="157"/>
      <c r="LV8" s="157"/>
      <c r="LW8" s="157"/>
      <c r="LX8" s="157"/>
      <c r="LY8" s="157"/>
      <c r="LZ8" s="157"/>
      <c r="MA8" s="157"/>
      <c r="MB8" s="157"/>
      <c r="MC8" s="157"/>
      <c r="MD8" s="157"/>
      <c r="ME8" s="157"/>
      <c r="MF8" s="157"/>
      <c r="MG8" s="157"/>
      <c r="MH8" s="157"/>
      <c r="MI8" s="157"/>
      <c r="MJ8" s="157"/>
      <c r="MK8" s="157"/>
      <c r="ML8" s="157"/>
      <c r="MM8" s="157"/>
      <c r="MN8" s="157"/>
      <c r="MO8" s="157"/>
      <c r="MP8" s="157"/>
      <c r="MQ8" s="157"/>
      <c r="MR8" s="157"/>
      <c r="MS8" s="157"/>
      <c r="MT8" s="157"/>
      <c r="MU8" s="157"/>
      <c r="MV8" s="157"/>
      <c r="MW8" s="157"/>
      <c r="MX8" s="157"/>
      <c r="MY8" s="157"/>
      <c r="MZ8" s="157"/>
      <c r="NA8" s="157"/>
      <c r="NB8" s="157"/>
      <c r="NC8" s="157"/>
      <c r="ND8" s="157"/>
      <c r="NE8" s="157"/>
      <c r="NF8" s="157"/>
      <c r="NG8" s="157"/>
      <c r="NH8" s="157"/>
      <c r="NI8" s="157"/>
      <c r="NJ8" s="157"/>
      <c r="NK8" s="157"/>
      <c r="NL8" s="157"/>
      <c r="NM8" s="157"/>
      <c r="NN8" s="157"/>
      <c r="NO8" s="157"/>
      <c r="NP8" s="157"/>
      <c r="NQ8" s="157"/>
      <c r="NR8" s="157"/>
      <c r="NS8" s="157"/>
      <c r="NT8" s="157"/>
      <c r="NU8" s="157"/>
      <c r="NV8" s="157"/>
      <c r="NW8" s="157"/>
      <c r="NX8" s="157"/>
      <c r="NY8" s="157"/>
      <c r="NZ8" s="157"/>
      <c r="OA8" s="157"/>
      <c r="OB8" s="157"/>
      <c r="OC8" s="157"/>
      <c r="OD8" s="157"/>
      <c r="OE8" s="157"/>
      <c r="OF8" s="157"/>
      <c r="OG8" s="157"/>
      <c r="OH8" s="157"/>
      <c r="OI8" s="157"/>
      <c r="OJ8" s="157"/>
      <c r="OK8" s="157"/>
      <c r="OL8" s="157"/>
      <c r="OM8" s="157"/>
      <c r="ON8" s="157"/>
      <c r="OO8" s="157"/>
      <c r="OP8" s="157"/>
      <c r="OQ8" s="157"/>
      <c r="OR8" s="157"/>
      <c r="OS8" s="157"/>
      <c r="OT8" s="157"/>
      <c r="OU8" s="157"/>
      <c r="OV8" s="157"/>
      <c r="OW8" s="157"/>
      <c r="OX8" s="157"/>
      <c r="OY8" s="157"/>
      <c r="OZ8" s="157"/>
      <c r="PA8" s="157"/>
      <c r="PB8" s="157"/>
      <c r="PC8" s="157"/>
      <c r="PD8" s="157"/>
      <c r="PE8" s="157"/>
      <c r="PF8" s="157"/>
      <c r="PG8" s="157"/>
      <c r="PH8" s="157"/>
      <c r="PI8" s="157"/>
      <c r="PJ8" s="157"/>
      <c r="PK8" s="157"/>
      <c r="PL8" s="157"/>
      <c r="PM8" s="157"/>
      <c r="PN8" s="157"/>
      <c r="PO8" s="157"/>
      <c r="PP8" s="157"/>
      <c r="PQ8" s="157"/>
      <c r="PR8" s="157"/>
      <c r="PS8" s="157"/>
      <c r="PT8" s="157"/>
      <c r="PU8" s="157"/>
      <c r="PV8" s="157"/>
      <c r="PW8" s="157"/>
      <c r="PX8" s="157"/>
      <c r="PY8" s="157"/>
      <c r="PZ8" s="157"/>
      <c r="QA8" s="157"/>
      <c r="QB8" s="157"/>
      <c r="QC8" s="157"/>
      <c r="QD8" s="157"/>
      <c r="QE8" s="157"/>
      <c r="QF8" s="157"/>
      <c r="QG8" s="157"/>
      <c r="QH8" s="157"/>
      <c r="QI8" s="157"/>
      <c r="QJ8" s="157"/>
      <c r="QK8" s="157"/>
      <c r="QL8" s="157"/>
      <c r="QM8" s="157"/>
      <c r="QN8" s="157"/>
      <c r="QO8" s="157"/>
      <c r="QP8" s="157"/>
      <c r="QQ8" s="157"/>
      <c r="QR8" s="157"/>
      <c r="QS8" s="157"/>
      <c r="QT8" s="157"/>
      <c r="QU8" s="157"/>
      <c r="QV8" s="157"/>
      <c r="QW8" s="157"/>
      <c r="QX8" s="157"/>
      <c r="QY8" s="157"/>
      <c r="QZ8" s="157"/>
      <c r="RA8" s="157"/>
      <c r="RB8" s="157"/>
      <c r="RC8" s="157"/>
      <c r="RD8" s="157"/>
      <c r="RE8" s="157"/>
      <c r="RF8" s="157"/>
      <c r="RG8" s="157"/>
      <c r="RH8" s="157"/>
      <c r="RI8" s="157"/>
      <c r="RJ8" s="157"/>
      <c r="RK8" s="157"/>
      <c r="RL8" s="157"/>
      <c r="RM8" s="157"/>
      <c r="RN8" s="157"/>
      <c r="RO8" s="157"/>
      <c r="RP8" s="157"/>
      <c r="RQ8" s="157"/>
      <c r="RR8" s="157"/>
      <c r="RS8" s="157"/>
      <c r="RT8" s="157"/>
      <c r="RU8" s="157"/>
      <c r="RV8" s="157"/>
      <c r="RW8" s="157"/>
      <c r="RX8" s="157"/>
      <c r="RY8" s="157"/>
      <c r="RZ8" s="157"/>
      <c r="SA8" s="157"/>
      <c r="SB8" s="157"/>
      <c r="SC8" s="157"/>
      <c r="SD8" s="157"/>
      <c r="SE8" s="157"/>
      <c r="SF8" s="157"/>
      <c r="SG8" s="157"/>
      <c r="SH8" s="157"/>
      <c r="SI8" s="157"/>
      <c r="SJ8" s="157"/>
      <c r="SK8" s="157"/>
      <c r="SL8" s="157"/>
      <c r="SM8" s="157"/>
      <c r="SN8" s="157"/>
      <c r="SO8" s="157"/>
      <c r="SP8" s="157"/>
      <c r="SQ8" s="157"/>
      <c r="SR8" s="157"/>
      <c r="SS8" s="157"/>
      <c r="ST8" s="157"/>
      <c r="SU8" s="157"/>
      <c r="SV8" s="157"/>
      <c r="SW8" s="157"/>
      <c r="SX8" s="157"/>
      <c r="SY8" s="157"/>
      <c r="SZ8" s="157"/>
      <c r="TA8" s="157"/>
      <c r="TB8" s="157"/>
      <c r="TC8" s="157"/>
      <c r="TD8" s="157"/>
      <c r="TE8" s="157"/>
      <c r="TF8" s="157"/>
      <c r="TG8" s="157"/>
      <c r="TH8" s="157"/>
      <c r="TI8" s="157"/>
      <c r="TJ8" s="157"/>
      <c r="TK8" s="157"/>
      <c r="TL8" s="157"/>
      <c r="TM8" s="157"/>
      <c r="TN8" s="157"/>
      <c r="TO8" s="157"/>
      <c r="TP8" s="157"/>
      <c r="TQ8" s="157"/>
      <c r="TR8" s="157"/>
      <c r="TS8" s="157"/>
      <c r="TT8" s="157"/>
      <c r="TU8" s="157"/>
      <c r="TV8" s="157"/>
      <c r="TW8" s="157"/>
      <c r="TX8" s="157"/>
      <c r="TY8" s="157"/>
      <c r="TZ8" s="157"/>
      <c r="UA8" s="157"/>
      <c r="UB8" s="157"/>
      <c r="UC8" s="157"/>
      <c r="UD8" s="157"/>
      <c r="UE8" s="157"/>
      <c r="UF8" s="157"/>
      <c r="UG8" s="157"/>
      <c r="UH8" s="157"/>
      <c r="UI8" s="157"/>
      <c r="UJ8" s="157"/>
      <c r="UK8" s="157"/>
      <c r="UL8" s="157"/>
      <c r="UM8" s="157"/>
      <c r="UN8" s="157"/>
      <c r="UO8" s="157"/>
      <c r="UP8" s="157"/>
      <c r="UQ8" s="157"/>
      <c r="UR8" s="157"/>
      <c r="US8" s="157"/>
      <c r="UT8" s="157"/>
      <c r="UU8" s="157"/>
      <c r="UV8" s="157"/>
      <c r="UW8" s="157"/>
      <c r="UX8" s="157"/>
      <c r="UY8" s="157"/>
      <c r="UZ8" s="157"/>
      <c r="VA8" s="157"/>
      <c r="VB8" s="157"/>
      <c r="VC8" s="157"/>
      <c r="VD8" s="157"/>
      <c r="VE8" s="157"/>
      <c r="VF8" s="157"/>
      <c r="VG8" s="157"/>
      <c r="VH8" s="157"/>
      <c r="VI8" s="157"/>
      <c r="VJ8" s="157"/>
      <c r="VK8" s="157"/>
      <c r="VL8" s="157"/>
      <c r="VM8" s="157"/>
      <c r="VN8" s="157"/>
      <c r="VO8" s="157"/>
      <c r="VP8" s="157"/>
      <c r="VQ8" s="157"/>
      <c r="VR8" s="157"/>
      <c r="VS8" s="157"/>
      <c r="VT8" s="157"/>
      <c r="VU8" s="157"/>
      <c r="VV8" s="157"/>
      <c r="VW8" s="157"/>
      <c r="VX8" s="157"/>
      <c r="VY8" s="157"/>
      <c r="VZ8" s="157"/>
      <c r="WA8" s="157"/>
      <c r="WB8" s="157"/>
      <c r="WC8" s="157"/>
      <c r="WD8" s="157"/>
      <c r="WE8" s="157"/>
      <c r="WF8" s="157"/>
      <c r="WG8" s="157"/>
      <c r="WH8" s="157"/>
      <c r="WI8" s="157"/>
      <c r="WJ8" s="157"/>
      <c r="WK8" s="157"/>
      <c r="WL8" s="157"/>
      <c r="WM8" s="157"/>
      <c r="WN8" s="157"/>
      <c r="WO8" s="157"/>
      <c r="WP8" s="157"/>
      <c r="WQ8" s="157"/>
      <c r="WR8" s="157"/>
      <c r="WS8" s="157"/>
      <c r="WT8" s="157"/>
      <c r="WU8" s="157"/>
      <c r="WV8" s="157"/>
      <c r="WW8" s="157"/>
      <c r="WX8" s="157"/>
      <c r="WY8" s="157"/>
      <c r="WZ8" s="157"/>
      <c r="XA8" s="157"/>
      <c r="XB8" s="157"/>
      <c r="XC8" s="157"/>
      <c r="XD8" s="157"/>
      <c r="XE8" s="157"/>
      <c r="XF8" s="157"/>
      <c r="XG8" s="157"/>
      <c r="XH8" s="157"/>
      <c r="XI8" s="157"/>
      <c r="XJ8" s="157"/>
      <c r="XK8" s="157"/>
      <c r="XL8" s="157"/>
      <c r="XM8" s="157"/>
      <c r="XN8" s="157"/>
      <c r="XO8" s="157"/>
      <c r="XP8" s="157"/>
      <c r="XQ8" s="157"/>
      <c r="XR8" s="157"/>
      <c r="XS8" s="157"/>
      <c r="XT8" s="157"/>
      <c r="XU8" s="157"/>
      <c r="XV8" s="157"/>
      <c r="XW8" s="157"/>
      <c r="XX8" s="157"/>
      <c r="XY8" s="157"/>
      <c r="XZ8" s="157"/>
      <c r="YA8" s="157"/>
      <c r="YB8" s="157"/>
      <c r="YC8" s="157"/>
      <c r="YD8" s="157"/>
      <c r="YE8" s="157"/>
      <c r="YF8" s="157"/>
      <c r="YG8" s="157"/>
      <c r="YH8" s="157"/>
      <c r="YI8" s="157"/>
      <c r="YJ8" s="157"/>
      <c r="YK8" s="157"/>
      <c r="YL8" s="157"/>
      <c r="YM8" s="157"/>
      <c r="YN8" s="157"/>
      <c r="YO8" s="157"/>
      <c r="YP8" s="157"/>
      <c r="YQ8" s="157"/>
      <c r="YR8" s="157"/>
      <c r="YS8" s="157"/>
      <c r="YT8" s="157"/>
      <c r="YU8" s="157"/>
      <c r="YV8" s="157"/>
      <c r="YW8" s="157"/>
      <c r="YX8" s="157"/>
      <c r="YY8" s="157"/>
      <c r="YZ8" s="157"/>
      <c r="ZA8" s="157"/>
      <c r="ZB8" s="157"/>
      <c r="ZC8" s="157"/>
      <c r="ZD8" s="157"/>
      <c r="ZE8" s="157"/>
      <c r="ZF8" s="157"/>
      <c r="ZG8" s="157"/>
      <c r="ZH8" s="157"/>
      <c r="ZI8" s="157"/>
      <c r="ZJ8" s="157"/>
      <c r="ZK8" s="157"/>
      <c r="ZL8" s="157"/>
      <c r="ZM8" s="157"/>
      <c r="ZN8" s="157"/>
      <c r="ZO8" s="157"/>
      <c r="ZP8" s="157"/>
      <c r="ZQ8" s="157"/>
      <c r="ZR8" s="157"/>
      <c r="ZS8" s="157"/>
      <c r="ZT8" s="157"/>
      <c r="ZU8" s="157"/>
      <c r="ZV8" s="157"/>
      <c r="ZW8" s="157"/>
      <c r="ZX8" s="157"/>
      <c r="ZY8" s="157"/>
      <c r="ZZ8" s="157"/>
      <c r="AAA8" s="157"/>
      <c r="AAB8" s="157"/>
      <c r="AAC8" s="157"/>
      <c r="AAD8" s="157"/>
      <c r="AAE8" s="157"/>
      <c r="AAF8" s="157"/>
      <c r="AAG8" s="157"/>
      <c r="AAH8" s="157"/>
      <c r="AAI8" s="157"/>
      <c r="AAJ8" s="157"/>
      <c r="AAK8" s="157"/>
      <c r="AAL8" s="157"/>
      <c r="AAM8" s="157"/>
      <c r="AAN8" s="157"/>
      <c r="AAO8" s="157"/>
      <c r="AAP8" s="157"/>
      <c r="AAQ8" s="157"/>
      <c r="AAR8" s="157"/>
      <c r="AAS8" s="157"/>
      <c r="AAT8" s="157"/>
      <c r="AAU8" s="157"/>
      <c r="AAV8" s="157"/>
      <c r="AAW8" s="157"/>
      <c r="AAX8" s="157"/>
      <c r="AAY8" s="157"/>
      <c r="AAZ8" s="157"/>
      <c r="ABA8" s="157"/>
      <c r="ABB8" s="157"/>
      <c r="ABC8" s="157"/>
      <c r="ABD8" s="157"/>
      <c r="ABE8" s="157"/>
      <c r="ABF8" s="157"/>
      <c r="ABG8" s="157"/>
      <c r="ABH8" s="157"/>
      <c r="ABI8" s="157"/>
      <c r="ABJ8" s="157"/>
      <c r="ABK8" s="157"/>
      <c r="ABL8" s="157"/>
      <c r="ABM8" s="157"/>
      <c r="ABN8" s="157"/>
      <c r="ABO8" s="157"/>
      <c r="ABP8" s="157"/>
      <c r="ABQ8" s="157"/>
      <c r="ABR8" s="157"/>
      <c r="ABS8" s="157"/>
      <c r="ABT8" s="157"/>
      <c r="ABU8" s="157"/>
      <c r="ABV8" s="157"/>
      <c r="ABW8" s="157"/>
      <c r="ABX8" s="157"/>
      <c r="ABY8" s="157"/>
      <c r="ABZ8" s="157"/>
      <c r="ACA8" s="157"/>
      <c r="ACB8" s="157"/>
      <c r="ACC8" s="157"/>
      <c r="ACD8" s="157"/>
      <c r="ACE8" s="157"/>
      <c r="ACF8" s="157"/>
      <c r="ACG8" s="157"/>
      <c r="ACH8" s="157"/>
      <c r="ACI8" s="157"/>
      <c r="ACJ8" s="157"/>
      <c r="ACK8" s="157"/>
      <c r="ACL8" s="157"/>
      <c r="ACM8" s="157"/>
      <c r="ACN8" s="157"/>
      <c r="ACO8" s="157"/>
      <c r="ACP8" s="157"/>
      <c r="ACQ8" s="157"/>
      <c r="ACR8" s="157"/>
      <c r="ACS8" s="157"/>
      <c r="ACT8" s="157"/>
      <c r="ACU8" s="157"/>
      <c r="ACV8" s="157"/>
      <c r="ACW8" s="157"/>
      <c r="ACX8" s="157"/>
      <c r="ACY8" s="157"/>
      <c r="ACZ8" s="157"/>
      <c r="ADA8" s="157"/>
      <c r="ADB8" s="157"/>
      <c r="ADC8" s="157"/>
      <c r="ADD8" s="157"/>
      <c r="ADE8" s="157"/>
      <c r="ADF8" s="157"/>
      <c r="ADG8" s="157"/>
      <c r="ADH8" s="157"/>
      <c r="ADI8" s="157"/>
      <c r="ADJ8" s="157"/>
      <c r="ADK8" s="157"/>
      <c r="ADL8" s="157"/>
      <c r="ADM8" s="157"/>
      <c r="ADN8" s="157"/>
      <c r="ADO8" s="157"/>
      <c r="ADP8" s="157"/>
      <c r="ADQ8" s="157"/>
      <c r="ADR8" s="157"/>
      <c r="ADS8" s="157"/>
      <c r="ADT8" s="157"/>
      <c r="ADU8" s="157"/>
      <c r="ADV8" s="157"/>
      <c r="ADW8" s="157"/>
      <c r="ADX8" s="157"/>
      <c r="ADY8" s="157"/>
      <c r="ADZ8" s="157"/>
      <c r="AEA8" s="157"/>
      <c r="AEB8" s="157"/>
      <c r="AEC8" s="157"/>
      <c r="AED8" s="157"/>
      <c r="AEE8" s="157"/>
      <c r="AEF8" s="157"/>
      <c r="AEG8" s="157"/>
      <c r="AEH8" s="157"/>
      <c r="AEI8" s="157"/>
      <c r="AEJ8" s="157"/>
      <c r="AEK8" s="157"/>
      <c r="AEL8" s="157"/>
      <c r="AEM8" s="157"/>
      <c r="AEN8" s="157"/>
      <c r="AEO8" s="157"/>
      <c r="AEP8" s="157"/>
      <c r="AEQ8" s="157"/>
      <c r="AER8" s="157"/>
      <c r="AES8" s="157"/>
      <c r="AET8" s="157"/>
      <c r="AEU8" s="157"/>
      <c r="AEV8" s="157"/>
      <c r="AEW8" s="157"/>
      <c r="AEX8" s="157"/>
      <c r="AEY8" s="157"/>
      <c r="AEZ8" s="157"/>
      <c r="AFA8" s="157"/>
      <c r="AFB8" s="157"/>
      <c r="AFC8" s="157"/>
      <c r="AFD8" s="157"/>
      <c r="AFE8" s="157"/>
      <c r="AFF8" s="157"/>
      <c r="AFG8" s="157"/>
      <c r="AFH8" s="157"/>
      <c r="AFI8" s="157"/>
      <c r="AFJ8" s="157"/>
      <c r="AFK8" s="157"/>
      <c r="AFL8" s="157"/>
      <c r="AFM8" s="157"/>
      <c r="AFN8" s="157"/>
      <c r="AFO8" s="157"/>
      <c r="AFP8" s="157"/>
      <c r="AFQ8" s="157"/>
      <c r="AFR8" s="157"/>
      <c r="AFS8" s="157"/>
      <c r="AFT8" s="157"/>
      <c r="AFU8" s="157"/>
      <c r="AFV8" s="157"/>
      <c r="AFW8" s="157"/>
      <c r="AFX8" s="157"/>
      <c r="AFY8" s="157"/>
      <c r="AFZ8" s="157"/>
      <c r="AGA8" s="157"/>
      <c r="AGB8" s="157"/>
      <c r="AGC8" s="157"/>
      <c r="AGD8" s="157"/>
      <c r="AGE8" s="157"/>
      <c r="AGF8" s="157"/>
      <c r="AGG8" s="157"/>
      <c r="AGH8" s="157"/>
      <c r="AGI8" s="157"/>
      <c r="AGJ8" s="157"/>
      <c r="AGK8" s="157"/>
      <c r="AGL8" s="157"/>
      <c r="AGM8" s="157"/>
      <c r="AGN8" s="157"/>
      <c r="AGO8" s="157"/>
      <c r="AGP8" s="157"/>
      <c r="AGQ8" s="157"/>
      <c r="AGR8" s="157"/>
      <c r="AGS8" s="157"/>
      <c r="AGT8" s="157"/>
      <c r="AGU8" s="157"/>
      <c r="AGV8" s="157"/>
      <c r="AGW8" s="157"/>
      <c r="AGX8" s="157"/>
      <c r="AGY8" s="157"/>
      <c r="AGZ8" s="157"/>
      <c r="AHA8" s="157"/>
      <c r="AHB8" s="157"/>
      <c r="AHC8" s="157"/>
      <c r="AHD8" s="157"/>
      <c r="AHE8" s="157"/>
      <c r="AHF8" s="157"/>
      <c r="AHG8" s="157"/>
      <c r="AHH8" s="157"/>
      <c r="AHI8" s="157"/>
      <c r="AHJ8" s="157"/>
      <c r="AHK8" s="157"/>
      <c r="AHL8" s="157"/>
      <c r="AHM8" s="157"/>
      <c r="AHN8" s="157"/>
      <c r="AHO8" s="157"/>
      <c r="AHP8" s="157"/>
      <c r="AHQ8" s="157"/>
      <c r="AHR8" s="157"/>
      <c r="AHS8" s="157"/>
      <c r="AHT8" s="157"/>
      <c r="AHU8" s="157"/>
      <c r="AHV8" s="157"/>
      <c r="AHW8" s="157"/>
      <c r="AHX8" s="157"/>
      <c r="AHY8" s="157"/>
      <c r="AHZ8" s="157"/>
      <c r="AIA8" s="157"/>
      <c r="AIB8" s="157"/>
      <c r="AIC8" s="157"/>
      <c r="AID8" s="157"/>
      <c r="AIE8" s="157"/>
      <c r="AIF8" s="157"/>
      <c r="AIG8" s="157"/>
      <c r="AIH8" s="157"/>
      <c r="AII8" s="157"/>
      <c r="AIJ8" s="157"/>
      <c r="AIK8" s="157"/>
      <c r="AIL8" s="157"/>
      <c r="AIM8" s="157"/>
      <c r="AIN8" s="157"/>
      <c r="AIO8" s="157"/>
      <c r="AIP8" s="157"/>
      <c r="AIQ8" s="157"/>
      <c r="AIR8" s="157"/>
      <c r="AIS8" s="157"/>
      <c r="AIT8" s="157"/>
      <c r="AIU8" s="157"/>
      <c r="AIV8" s="157"/>
      <c r="AIW8" s="157"/>
      <c r="AIX8" s="157"/>
      <c r="AIY8" s="157"/>
      <c r="AIZ8" s="157"/>
      <c r="AJA8" s="157"/>
      <c r="AJB8" s="157"/>
      <c r="AJC8" s="157"/>
      <c r="AJD8" s="157"/>
      <c r="AJE8" s="157"/>
      <c r="AJF8" s="157"/>
      <c r="AJG8" s="157"/>
      <c r="AJH8" s="157"/>
      <c r="AJI8" s="157"/>
      <c r="AJJ8" s="157"/>
      <c r="AJK8" s="157"/>
      <c r="AJL8" s="157"/>
      <c r="AJM8" s="157"/>
      <c r="AJN8" s="157"/>
      <c r="AJO8" s="157"/>
      <c r="AJP8" s="157"/>
      <c r="AJQ8" s="157"/>
      <c r="AJR8" s="157"/>
      <c r="AJS8" s="157"/>
      <c r="AJT8" s="157"/>
      <c r="AJU8" s="157"/>
      <c r="AJV8" s="157"/>
      <c r="AJW8" s="157"/>
      <c r="AJX8" s="157"/>
      <c r="AJY8" s="157"/>
      <c r="AJZ8" s="157"/>
      <c r="AKA8" s="157"/>
      <c r="AKB8" s="157"/>
      <c r="AKC8" s="157"/>
      <c r="AKD8" s="157"/>
      <c r="AKE8" s="157"/>
      <c r="AKF8" s="157"/>
      <c r="AKG8" s="157"/>
      <c r="AKH8" s="157"/>
      <c r="AKI8" s="157"/>
      <c r="AKJ8" s="157"/>
      <c r="AKK8" s="157"/>
      <c r="AKL8" s="157"/>
      <c r="AKM8" s="157"/>
      <c r="AKN8" s="157"/>
      <c r="AKO8" s="157"/>
      <c r="AKP8" s="157"/>
      <c r="AKQ8" s="157"/>
      <c r="AKR8" s="157"/>
      <c r="AKS8" s="157"/>
      <c r="AKT8" s="157"/>
      <c r="AKU8" s="157"/>
      <c r="AKV8" s="157"/>
      <c r="AKW8" s="157"/>
      <c r="AKX8" s="157"/>
      <c r="AKY8" s="157"/>
      <c r="AKZ8" s="157"/>
      <c r="ALA8" s="157"/>
      <c r="ALB8" s="157"/>
      <c r="ALC8" s="157"/>
      <c r="ALD8" s="157"/>
      <c r="ALE8" s="157"/>
      <c r="ALF8" s="157"/>
      <c r="ALG8" s="157"/>
      <c r="ALH8" s="157"/>
      <c r="ALI8" s="157"/>
      <c r="ALJ8" s="157"/>
      <c r="ALK8" s="157"/>
      <c r="ALL8" s="157"/>
      <c r="ALM8" s="157"/>
      <c r="ALN8" s="157"/>
      <c r="ALO8" s="157"/>
      <c r="ALP8" s="157"/>
      <c r="ALQ8" s="157"/>
      <c r="ALR8" s="157"/>
      <c r="ALS8" s="157"/>
      <c r="ALT8" s="157"/>
      <c r="ALU8" s="157"/>
      <c r="ALV8" s="157"/>
      <c r="ALW8" s="157"/>
      <c r="ALX8" s="157"/>
      <c r="ALY8" s="157"/>
      <c r="ALZ8" s="157"/>
      <c r="AMA8" s="157"/>
      <c r="AMB8" s="157"/>
      <c r="AMC8" s="157"/>
      <c r="AMD8" s="157"/>
      <c r="AME8" s="157"/>
      <c r="AMF8" s="157"/>
      <c r="AMG8" s="157"/>
      <c r="AMH8" s="157"/>
      <c r="AMI8" s="157"/>
      <c r="AMJ8" s="157"/>
      <c r="AMK8" s="157"/>
      <c r="AML8" s="157"/>
      <c r="AMM8" s="157"/>
      <c r="AMN8" s="157"/>
      <c r="AMO8" s="157"/>
      <c r="AMP8" s="157"/>
      <c r="AMQ8" s="157"/>
      <c r="AMR8" s="157"/>
      <c r="AMS8" s="157"/>
      <c r="AMT8" s="157"/>
      <c r="AMU8" s="157"/>
      <c r="AMV8" s="157"/>
      <c r="AMW8" s="157"/>
      <c r="AMX8" s="157"/>
      <c r="AMY8" s="157"/>
      <c r="AMZ8" s="157"/>
      <c r="ANA8" s="157"/>
      <c r="ANB8" s="157"/>
      <c r="ANC8" s="157"/>
      <c r="AND8" s="157"/>
      <c r="ANE8" s="157"/>
      <c r="ANF8" s="157"/>
      <c r="ANG8" s="157"/>
      <c r="ANH8" s="157"/>
      <c r="ANI8" s="157"/>
      <c r="ANJ8" s="157"/>
      <c r="ANK8" s="157"/>
      <c r="ANL8" s="157"/>
      <c r="ANM8" s="157"/>
      <c r="ANN8" s="157"/>
      <c r="ANO8" s="157"/>
      <c r="ANP8" s="157"/>
      <c r="ANQ8" s="157"/>
      <c r="ANR8" s="157"/>
      <c r="ANS8" s="157"/>
      <c r="ANT8" s="157"/>
      <c r="ANU8" s="157"/>
      <c r="ANV8" s="157"/>
      <c r="ANW8" s="157"/>
      <c r="ANX8" s="157"/>
      <c r="ANY8" s="157"/>
      <c r="ANZ8" s="157"/>
      <c r="AOA8" s="157"/>
      <c r="AOB8" s="157"/>
      <c r="AOC8" s="157"/>
      <c r="AOD8" s="157"/>
      <c r="AOE8" s="157"/>
      <c r="AOF8" s="157"/>
      <c r="AOG8" s="157"/>
      <c r="AOH8" s="157"/>
      <c r="AOI8" s="157"/>
      <c r="AOJ8" s="157"/>
      <c r="AOK8" s="157"/>
      <c r="AOL8" s="157"/>
      <c r="AOM8" s="157"/>
      <c r="AON8" s="157"/>
      <c r="AOO8" s="157"/>
      <c r="AOP8" s="157"/>
      <c r="AOQ8" s="157"/>
      <c r="AOR8" s="157"/>
      <c r="AOS8" s="157"/>
      <c r="AOT8" s="157"/>
      <c r="AOU8" s="157"/>
      <c r="AOV8" s="157"/>
      <c r="AOW8" s="157"/>
      <c r="AOX8" s="157"/>
      <c r="AOY8" s="157"/>
      <c r="AOZ8" s="157"/>
      <c r="APA8" s="157"/>
      <c r="APB8" s="157"/>
      <c r="APC8" s="157"/>
      <c r="APD8" s="157"/>
      <c r="APE8" s="157"/>
      <c r="APF8" s="157"/>
      <c r="APG8" s="157"/>
      <c r="APH8" s="157"/>
      <c r="API8" s="157"/>
      <c r="APJ8" s="157"/>
      <c r="APK8" s="157"/>
      <c r="APL8" s="157"/>
      <c r="APM8" s="157"/>
      <c r="APN8" s="157"/>
      <c r="APO8" s="157"/>
      <c r="APP8" s="157"/>
      <c r="APQ8" s="157"/>
      <c r="APR8" s="157"/>
      <c r="APS8" s="157"/>
      <c r="APT8" s="157"/>
      <c r="APU8" s="157"/>
      <c r="APV8" s="157"/>
      <c r="APW8" s="157"/>
      <c r="APX8" s="157"/>
      <c r="APY8" s="157"/>
      <c r="APZ8" s="157"/>
      <c r="AQA8" s="157"/>
      <c r="AQB8" s="157"/>
      <c r="AQC8" s="157"/>
      <c r="AQD8" s="157"/>
      <c r="AQE8" s="157"/>
      <c r="AQF8" s="157"/>
      <c r="AQG8" s="157"/>
      <c r="AQH8" s="157"/>
      <c r="AQI8" s="157"/>
      <c r="AQJ8" s="157"/>
      <c r="AQK8" s="157"/>
      <c r="AQL8" s="157"/>
      <c r="AQM8" s="157"/>
      <c r="AQN8" s="157"/>
      <c r="AQO8" s="157"/>
      <c r="AQP8" s="157"/>
      <c r="AQQ8" s="157"/>
      <c r="AQR8" s="157"/>
      <c r="AQS8" s="157"/>
      <c r="AQT8" s="157"/>
      <c r="AQU8" s="157"/>
      <c r="AQV8" s="157"/>
      <c r="AQW8" s="157"/>
      <c r="AQX8" s="157"/>
      <c r="AQY8" s="157"/>
      <c r="AQZ8" s="157"/>
      <c r="ARA8" s="157"/>
      <c r="ARB8" s="157"/>
      <c r="ARC8" s="157"/>
      <c r="ARD8" s="157"/>
      <c r="ARE8" s="157"/>
      <c r="ARF8" s="157"/>
      <c r="ARG8" s="157"/>
      <c r="ARH8" s="157"/>
      <c r="ARI8" s="157"/>
      <c r="ARJ8" s="157"/>
      <c r="ARK8" s="157"/>
      <c r="ARL8" s="157"/>
      <c r="ARM8" s="157"/>
      <c r="ARN8" s="157"/>
      <c r="ARO8" s="157"/>
      <c r="ARP8" s="157"/>
      <c r="ARQ8" s="157"/>
      <c r="ARR8" s="157"/>
      <c r="ARS8" s="157"/>
      <c r="ART8" s="157"/>
      <c r="ARU8" s="157"/>
      <c r="ARV8" s="157"/>
      <c r="ARW8" s="157"/>
      <c r="ARX8" s="157"/>
      <c r="ARY8" s="157"/>
      <c r="ARZ8" s="157"/>
      <c r="ASA8" s="157"/>
      <c r="ASB8" s="157"/>
      <c r="ASC8" s="157"/>
      <c r="ASD8" s="157"/>
      <c r="ASE8" s="157"/>
      <c r="ASF8" s="157"/>
      <c r="ASG8" s="157"/>
      <c r="ASH8" s="157"/>
      <c r="ASI8" s="157"/>
      <c r="ASJ8" s="157"/>
      <c r="ASK8" s="157"/>
      <c r="ASL8" s="157"/>
      <c r="ASM8" s="157"/>
      <c r="ASN8" s="157"/>
      <c r="ASO8" s="157"/>
      <c r="ASP8" s="157"/>
      <c r="ASQ8" s="157"/>
      <c r="ASR8" s="157"/>
      <c r="ASS8" s="157"/>
      <c r="AST8" s="157"/>
      <c r="ASU8" s="157"/>
      <c r="ASV8" s="157"/>
      <c r="ASW8" s="157"/>
      <c r="ASX8" s="157"/>
      <c r="ASY8" s="157"/>
      <c r="ASZ8" s="157"/>
      <c r="ATA8" s="157"/>
      <c r="ATB8" s="157"/>
      <c r="ATC8" s="157"/>
      <c r="ATD8" s="157"/>
      <c r="ATE8" s="157"/>
      <c r="ATF8" s="157"/>
      <c r="ATG8" s="157"/>
      <c r="ATH8" s="157"/>
      <c r="ATI8" s="157"/>
      <c r="ATJ8" s="157"/>
      <c r="ATK8" s="157"/>
      <c r="ATL8" s="157"/>
      <c r="ATM8" s="157"/>
      <c r="ATN8" s="157"/>
      <c r="ATO8" s="157"/>
      <c r="ATP8" s="157"/>
      <c r="ATQ8" s="157"/>
      <c r="ATR8" s="157"/>
      <c r="ATS8" s="157"/>
      <c r="ATT8" s="157"/>
      <c r="ATU8" s="157"/>
      <c r="ATV8" s="157"/>
      <c r="ATW8" s="157"/>
      <c r="ATX8" s="157"/>
      <c r="ATY8" s="157"/>
      <c r="ATZ8" s="157"/>
      <c r="AUA8" s="157"/>
      <c r="AUB8" s="157"/>
      <c r="AUC8" s="157"/>
      <c r="AUD8" s="157"/>
      <c r="AUE8" s="157"/>
      <c r="AUF8" s="157"/>
      <c r="AUG8" s="157"/>
      <c r="AUH8" s="157"/>
      <c r="AUI8" s="157"/>
      <c r="AUJ8" s="157"/>
      <c r="AUK8" s="157"/>
      <c r="AUL8" s="157"/>
      <c r="AUM8" s="157"/>
      <c r="AUN8" s="157"/>
      <c r="AUO8" s="157"/>
      <c r="AUP8" s="157"/>
      <c r="AUQ8" s="157"/>
      <c r="AUR8" s="157"/>
      <c r="AUS8" s="157"/>
      <c r="AUT8" s="157"/>
      <c r="AUU8" s="157"/>
      <c r="AUV8" s="157"/>
      <c r="AUW8" s="157"/>
      <c r="AUX8" s="157"/>
      <c r="AUY8" s="157"/>
      <c r="AUZ8" s="157"/>
      <c r="AVA8" s="157"/>
      <c r="AVB8" s="157"/>
      <c r="AVC8" s="157"/>
      <c r="AVD8" s="157"/>
      <c r="AVE8" s="157"/>
      <c r="AVF8" s="157"/>
      <c r="AVG8" s="157"/>
      <c r="AVH8" s="157"/>
      <c r="AVI8" s="157"/>
      <c r="AVJ8" s="157"/>
      <c r="AVK8" s="157"/>
      <c r="AVL8" s="157"/>
      <c r="AVM8" s="157"/>
      <c r="AVN8" s="157"/>
      <c r="AVO8" s="157"/>
      <c r="AVP8" s="157"/>
      <c r="AVQ8" s="157"/>
      <c r="AVR8" s="157"/>
      <c r="AVS8" s="157"/>
      <c r="AVT8" s="157"/>
      <c r="AVU8" s="157"/>
      <c r="AVV8" s="157"/>
      <c r="AVW8" s="157"/>
      <c r="AVX8" s="157"/>
      <c r="AVY8" s="157"/>
      <c r="AVZ8" s="157"/>
      <c r="AWA8" s="157"/>
      <c r="AWB8" s="157"/>
      <c r="AWC8" s="157"/>
      <c r="AWD8" s="157"/>
      <c r="AWE8" s="157"/>
      <c r="AWF8" s="157"/>
      <c r="AWG8" s="157"/>
      <c r="AWH8" s="157"/>
      <c r="AWI8" s="157"/>
      <c r="AWJ8" s="157"/>
      <c r="AWK8" s="157"/>
      <c r="AWL8" s="157"/>
      <c r="AWM8" s="157"/>
      <c r="AWN8" s="157"/>
      <c r="AWO8" s="157"/>
      <c r="AWP8" s="157"/>
      <c r="AWQ8" s="157"/>
      <c r="AWR8" s="157"/>
      <c r="AWS8" s="157"/>
      <c r="AWT8" s="157"/>
      <c r="AWU8" s="157"/>
      <c r="AWV8" s="157"/>
      <c r="AWW8" s="157"/>
      <c r="AWX8" s="157"/>
      <c r="AWY8" s="157"/>
      <c r="AWZ8" s="157"/>
      <c r="AXA8" s="157"/>
      <c r="AXB8" s="157"/>
      <c r="AXC8" s="157"/>
      <c r="AXD8" s="157"/>
      <c r="AXE8" s="157"/>
      <c r="AXF8" s="157"/>
      <c r="AXG8" s="157"/>
      <c r="AXH8" s="157"/>
      <c r="AXI8" s="157"/>
      <c r="AXJ8" s="157"/>
      <c r="AXK8" s="157"/>
      <c r="AXL8" s="157"/>
      <c r="AXM8" s="157"/>
      <c r="AXN8" s="157"/>
      <c r="AXO8" s="157"/>
      <c r="AXP8" s="157"/>
      <c r="AXQ8" s="157"/>
      <c r="AXR8" s="157"/>
      <c r="AXS8" s="157"/>
      <c r="AXT8" s="157"/>
      <c r="AXU8" s="157"/>
      <c r="AXV8" s="157"/>
      <c r="AXW8" s="157"/>
      <c r="AXX8" s="157"/>
      <c r="AXY8" s="157"/>
      <c r="AXZ8" s="157"/>
      <c r="AYA8" s="157"/>
      <c r="AYB8" s="157"/>
      <c r="AYC8" s="157"/>
      <c r="AYD8" s="157"/>
      <c r="AYE8" s="157"/>
      <c r="AYF8" s="157"/>
      <c r="AYG8" s="157"/>
      <c r="AYH8" s="157"/>
      <c r="AYI8" s="157"/>
      <c r="AYJ8" s="157"/>
      <c r="AYK8" s="157"/>
      <c r="AYL8" s="157"/>
      <c r="AYM8" s="157"/>
      <c r="AYN8" s="157"/>
      <c r="AYO8" s="157"/>
      <c r="AYP8" s="157"/>
      <c r="AYQ8" s="157"/>
      <c r="AYR8" s="157"/>
      <c r="AYS8" s="157"/>
      <c r="AYT8" s="157"/>
      <c r="AYU8" s="157"/>
      <c r="AYV8" s="157"/>
      <c r="AYW8" s="157"/>
      <c r="AYX8" s="157"/>
      <c r="AYY8" s="157"/>
      <c r="AYZ8" s="157"/>
      <c r="AZA8" s="157"/>
      <c r="AZB8" s="157"/>
      <c r="AZC8" s="157"/>
      <c r="AZD8" s="157"/>
      <c r="AZE8" s="157"/>
      <c r="AZF8" s="157"/>
      <c r="AZG8" s="157"/>
      <c r="AZH8" s="157"/>
      <c r="AZI8" s="157"/>
      <c r="AZJ8" s="157"/>
      <c r="AZK8" s="157"/>
      <c r="AZL8" s="157"/>
      <c r="AZM8" s="157"/>
      <c r="AZN8" s="157"/>
      <c r="AZO8" s="157"/>
      <c r="AZP8" s="157"/>
      <c r="AZQ8" s="157"/>
      <c r="AZR8" s="157"/>
      <c r="AZS8" s="157"/>
      <c r="AZT8" s="157"/>
      <c r="AZU8" s="157"/>
      <c r="AZV8" s="157"/>
      <c r="AZW8" s="157"/>
      <c r="AZX8" s="157"/>
      <c r="AZY8" s="157"/>
      <c r="AZZ8" s="157"/>
      <c r="BAA8" s="157"/>
      <c r="BAB8" s="157"/>
      <c r="BAC8" s="157"/>
      <c r="BAD8" s="157"/>
      <c r="BAE8" s="157"/>
      <c r="BAF8" s="157"/>
      <c r="BAG8" s="157"/>
      <c r="BAH8" s="157"/>
      <c r="BAI8" s="157"/>
      <c r="BAJ8" s="157"/>
      <c r="BAK8" s="157"/>
      <c r="BAL8" s="157"/>
      <c r="BAM8" s="157"/>
      <c r="BAN8" s="157"/>
      <c r="BAO8" s="157"/>
      <c r="BAP8" s="157"/>
      <c r="BAQ8" s="157"/>
      <c r="BAR8" s="157"/>
      <c r="BAS8" s="157"/>
      <c r="BAT8" s="157"/>
      <c r="BAU8" s="157"/>
      <c r="BAV8" s="157"/>
      <c r="BAW8" s="157"/>
      <c r="BAX8" s="157"/>
      <c r="BAY8" s="157"/>
      <c r="BAZ8" s="157"/>
      <c r="BBA8" s="157"/>
      <c r="BBB8" s="157"/>
      <c r="BBC8" s="157"/>
      <c r="BBD8" s="157"/>
      <c r="BBE8" s="157"/>
      <c r="BBF8" s="157"/>
      <c r="BBG8" s="157"/>
      <c r="BBH8" s="157"/>
      <c r="BBI8" s="157"/>
      <c r="BBJ8" s="157"/>
      <c r="BBK8" s="157"/>
      <c r="BBL8" s="157"/>
      <c r="BBM8" s="157"/>
      <c r="BBN8" s="157"/>
      <c r="BBO8" s="157"/>
      <c r="BBP8" s="157"/>
      <c r="BBQ8" s="157"/>
      <c r="BBR8" s="157"/>
      <c r="BBS8" s="157"/>
      <c r="BBT8" s="157"/>
      <c r="BBU8" s="157"/>
      <c r="BBV8" s="157"/>
      <c r="BBW8" s="157"/>
      <c r="BBX8" s="157"/>
      <c r="BBY8" s="157"/>
      <c r="BBZ8" s="157"/>
      <c r="BCA8" s="157"/>
      <c r="BCB8" s="157"/>
      <c r="BCC8" s="157"/>
      <c r="BCD8" s="157"/>
      <c r="BCE8" s="157"/>
      <c r="BCF8" s="157"/>
      <c r="BCG8" s="157"/>
      <c r="BCH8" s="157"/>
      <c r="BCI8" s="157"/>
      <c r="BCJ8" s="157"/>
      <c r="BCK8" s="157"/>
      <c r="BCL8" s="157"/>
      <c r="BCM8" s="157"/>
      <c r="BCN8" s="157"/>
      <c r="BCO8" s="157"/>
      <c r="BCP8" s="157"/>
      <c r="BCQ8" s="157"/>
      <c r="BCR8" s="157"/>
      <c r="BCS8" s="157"/>
      <c r="BCT8" s="157"/>
      <c r="BCU8" s="157"/>
      <c r="BCV8" s="157"/>
      <c r="BCW8" s="157"/>
      <c r="BCX8" s="157"/>
      <c r="BCY8" s="157"/>
      <c r="BCZ8" s="157"/>
      <c r="BDA8" s="157"/>
      <c r="BDB8" s="157"/>
      <c r="BDC8" s="157"/>
      <c r="BDD8" s="157"/>
      <c r="BDE8" s="157"/>
      <c r="BDF8" s="157"/>
      <c r="BDG8" s="157"/>
      <c r="BDH8" s="157"/>
      <c r="BDI8" s="157"/>
      <c r="BDJ8" s="157"/>
      <c r="BDK8" s="157"/>
      <c r="BDL8" s="157"/>
      <c r="BDM8" s="157"/>
      <c r="BDN8" s="157"/>
      <c r="BDO8" s="157"/>
      <c r="BDP8" s="157"/>
      <c r="BDQ8" s="157"/>
      <c r="BDR8" s="157"/>
      <c r="BDS8" s="157"/>
      <c r="BDT8" s="157"/>
      <c r="BDU8" s="157"/>
      <c r="BDV8" s="157"/>
      <c r="BDW8" s="157"/>
      <c r="BDX8" s="157"/>
      <c r="BDY8" s="157"/>
      <c r="BDZ8" s="157"/>
      <c r="BEA8" s="157"/>
      <c r="BEB8" s="157"/>
      <c r="BEC8" s="157"/>
      <c r="BED8" s="157"/>
      <c r="BEE8" s="157"/>
      <c r="BEF8" s="157"/>
      <c r="BEG8" s="157"/>
      <c r="BEH8" s="157"/>
      <c r="BEI8" s="157"/>
      <c r="BEJ8" s="157"/>
      <c r="BEK8" s="157"/>
      <c r="BEL8" s="157"/>
      <c r="BEM8" s="157"/>
      <c r="BEN8" s="157"/>
      <c r="BEO8" s="157"/>
      <c r="BEP8" s="157"/>
      <c r="BEQ8" s="157"/>
      <c r="BER8" s="157"/>
      <c r="BES8" s="157"/>
      <c r="BET8" s="157"/>
      <c r="BEU8" s="157"/>
      <c r="BEV8" s="157"/>
      <c r="BEW8" s="157"/>
      <c r="BEX8" s="157"/>
      <c r="BEY8" s="157"/>
      <c r="BEZ8" s="157"/>
      <c r="BFA8" s="157"/>
      <c r="BFB8" s="157"/>
      <c r="BFC8" s="157"/>
      <c r="BFD8" s="157"/>
      <c r="BFE8" s="157"/>
      <c r="BFF8" s="157"/>
      <c r="BFG8" s="157"/>
      <c r="BFH8" s="157"/>
      <c r="BFI8" s="157"/>
      <c r="BFJ8" s="157"/>
      <c r="BFK8" s="157"/>
      <c r="BFL8" s="157"/>
      <c r="BFM8" s="157"/>
      <c r="BFN8" s="157"/>
      <c r="BFO8" s="157"/>
      <c r="BFP8" s="157"/>
      <c r="BFQ8" s="157"/>
      <c r="BFR8" s="157"/>
      <c r="BFS8" s="157"/>
      <c r="BFT8" s="157"/>
      <c r="BFU8" s="157"/>
      <c r="BFV8" s="157"/>
      <c r="BFW8" s="157"/>
      <c r="BFX8" s="157"/>
      <c r="BFY8" s="157"/>
      <c r="BFZ8" s="157"/>
      <c r="BGA8" s="157"/>
      <c r="BGB8" s="157"/>
      <c r="BGC8" s="157"/>
      <c r="BGD8" s="157"/>
      <c r="BGE8" s="157"/>
      <c r="BGF8" s="157"/>
      <c r="BGG8" s="157"/>
      <c r="BGH8" s="157"/>
      <c r="BGI8" s="157"/>
      <c r="BGJ8" s="157"/>
      <c r="BGK8" s="157"/>
      <c r="BGL8" s="157"/>
      <c r="BGM8" s="157"/>
      <c r="BGN8" s="157"/>
      <c r="BGO8" s="157"/>
      <c r="BGP8" s="157"/>
      <c r="BGQ8" s="157"/>
      <c r="BGR8" s="157"/>
      <c r="BGS8" s="157"/>
      <c r="BGT8" s="157"/>
      <c r="BGU8" s="157"/>
      <c r="BGV8" s="157"/>
      <c r="BGW8" s="157"/>
      <c r="BGX8" s="157"/>
      <c r="BGY8" s="157"/>
      <c r="BGZ8" s="157"/>
      <c r="BHA8" s="157"/>
      <c r="BHB8" s="157"/>
      <c r="BHC8" s="157"/>
      <c r="BHD8" s="157"/>
      <c r="BHE8" s="157"/>
      <c r="BHF8" s="157"/>
      <c r="BHG8" s="157"/>
      <c r="BHH8" s="157"/>
      <c r="BHI8" s="157"/>
      <c r="BHJ8" s="157"/>
      <c r="BHK8" s="157"/>
      <c r="BHL8" s="157"/>
      <c r="BHM8" s="157"/>
      <c r="BHN8" s="157"/>
      <c r="BHO8" s="157"/>
      <c r="BHP8" s="157"/>
      <c r="BHQ8" s="157"/>
      <c r="BHR8" s="157"/>
      <c r="BHS8" s="157"/>
      <c r="BHT8" s="157"/>
      <c r="BHU8" s="157"/>
      <c r="BHV8" s="157"/>
      <c r="BHW8" s="157"/>
      <c r="BHX8" s="157"/>
      <c r="BHY8" s="157"/>
      <c r="BHZ8" s="157"/>
      <c r="BIA8" s="157"/>
      <c r="BIB8" s="157"/>
      <c r="BIC8" s="157"/>
      <c r="BID8" s="157"/>
      <c r="BIE8" s="157"/>
      <c r="BIF8" s="157"/>
      <c r="BIG8" s="157"/>
      <c r="BIH8" s="157"/>
      <c r="BII8" s="157"/>
      <c r="BIJ8" s="157"/>
      <c r="BIK8" s="157"/>
      <c r="BIL8" s="157"/>
      <c r="BIM8" s="157"/>
      <c r="BIN8" s="157"/>
      <c r="BIO8" s="157"/>
      <c r="BIP8" s="157"/>
      <c r="BIQ8" s="157"/>
      <c r="BIR8" s="157"/>
      <c r="BIS8" s="157"/>
      <c r="BIT8" s="157"/>
      <c r="BIU8" s="157"/>
      <c r="BIV8" s="157"/>
      <c r="BIW8" s="157"/>
      <c r="BIX8" s="157"/>
      <c r="BIY8" s="157"/>
      <c r="BIZ8" s="157"/>
      <c r="BJA8" s="157"/>
      <c r="BJB8" s="157"/>
      <c r="BJC8" s="157"/>
      <c r="BJD8" s="157"/>
      <c r="BJE8" s="157"/>
      <c r="BJF8" s="157"/>
      <c r="BJG8" s="157"/>
      <c r="BJH8" s="157"/>
      <c r="BJI8" s="157"/>
      <c r="BJJ8" s="157"/>
      <c r="BJK8" s="157"/>
      <c r="BJL8" s="157"/>
      <c r="BJM8" s="157"/>
      <c r="BJN8" s="157"/>
      <c r="BJO8" s="157"/>
      <c r="BJP8" s="157"/>
      <c r="BJQ8" s="157"/>
      <c r="BJR8" s="157"/>
      <c r="BJS8" s="157"/>
      <c r="BJT8" s="157"/>
      <c r="BJU8" s="157"/>
      <c r="BJV8" s="157"/>
      <c r="BJW8" s="157"/>
      <c r="BJX8" s="157"/>
      <c r="BJY8" s="157"/>
      <c r="BJZ8" s="157"/>
      <c r="BKA8" s="157"/>
      <c r="BKB8" s="157"/>
      <c r="BKC8" s="157"/>
      <c r="BKD8" s="157"/>
      <c r="BKE8" s="157"/>
      <c r="BKF8" s="157"/>
      <c r="BKG8" s="157"/>
      <c r="BKH8" s="157"/>
      <c r="BKI8" s="157"/>
      <c r="BKJ8" s="157"/>
      <c r="BKK8" s="157"/>
      <c r="BKL8" s="157"/>
      <c r="BKM8" s="157"/>
      <c r="BKN8" s="157"/>
      <c r="BKO8" s="157"/>
      <c r="BKP8" s="157"/>
      <c r="BKQ8" s="157"/>
      <c r="BKR8" s="157"/>
      <c r="BKS8" s="157"/>
      <c r="BKT8" s="157"/>
      <c r="BKU8" s="157"/>
      <c r="BKV8" s="157"/>
      <c r="BKW8" s="157"/>
      <c r="BKX8" s="157"/>
      <c r="BKY8" s="157"/>
      <c r="BKZ8" s="157"/>
      <c r="BLA8" s="157"/>
      <c r="BLB8" s="157"/>
      <c r="BLC8" s="157"/>
      <c r="BLD8" s="157"/>
      <c r="BLE8" s="157"/>
      <c r="BLF8" s="157"/>
      <c r="BLG8" s="157"/>
      <c r="BLH8" s="157"/>
      <c r="BLI8" s="157"/>
      <c r="BLJ8" s="157"/>
      <c r="BLK8" s="157"/>
      <c r="BLL8" s="157"/>
      <c r="BLM8" s="157"/>
      <c r="BLN8" s="157"/>
      <c r="BLO8" s="157"/>
      <c r="BLP8" s="157"/>
      <c r="BLQ8" s="157"/>
      <c r="BLR8" s="157"/>
      <c r="BLS8" s="157"/>
      <c r="BLT8" s="157"/>
      <c r="BLU8" s="157"/>
      <c r="BLV8" s="157"/>
      <c r="BLW8" s="157"/>
      <c r="BLX8" s="157"/>
      <c r="BLY8" s="157"/>
      <c r="BLZ8" s="157"/>
      <c r="BMA8" s="157"/>
      <c r="BMB8" s="157"/>
      <c r="BMC8" s="157"/>
      <c r="BMD8" s="157"/>
      <c r="BME8" s="157"/>
      <c r="BMF8" s="157"/>
      <c r="BMG8" s="157"/>
      <c r="BMH8" s="157"/>
      <c r="BMI8" s="157"/>
      <c r="BMJ8" s="157"/>
      <c r="BMK8" s="157"/>
      <c r="BML8" s="157"/>
      <c r="BMM8" s="157"/>
      <c r="BMN8" s="157"/>
      <c r="BMO8" s="157"/>
      <c r="BMP8" s="157"/>
      <c r="BMQ8" s="157"/>
      <c r="BMR8" s="157"/>
      <c r="BMS8" s="157"/>
      <c r="BMT8" s="157"/>
      <c r="BMU8" s="157"/>
      <c r="BMV8" s="157"/>
      <c r="BMW8" s="157"/>
      <c r="BMX8" s="157"/>
      <c r="BMY8" s="157"/>
      <c r="BMZ8" s="157"/>
      <c r="BNA8" s="157"/>
      <c r="BNB8" s="157"/>
      <c r="BNC8" s="157"/>
      <c r="BND8" s="157"/>
      <c r="BNE8" s="157"/>
      <c r="BNF8" s="157"/>
      <c r="BNG8" s="157"/>
      <c r="BNH8" s="157"/>
      <c r="BNI8" s="157"/>
      <c r="BNJ8" s="157"/>
      <c r="BNK8" s="157"/>
      <c r="BNL8" s="157"/>
      <c r="BNM8" s="157"/>
      <c r="BNN8" s="157"/>
      <c r="BNO8" s="157"/>
      <c r="BNP8" s="157"/>
      <c r="BNQ8" s="157"/>
      <c r="BNR8" s="157"/>
      <c r="BNS8" s="157"/>
      <c r="BNT8" s="157"/>
      <c r="BNU8" s="157"/>
      <c r="BNV8" s="157"/>
      <c r="BNW8" s="157"/>
      <c r="BNX8" s="157"/>
      <c r="BNY8" s="157"/>
      <c r="BNZ8" s="157"/>
      <c r="BOA8" s="157"/>
      <c r="BOB8" s="157"/>
      <c r="BOC8" s="157"/>
      <c r="BOD8" s="157"/>
      <c r="BOE8" s="157"/>
      <c r="BOF8" s="157"/>
      <c r="BOG8" s="157"/>
      <c r="BOH8" s="157"/>
      <c r="BOI8" s="157"/>
      <c r="BOJ8" s="157"/>
      <c r="BOK8" s="157"/>
      <c r="BOL8" s="157"/>
      <c r="BOM8" s="157"/>
      <c r="BON8" s="157"/>
      <c r="BOO8" s="157"/>
      <c r="BOP8" s="157"/>
      <c r="BOQ8" s="157"/>
      <c r="BOR8" s="157"/>
      <c r="BOS8" s="157"/>
      <c r="BOT8" s="157"/>
      <c r="BOU8" s="157"/>
      <c r="BOV8" s="157"/>
      <c r="BOW8" s="157"/>
      <c r="BOX8" s="157"/>
      <c r="BOY8" s="157"/>
      <c r="BOZ8" s="157"/>
      <c r="BPA8" s="157"/>
      <c r="BPB8" s="157"/>
      <c r="BPC8" s="157"/>
      <c r="BPD8" s="157"/>
      <c r="BPE8" s="157"/>
      <c r="BPF8" s="157"/>
      <c r="BPG8" s="157"/>
      <c r="BPH8" s="157"/>
      <c r="BPI8" s="157"/>
      <c r="BPJ8" s="157"/>
      <c r="BPK8" s="157"/>
      <c r="BPL8" s="157"/>
      <c r="BPM8" s="157"/>
      <c r="BPN8" s="157"/>
      <c r="BPO8" s="157"/>
      <c r="BPP8" s="157"/>
      <c r="BPQ8" s="157"/>
      <c r="BPR8" s="157"/>
      <c r="BPS8" s="157"/>
      <c r="BPT8" s="157"/>
      <c r="BPU8" s="157"/>
      <c r="BPV8" s="157"/>
      <c r="BPW8" s="157"/>
      <c r="BPX8" s="157"/>
      <c r="BPY8" s="157"/>
      <c r="BPZ8" s="157"/>
      <c r="BQA8" s="157"/>
      <c r="BQB8" s="157"/>
      <c r="BQC8" s="157"/>
      <c r="BQD8" s="157"/>
      <c r="BQE8" s="157"/>
      <c r="BQF8" s="157"/>
      <c r="BQG8" s="157"/>
      <c r="BQH8" s="157"/>
      <c r="BQI8" s="157"/>
      <c r="BQJ8" s="157"/>
      <c r="BQK8" s="157"/>
      <c r="BQL8" s="157"/>
      <c r="BQM8" s="157"/>
      <c r="BQN8" s="157"/>
      <c r="BQO8" s="157"/>
      <c r="BQP8" s="157"/>
      <c r="BQQ8" s="157"/>
      <c r="BQR8" s="157"/>
      <c r="BQS8" s="157"/>
      <c r="BQT8" s="157"/>
      <c r="BQU8" s="157"/>
      <c r="BQV8" s="157"/>
      <c r="BQW8" s="157"/>
      <c r="BQX8" s="157"/>
      <c r="BQY8" s="157"/>
      <c r="BQZ8" s="157"/>
      <c r="BRA8" s="157"/>
      <c r="BRB8" s="157"/>
      <c r="BRC8" s="157"/>
      <c r="BRD8" s="157"/>
      <c r="BRE8" s="157"/>
      <c r="BRF8" s="157"/>
      <c r="BRG8" s="157"/>
      <c r="BRH8" s="157"/>
      <c r="BRI8" s="157"/>
      <c r="BRJ8" s="157"/>
      <c r="BRK8" s="157"/>
      <c r="BRL8" s="157"/>
      <c r="BRM8" s="157"/>
      <c r="BRN8" s="157"/>
      <c r="BRO8" s="157"/>
      <c r="BRP8" s="157"/>
      <c r="BRQ8" s="157"/>
      <c r="BRR8" s="157"/>
      <c r="BRS8" s="157"/>
      <c r="BRT8" s="157"/>
      <c r="BRU8" s="157"/>
      <c r="BRV8" s="157"/>
      <c r="BRW8" s="157"/>
      <c r="BRX8" s="157"/>
      <c r="BRY8" s="157"/>
      <c r="BRZ8" s="157"/>
      <c r="BSA8" s="157"/>
      <c r="BSB8" s="157"/>
      <c r="BSC8" s="157"/>
      <c r="BSD8" s="157"/>
      <c r="BSE8" s="157"/>
      <c r="BSF8" s="157"/>
      <c r="BSG8" s="157"/>
      <c r="BSH8" s="157"/>
      <c r="BSI8" s="157"/>
      <c r="BSJ8" s="157"/>
      <c r="BSK8" s="157"/>
      <c r="BSL8" s="157"/>
      <c r="BSM8" s="157"/>
      <c r="BSN8" s="157"/>
      <c r="BSO8" s="157"/>
      <c r="BSP8" s="157"/>
      <c r="BSQ8" s="157"/>
      <c r="BSR8" s="157"/>
      <c r="BSS8" s="157"/>
      <c r="BST8" s="157"/>
      <c r="BSU8" s="157"/>
      <c r="BSV8" s="157"/>
      <c r="BSW8" s="157"/>
      <c r="BSX8" s="157"/>
      <c r="BSY8" s="157"/>
      <c r="BSZ8" s="157"/>
      <c r="BTA8" s="157"/>
      <c r="BTB8" s="157"/>
      <c r="BTC8" s="157"/>
      <c r="BTD8" s="157"/>
      <c r="BTE8" s="157"/>
      <c r="BTF8" s="157"/>
      <c r="BTG8" s="157"/>
      <c r="BTH8" s="157"/>
      <c r="BTI8" s="157"/>
      <c r="BTJ8" s="157"/>
      <c r="BTK8" s="157"/>
      <c r="BTL8" s="157"/>
      <c r="BTM8" s="157"/>
      <c r="BTN8" s="157"/>
      <c r="BTO8" s="157"/>
      <c r="BTP8" s="157"/>
      <c r="BTQ8" s="157"/>
      <c r="BTR8" s="157"/>
      <c r="BTS8" s="157"/>
      <c r="BTT8" s="157"/>
      <c r="BTU8" s="157"/>
      <c r="BTV8" s="157"/>
      <c r="BTW8" s="157"/>
      <c r="BTX8" s="157"/>
      <c r="BTY8" s="157"/>
      <c r="BTZ8" s="157"/>
      <c r="BUA8" s="157"/>
      <c r="BUB8" s="157"/>
      <c r="BUC8" s="157"/>
      <c r="BUD8" s="157"/>
      <c r="BUE8" s="157"/>
      <c r="BUF8" s="157"/>
      <c r="BUG8" s="157"/>
      <c r="BUH8" s="157"/>
      <c r="BUI8" s="157"/>
      <c r="BUJ8" s="157"/>
      <c r="BUK8" s="157"/>
      <c r="BUL8" s="157"/>
      <c r="BUM8" s="157"/>
      <c r="BUN8" s="157"/>
      <c r="BUO8" s="157"/>
      <c r="BUP8" s="157"/>
      <c r="BUQ8" s="157"/>
      <c r="BUR8" s="157"/>
      <c r="BUS8" s="157"/>
      <c r="BUT8" s="157"/>
      <c r="BUU8" s="157"/>
      <c r="BUV8" s="157"/>
      <c r="BUW8" s="157"/>
      <c r="BUX8" s="157"/>
      <c r="BUY8" s="157"/>
      <c r="BUZ8" s="157"/>
      <c r="BVA8" s="157"/>
      <c r="BVB8" s="157"/>
      <c r="BVC8" s="157"/>
      <c r="BVD8" s="157"/>
      <c r="BVE8" s="157"/>
      <c r="BVF8" s="157"/>
      <c r="BVG8" s="157"/>
      <c r="BVH8" s="157"/>
      <c r="BVI8" s="157"/>
      <c r="BVJ8" s="157"/>
      <c r="BVK8" s="157"/>
      <c r="BVL8" s="157"/>
      <c r="BVM8" s="157"/>
      <c r="BVN8" s="157"/>
      <c r="BVO8" s="157"/>
      <c r="BVP8" s="157"/>
      <c r="BVQ8" s="157"/>
      <c r="BVR8" s="157"/>
      <c r="BVS8" s="157"/>
      <c r="BVT8" s="157"/>
      <c r="BVU8" s="157"/>
      <c r="BVV8" s="157"/>
      <c r="BVW8" s="157"/>
      <c r="BVX8" s="157"/>
      <c r="BVY8" s="157"/>
      <c r="BVZ8" s="157"/>
      <c r="BWA8" s="157"/>
      <c r="BWB8" s="157"/>
      <c r="BWC8" s="157"/>
      <c r="BWD8" s="157"/>
      <c r="BWE8" s="157"/>
      <c r="BWF8" s="157"/>
      <c r="BWG8" s="157"/>
      <c r="BWH8" s="157"/>
      <c r="BWI8" s="157"/>
      <c r="BWJ8" s="157"/>
      <c r="BWK8" s="157"/>
      <c r="BWL8" s="157"/>
      <c r="BWM8" s="157"/>
      <c r="BWN8" s="157"/>
      <c r="BWO8" s="157"/>
      <c r="BWP8" s="157"/>
      <c r="BWQ8" s="157"/>
      <c r="BWR8" s="157"/>
      <c r="BWS8" s="157"/>
      <c r="BWT8" s="157"/>
      <c r="BWU8" s="157"/>
      <c r="BWV8" s="157"/>
      <c r="BWW8" s="157"/>
      <c r="BWX8" s="157"/>
      <c r="BWY8" s="157"/>
      <c r="BWZ8" s="157"/>
      <c r="BXA8" s="157"/>
      <c r="BXB8" s="157"/>
      <c r="BXC8" s="157"/>
      <c r="BXD8" s="157"/>
      <c r="BXE8" s="157"/>
      <c r="BXF8" s="157"/>
      <c r="BXG8" s="157"/>
      <c r="BXH8" s="157"/>
      <c r="BXI8" s="157"/>
      <c r="BXJ8" s="157"/>
      <c r="BXK8" s="157"/>
      <c r="BXL8" s="157"/>
      <c r="BXM8" s="157"/>
      <c r="BXN8" s="157"/>
      <c r="BXO8" s="157"/>
      <c r="BXP8" s="157"/>
      <c r="BXQ8" s="157"/>
      <c r="BXR8" s="157"/>
      <c r="BXS8" s="157"/>
      <c r="BXT8" s="157"/>
      <c r="BXU8" s="157"/>
      <c r="BXV8" s="157"/>
      <c r="BXW8" s="157"/>
      <c r="BXX8" s="157"/>
      <c r="BXY8" s="157"/>
      <c r="BXZ8" s="157"/>
      <c r="BYA8" s="157"/>
      <c r="BYB8" s="157"/>
      <c r="BYC8" s="157"/>
      <c r="BYD8" s="157"/>
      <c r="BYE8" s="157"/>
      <c r="BYF8" s="157"/>
      <c r="BYG8" s="157"/>
      <c r="BYH8" s="157"/>
      <c r="BYI8" s="157"/>
      <c r="BYJ8" s="157"/>
      <c r="BYK8" s="157"/>
      <c r="BYL8" s="157"/>
      <c r="BYM8" s="157"/>
      <c r="BYN8" s="157"/>
      <c r="BYO8" s="157"/>
      <c r="BYP8" s="157"/>
      <c r="BYQ8" s="157"/>
      <c r="BYR8" s="157"/>
      <c r="BYS8" s="157"/>
      <c r="BYT8" s="157"/>
      <c r="BYU8" s="157"/>
      <c r="BYV8" s="157"/>
      <c r="BYW8" s="157"/>
      <c r="BYX8" s="157"/>
      <c r="BYY8" s="157"/>
      <c r="BYZ8" s="157"/>
      <c r="BZA8" s="157"/>
      <c r="BZB8" s="157"/>
      <c r="BZC8" s="157"/>
      <c r="BZD8" s="157"/>
      <c r="BZE8" s="157"/>
      <c r="BZF8" s="157"/>
      <c r="BZG8" s="157"/>
      <c r="BZH8" s="157"/>
      <c r="BZI8" s="157"/>
      <c r="BZJ8" s="157"/>
      <c r="BZK8" s="157"/>
      <c r="BZL8" s="157"/>
      <c r="BZM8" s="157"/>
      <c r="BZN8" s="157"/>
      <c r="BZO8" s="157"/>
      <c r="BZP8" s="157"/>
      <c r="BZQ8" s="157"/>
      <c r="BZR8" s="157"/>
      <c r="BZS8" s="157"/>
      <c r="BZT8" s="157"/>
      <c r="BZU8" s="157"/>
      <c r="BZV8" s="157"/>
      <c r="BZW8" s="157"/>
      <c r="BZX8" s="157"/>
      <c r="BZY8" s="157"/>
      <c r="BZZ8" s="157"/>
      <c r="CAA8" s="157"/>
      <c r="CAB8" s="157"/>
      <c r="CAC8" s="157"/>
      <c r="CAD8" s="157"/>
      <c r="CAE8" s="157"/>
      <c r="CAF8" s="157"/>
      <c r="CAG8" s="157"/>
      <c r="CAH8" s="157"/>
      <c r="CAI8" s="157"/>
      <c r="CAJ8" s="157"/>
      <c r="CAK8" s="157"/>
      <c r="CAL8" s="157"/>
      <c r="CAM8" s="157"/>
      <c r="CAN8" s="157"/>
      <c r="CAO8" s="157"/>
      <c r="CAP8" s="157"/>
      <c r="CAQ8" s="157"/>
      <c r="CAR8" s="157"/>
      <c r="CAS8" s="157"/>
      <c r="CAT8" s="157"/>
      <c r="CAU8" s="157"/>
      <c r="CAV8" s="157"/>
      <c r="CAW8" s="157"/>
      <c r="CAX8" s="157"/>
      <c r="CAY8" s="157"/>
      <c r="CAZ8" s="157"/>
      <c r="CBA8" s="157"/>
      <c r="CBB8" s="157"/>
      <c r="CBC8" s="157"/>
      <c r="CBD8" s="157"/>
      <c r="CBE8" s="157"/>
      <c r="CBF8" s="157"/>
      <c r="CBG8" s="157"/>
      <c r="CBH8" s="157"/>
      <c r="CBI8" s="157"/>
      <c r="CBJ8" s="157"/>
      <c r="CBK8" s="157"/>
      <c r="CBL8" s="157"/>
      <c r="CBM8" s="157"/>
      <c r="CBN8" s="157"/>
      <c r="CBO8" s="157"/>
      <c r="CBP8" s="157"/>
      <c r="CBQ8" s="157"/>
      <c r="CBR8" s="157"/>
      <c r="CBS8" s="157"/>
      <c r="CBT8" s="157"/>
      <c r="CBU8" s="157"/>
      <c r="CBV8" s="157"/>
      <c r="CBW8" s="157"/>
      <c r="CBX8" s="157"/>
      <c r="CBY8" s="157"/>
      <c r="CBZ8" s="157"/>
      <c r="CCA8" s="157"/>
      <c r="CCB8" s="157"/>
      <c r="CCC8" s="157"/>
      <c r="CCD8" s="157"/>
      <c r="CCE8" s="157"/>
      <c r="CCF8" s="157"/>
      <c r="CCG8" s="157"/>
      <c r="CCH8" s="157"/>
      <c r="CCI8" s="157"/>
      <c r="CCJ8" s="157"/>
      <c r="CCK8" s="157"/>
      <c r="CCL8" s="157"/>
      <c r="CCM8" s="157"/>
      <c r="CCN8" s="157"/>
      <c r="CCO8" s="157"/>
      <c r="CCP8" s="157"/>
      <c r="CCQ8" s="157"/>
      <c r="CCR8" s="157"/>
      <c r="CCS8" s="157"/>
      <c r="CCT8" s="157"/>
      <c r="CCU8" s="157"/>
      <c r="CCV8" s="157"/>
    </row>
    <row r="9" spans="1:2129 15008:15070 15386:15394" s="70" customFormat="1" ht="23.25" customHeight="1" x14ac:dyDescent="0.2">
      <c r="A9" s="70" t="s">
        <v>17</v>
      </c>
      <c r="B9" s="70" t="s">
        <v>76</v>
      </c>
      <c r="C9" s="70" t="s">
        <v>75</v>
      </c>
      <c r="D9" s="70" t="s">
        <v>74</v>
      </c>
      <c r="E9" s="70" t="s">
        <v>73</v>
      </c>
      <c r="F9" s="70" t="s">
        <v>72</v>
      </c>
      <c r="G9" s="79" t="s">
        <v>44</v>
      </c>
      <c r="H9" s="78" t="s">
        <v>71</v>
      </c>
      <c r="I9" s="77" t="s">
        <v>70</v>
      </c>
      <c r="J9" s="163" t="s">
        <v>69</v>
      </c>
      <c r="K9" s="77" t="s">
        <v>68</v>
      </c>
      <c r="L9" s="75" t="s">
        <v>67</v>
      </c>
      <c r="M9" s="74" t="s">
        <v>66</v>
      </c>
      <c r="N9" s="76" t="s">
        <v>65</v>
      </c>
      <c r="O9" s="75" t="s">
        <v>64</v>
      </c>
      <c r="P9" s="74" t="s">
        <v>63</v>
      </c>
      <c r="Q9" s="73" t="s">
        <v>164</v>
      </c>
      <c r="R9" s="76" t="s">
        <v>62</v>
      </c>
      <c r="S9" s="75" t="s">
        <v>61</v>
      </c>
      <c r="T9" s="74" t="s">
        <v>60</v>
      </c>
      <c r="U9" s="163" t="s">
        <v>59</v>
      </c>
      <c r="V9" s="163" t="s">
        <v>58</v>
      </c>
      <c r="W9" s="163" t="s">
        <v>2</v>
      </c>
      <c r="X9" s="73" t="s">
        <v>27</v>
      </c>
      <c r="Y9" s="73" t="s">
        <v>57</v>
      </c>
      <c r="Z9" s="73" t="s">
        <v>56</v>
      </c>
      <c r="AA9" s="133" t="s">
        <v>168</v>
      </c>
      <c r="AB9" s="133" t="s">
        <v>169</v>
      </c>
      <c r="AC9" s="72" t="s">
        <v>55</v>
      </c>
      <c r="AD9" s="72" t="s">
        <v>51</v>
      </c>
      <c r="AE9" s="72" t="s">
        <v>54</v>
      </c>
      <c r="AF9" s="72" t="s">
        <v>51</v>
      </c>
      <c r="AG9" s="72" t="s">
        <v>53</v>
      </c>
      <c r="AH9" s="71" t="s">
        <v>52</v>
      </c>
      <c r="AI9" s="71" t="s">
        <v>52</v>
      </c>
      <c r="AJ9" s="72" t="s">
        <v>55</v>
      </c>
      <c r="AK9" s="72" t="s">
        <v>51</v>
      </c>
      <c r="AL9" s="72" t="s">
        <v>54</v>
      </c>
      <c r="AM9" s="72" t="s">
        <v>51</v>
      </c>
      <c r="AN9" s="72" t="s">
        <v>53</v>
      </c>
      <c r="AO9" s="71" t="s">
        <v>52</v>
      </c>
      <c r="AP9" s="71" t="s">
        <v>52</v>
      </c>
      <c r="AQ9" s="72" t="s">
        <v>55</v>
      </c>
      <c r="AR9" s="72" t="s">
        <v>51</v>
      </c>
      <c r="AS9" s="72" t="s">
        <v>54</v>
      </c>
      <c r="AT9" s="72" t="s">
        <v>51</v>
      </c>
      <c r="AU9" s="72" t="s">
        <v>53</v>
      </c>
      <c r="AV9" s="71" t="s">
        <v>52</v>
      </c>
      <c r="AW9" s="71" t="s">
        <v>52</v>
      </c>
      <c r="AX9" s="72" t="s">
        <v>55</v>
      </c>
      <c r="AY9" s="72" t="s">
        <v>51</v>
      </c>
      <c r="AZ9" s="72" t="s">
        <v>54</v>
      </c>
      <c r="BA9" s="72" t="s">
        <v>51</v>
      </c>
      <c r="BB9" s="72" t="s">
        <v>53</v>
      </c>
      <c r="BC9" s="71" t="s">
        <v>52</v>
      </c>
      <c r="BD9" s="71" t="s">
        <v>52</v>
      </c>
      <c r="BE9" s="72" t="s">
        <v>55</v>
      </c>
      <c r="BF9" s="72" t="s">
        <v>51</v>
      </c>
      <c r="BG9" s="72" t="s">
        <v>54</v>
      </c>
      <c r="BH9" s="72" t="s">
        <v>51</v>
      </c>
      <c r="BI9" s="72" t="s">
        <v>53</v>
      </c>
      <c r="BJ9" s="71" t="s">
        <v>52</v>
      </c>
      <c r="BK9" s="71" t="s">
        <v>52</v>
      </c>
      <c r="BL9" s="72" t="s">
        <v>55</v>
      </c>
      <c r="BM9" s="72" t="s">
        <v>51</v>
      </c>
      <c r="BN9" s="72" t="s">
        <v>54</v>
      </c>
      <c r="BO9" s="72" t="s">
        <v>51</v>
      </c>
      <c r="BP9" s="72" t="s">
        <v>53</v>
      </c>
      <c r="BQ9" s="71" t="s">
        <v>52</v>
      </c>
      <c r="BR9" s="71" t="s">
        <v>52</v>
      </c>
      <c r="BS9" s="72" t="s">
        <v>55</v>
      </c>
      <c r="BT9" s="72" t="s">
        <v>51</v>
      </c>
      <c r="BU9" s="72" t="s">
        <v>54</v>
      </c>
      <c r="BV9" s="72" t="s">
        <v>51</v>
      </c>
      <c r="BW9" s="72" t="s">
        <v>53</v>
      </c>
      <c r="BX9" s="71" t="s">
        <v>52</v>
      </c>
      <c r="BY9" s="71" t="s">
        <v>52</v>
      </c>
      <c r="BZ9" s="72" t="s">
        <v>55</v>
      </c>
      <c r="CA9" s="72" t="s">
        <v>51</v>
      </c>
      <c r="CB9" s="72" t="s">
        <v>54</v>
      </c>
      <c r="CC9" s="72" t="s">
        <v>51</v>
      </c>
      <c r="CD9" s="72" t="s">
        <v>53</v>
      </c>
      <c r="CE9" s="71" t="s">
        <v>52</v>
      </c>
      <c r="CF9" s="71" t="s">
        <v>52</v>
      </c>
      <c r="CG9" s="72"/>
      <c r="CH9" s="72"/>
      <c r="CI9" s="72"/>
      <c r="CJ9" s="72"/>
      <c r="CK9" s="72"/>
      <c r="CL9" s="71"/>
      <c r="CM9" s="71"/>
      <c r="CN9" s="72"/>
      <c r="CO9" s="72"/>
      <c r="CP9" s="72"/>
      <c r="CQ9" s="72"/>
      <c r="CR9" s="72"/>
      <c r="CS9" s="71"/>
      <c r="CT9" s="71"/>
      <c r="CU9" s="72"/>
      <c r="CV9" s="72"/>
      <c r="CW9" s="72"/>
      <c r="CX9" s="72"/>
      <c r="CY9" s="72"/>
      <c r="CZ9" s="71"/>
      <c r="DA9" s="71"/>
      <c r="DB9" s="72"/>
      <c r="DC9" s="72"/>
      <c r="DD9" s="72"/>
      <c r="DE9" s="72"/>
      <c r="DF9" s="72"/>
      <c r="DG9" s="71"/>
      <c r="DH9" s="71"/>
      <c r="DI9" s="72"/>
      <c r="DJ9" s="72"/>
      <c r="DK9" s="72"/>
      <c r="DL9" s="72"/>
      <c r="DM9" s="72"/>
      <c r="DN9" s="71"/>
      <c r="DO9" s="71"/>
      <c r="DP9" s="72"/>
      <c r="DQ9" s="72"/>
      <c r="DR9" s="72"/>
      <c r="DS9" s="72"/>
      <c r="DT9" s="72"/>
      <c r="DU9" s="71"/>
      <c r="DV9" s="71"/>
      <c r="DW9" s="72"/>
      <c r="DX9" s="72"/>
      <c r="DY9" s="72"/>
      <c r="DZ9" s="72"/>
      <c r="EA9" s="72"/>
      <c r="EB9" s="71"/>
      <c r="EC9" s="71"/>
      <c r="ED9" s="72"/>
      <c r="EE9" s="72"/>
      <c r="EF9" s="72"/>
      <c r="EG9" s="72"/>
      <c r="EH9" s="72"/>
      <c r="EI9" s="71"/>
      <c r="EJ9" s="71"/>
      <c r="EK9" s="72"/>
      <c r="EL9" s="72"/>
      <c r="EM9" s="72"/>
      <c r="EN9" s="72"/>
      <c r="EO9" s="72"/>
      <c r="EP9" s="71"/>
      <c r="EQ9" s="71"/>
      <c r="ER9" s="72"/>
      <c r="ES9" s="72"/>
      <c r="ET9" s="72"/>
      <c r="EU9" s="72"/>
      <c r="EV9" s="72"/>
      <c r="EW9" s="71"/>
      <c r="EX9" s="71"/>
      <c r="EY9" s="72"/>
      <c r="EZ9" s="72"/>
      <c r="FA9" s="72"/>
      <c r="FB9" s="72"/>
      <c r="FC9" s="72"/>
      <c r="FD9" s="71"/>
      <c r="FE9" s="71"/>
      <c r="FF9" s="72"/>
      <c r="FG9" s="72"/>
      <c r="FH9" s="72"/>
      <c r="FI9" s="72"/>
      <c r="FJ9" s="72"/>
      <c r="FK9" s="71"/>
      <c r="FL9" s="71"/>
      <c r="FM9" s="72"/>
      <c r="FN9" s="72"/>
      <c r="FO9" s="72"/>
      <c r="FP9" s="72"/>
      <c r="FQ9" s="72"/>
      <c r="FR9" s="71"/>
      <c r="FS9" s="71"/>
      <c r="FT9" s="72"/>
      <c r="FU9" s="72"/>
      <c r="FV9" s="72"/>
      <c r="FW9" s="72"/>
      <c r="FX9" s="72"/>
      <c r="FY9" s="71"/>
      <c r="FZ9" s="71"/>
      <c r="GA9" s="72"/>
      <c r="GB9" s="72"/>
      <c r="GC9" s="72"/>
      <c r="GD9" s="72"/>
      <c r="GE9" s="72"/>
      <c r="GF9" s="71"/>
      <c r="GG9" s="71"/>
      <c r="GH9" s="72"/>
      <c r="GI9" s="72"/>
      <c r="GJ9" s="72"/>
      <c r="GK9" s="72"/>
      <c r="GL9" s="72"/>
      <c r="GM9" s="71"/>
      <c r="GN9" s="71"/>
      <c r="GO9" s="72"/>
      <c r="GP9" s="72"/>
      <c r="GQ9" s="72"/>
      <c r="GR9" s="72"/>
      <c r="GS9" s="72"/>
      <c r="GT9" s="71"/>
      <c r="GU9" s="71"/>
      <c r="GV9" s="72"/>
      <c r="GW9" s="72"/>
      <c r="GX9" s="72"/>
      <c r="GY9" s="72"/>
      <c r="GZ9" s="72"/>
      <c r="HA9" s="71"/>
      <c r="HB9" s="71"/>
      <c r="HC9" s="72"/>
      <c r="HD9" s="72"/>
      <c r="HE9" s="72"/>
      <c r="HF9" s="72"/>
      <c r="HG9" s="72"/>
      <c r="HH9" s="71"/>
      <c r="HI9" s="71"/>
      <c r="HJ9" s="72"/>
      <c r="HK9" s="72"/>
      <c r="HL9" s="72"/>
      <c r="HM9" s="72"/>
      <c r="HN9" s="72"/>
      <c r="HO9" s="71"/>
      <c r="HP9" s="71"/>
      <c r="HQ9" s="72"/>
      <c r="HR9" s="72"/>
      <c r="HS9" s="72"/>
      <c r="HT9" s="72"/>
      <c r="HU9" s="72"/>
      <c r="HV9" s="71"/>
      <c r="HW9" s="71"/>
      <c r="HX9" s="72"/>
      <c r="HY9" s="72"/>
      <c r="HZ9" s="72"/>
      <c r="IA9" s="72"/>
      <c r="IB9" s="72"/>
      <c r="IC9" s="71"/>
      <c r="ID9" s="71"/>
      <c r="IE9" s="72"/>
      <c r="IF9" s="72"/>
      <c r="IG9" s="72"/>
      <c r="IH9" s="72"/>
      <c r="II9" s="72"/>
      <c r="IJ9" s="71"/>
      <c r="IK9" s="71"/>
      <c r="IL9" s="72"/>
      <c r="IM9" s="72"/>
      <c r="IN9" s="72"/>
      <c r="IO9" s="72"/>
      <c r="IP9" s="72"/>
      <c r="IQ9" s="71"/>
      <c r="IR9" s="71"/>
      <c r="IS9" s="72"/>
      <c r="IT9" s="72"/>
      <c r="IU9" s="72"/>
      <c r="IV9" s="72"/>
      <c r="IW9" s="72"/>
      <c r="IX9" s="71"/>
      <c r="IY9" s="71"/>
      <c r="IZ9" s="72"/>
      <c r="JA9" s="72"/>
      <c r="JB9" s="72"/>
      <c r="JC9" s="72"/>
      <c r="JD9" s="72"/>
      <c r="JE9" s="71"/>
      <c r="JF9" s="71"/>
      <c r="JG9" s="72"/>
      <c r="JH9" s="72"/>
      <c r="JI9" s="72"/>
      <c r="JJ9" s="72"/>
      <c r="JK9" s="72"/>
      <c r="JL9" s="71"/>
      <c r="JM9" s="71"/>
      <c r="JN9" s="72"/>
      <c r="JO9" s="72"/>
      <c r="JP9" s="72"/>
      <c r="JQ9" s="72"/>
      <c r="JR9" s="72"/>
      <c r="JS9" s="71"/>
      <c r="JT9" s="71"/>
      <c r="JU9" s="72"/>
      <c r="JV9" s="72"/>
      <c r="JW9" s="72"/>
      <c r="JX9" s="72"/>
      <c r="JY9" s="72"/>
      <c r="JZ9" s="71"/>
      <c r="KA9" s="71"/>
      <c r="KB9" s="72"/>
      <c r="KC9" s="72"/>
      <c r="KD9" s="72"/>
      <c r="KE9" s="72"/>
      <c r="KF9" s="72"/>
      <c r="KG9" s="71"/>
      <c r="KH9" s="71"/>
      <c r="KI9" s="72"/>
      <c r="KJ9" s="72"/>
      <c r="KK9" s="72"/>
      <c r="KL9" s="72"/>
      <c r="KM9" s="72"/>
      <c r="KN9" s="71"/>
      <c r="KO9" s="71"/>
      <c r="KP9" s="72"/>
      <c r="KQ9" s="72"/>
      <c r="KR9" s="72"/>
      <c r="KS9" s="72"/>
      <c r="KT9" s="72"/>
      <c r="KU9" s="71"/>
      <c r="KV9" s="71"/>
      <c r="KW9" s="72"/>
      <c r="KX9" s="72"/>
      <c r="KY9" s="72"/>
      <c r="KZ9" s="72"/>
      <c r="LA9" s="72"/>
      <c r="LB9" s="71"/>
      <c r="LC9" s="71"/>
      <c r="LD9" s="72"/>
      <c r="LE9" s="72"/>
      <c r="LF9" s="72"/>
      <c r="LG9" s="72"/>
      <c r="LH9" s="72"/>
      <c r="LI9" s="71"/>
      <c r="LJ9" s="71"/>
      <c r="LK9" s="72"/>
      <c r="LL9" s="72"/>
      <c r="LM9" s="72"/>
      <c r="LN9" s="72"/>
      <c r="LO9" s="72"/>
      <c r="LP9" s="71"/>
      <c r="LQ9" s="71"/>
      <c r="LR9" s="72"/>
      <c r="LS9" s="72"/>
      <c r="LT9" s="72"/>
      <c r="LU9" s="72"/>
      <c r="LV9" s="72"/>
      <c r="LW9" s="71"/>
      <c r="LX9" s="71"/>
      <c r="LY9" s="72"/>
      <c r="LZ9" s="72"/>
      <c r="MA9" s="72"/>
      <c r="MB9" s="72"/>
      <c r="MC9" s="72"/>
      <c r="MD9" s="71"/>
      <c r="ME9" s="71"/>
      <c r="MF9" s="72"/>
      <c r="MG9" s="72"/>
      <c r="MH9" s="72"/>
      <c r="MI9" s="72"/>
      <c r="MJ9" s="72"/>
      <c r="MK9" s="71"/>
      <c r="ML9" s="71"/>
      <c r="MM9" s="72"/>
      <c r="MN9" s="72"/>
      <c r="MO9" s="72"/>
      <c r="MP9" s="72"/>
      <c r="MQ9" s="72"/>
      <c r="MR9" s="71"/>
      <c r="MS9" s="71"/>
      <c r="MT9" s="72"/>
      <c r="MU9" s="72"/>
      <c r="MV9" s="72"/>
      <c r="MW9" s="72"/>
      <c r="MX9" s="72"/>
      <c r="MY9" s="71"/>
      <c r="MZ9" s="71"/>
      <c r="NA9" s="72"/>
      <c r="NB9" s="72"/>
      <c r="NC9" s="72"/>
      <c r="ND9" s="72"/>
      <c r="NE9" s="72"/>
      <c r="NF9" s="71"/>
      <c r="NG9" s="71"/>
      <c r="NH9" s="72"/>
      <c r="NI9" s="72"/>
      <c r="NJ9" s="72"/>
      <c r="NK9" s="72"/>
      <c r="NL9" s="72"/>
      <c r="NM9" s="71"/>
      <c r="NN9" s="71"/>
      <c r="NO9" s="72"/>
      <c r="NP9" s="72"/>
      <c r="NQ9" s="72"/>
      <c r="NR9" s="72"/>
      <c r="NS9" s="72"/>
      <c r="NT9" s="71"/>
      <c r="NU9" s="71"/>
      <c r="NV9" s="72"/>
      <c r="NW9" s="72"/>
      <c r="NX9" s="72"/>
      <c r="NY9" s="72"/>
      <c r="NZ9" s="72"/>
      <c r="OA9" s="71"/>
      <c r="OB9" s="71"/>
      <c r="OC9" s="72"/>
      <c r="OD9" s="72"/>
      <c r="OE9" s="72"/>
      <c r="OF9" s="72"/>
      <c r="OG9" s="72"/>
      <c r="OH9" s="71"/>
      <c r="OI9" s="71"/>
      <c r="OJ9" s="72"/>
      <c r="OK9" s="72"/>
      <c r="OL9" s="72"/>
      <c r="OM9" s="72"/>
      <c r="ON9" s="72"/>
      <c r="OO9" s="71"/>
      <c r="OP9" s="71"/>
      <c r="OQ9" s="72"/>
      <c r="OR9" s="72"/>
      <c r="OS9" s="72"/>
      <c r="OT9" s="72"/>
      <c r="OU9" s="72"/>
      <c r="OV9" s="71"/>
      <c r="OW9" s="71"/>
      <c r="OX9" s="72"/>
      <c r="OY9" s="72"/>
      <c r="OZ9" s="72"/>
      <c r="PA9" s="72"/>
      <c r="PB9" s="72"/>
      <c r="PC9" s="71"/>
      <c r="PD9" s="71"/>
      <c r="PE9" s="72"/>
      <c r="PF9" s="72"/>
      <c r="PG9" s="72"/>
      <c r="PH9" s="72"/>
      <c r="PI9" s="72"/>
      <c r="PJ9" s="71"/>
      <c r="PK9" s="71"/>
      <c r="PL9" s="72"/>
      <c r="PM9" s="72"/>
      <c r="PN9" s="72"/>
      <c r="PO9" s="72"/>
      <c r="PP9" s="72"/>
      <c r="PQ9" s="71"/>
      <c r="PR9" s="71"/>
      <c r="PS9" s="72"/>
      <c r="PT9" s="72"/>
      <c r="PU9" s="72"/>
      <c r="PV9" s="72"/>
      <c r="PW9" s="72"/>
      <c r="PX9" s="71"/>
      <c r="PY9" s="71"/>
      <c r="PZ9" s="72"/>
      <c r="QA9" s="72"/>
      <c r="QB9" s="72"/>
      <c r="QC9" s="72"/>
      <c r="QD9" s="72"/>
      <c r="QE9" s="71"/>
      <c r="QF9" s="71"/>
      <c r="QG9" s="72"/>
      <c r="QH9" s="72"/>
      <c r="QI9" s="72"/>
      <c r="QJ9" s="72"/>
      <c r="QK9" s="72"/>
      <c r="QL9" s="71"/>
      <c r="QM9" s="71"/>
      <c r="QN9" s="72"/>
      <c r="QO9" s="72"/>
      <c r="QP9" s="72"/>
      <c r="QQ9" s="72"/>
      <c r="QR9" s="72"/>
      <c r="QS9" s="71"/>
      <c r="QT9" s="71"/>
      <c r="QU9" s="72"/>
      <c r="QV9" s="72"/>
      <c r="QW9" s="72"/>
      <c r="QX9" s="72"/>
      <c r="QY9" s="72"/>
      <c r="QZ9" s="71"/>
      <c r="RA9" s="71"/>
      <c r="RB9" s="72"/>
      <c r="RC9" s="72"/>
      <c r="RD9" s="72"/>
      <c r="RE9" s="72"/>
      <c r="RF9" s="72"/>
      <c r="RG9" s="71"/>
      <c r="RH9" s="71"/>
      <c r="RI9" s="72"/>
      <c r="RJ9" s="72"/>
      <c r="RK9" s="72"/>
      <c r="RL9" s="72"/>
      <c r="RM9" s="72"/>
      <c r="RN9" s="71"/>
      <c r="RO9" s="71"/>
      <c r="RP9" s="72"/>
      <c r="RQ9" s="72"/>
      <c r="RR9" s="72"/>
      <c r="RS9" s="72"/>
      <c r="RT9" s="72"/>
      <c r="RU9" s="71"/>
      <c r="RV9" s="71"/>
      <c r="RW9" s="72"/>
      <c r="RX9" s="72"/>
      <c r="RY9" s="72"/>
      <c r="RZ9" s="72"/>
      <c r="SA9" s="72"/>
      <c r="SB9" s="71"/>
      <c r="SC9" s="71"/>
      <c r="SD9" s="72"/>
      <c r="SE9" s="72"/>
      <c r="SF9" s="72"/>
      <c r="SG9" s="72"/>
      <c r="SH9" s="72"/>
      <c r="SI9" s="71"/>
      <c r="SJ9" s="71"/>
      <c r="SK9" s="72"/>
      <c r="SL9" s="72"/>
      <c r="SM9" s="72"/>
      <c r="SN9" s="72"/>
      <c r="SO9" s="72"/>
      <c r="SP9" s="71"/>
      <c r="SQ9" s="71"/>
      <c r="SR9" s="72"/>
      <c r="SS9" s="72"/>
      <c r="ST9" s="72"/>
      <c r="SU9" s="72"/>
      <c r="SV9" s="72"/>
      <c r="SW9" s="71"/>
      <c r="SX9" s="71"/>
      <c r="SY9" s="72"/>
      <c r="SZ9" s="72"/>
      <c r="TA9" s="72"/>
      <c r="TB9" s="72"/>
      <c r="TC9" s="72"/>
      <c r="TD9" s="71"/>
      <c r="TE9" s="71"/>
      <c r="TF9" s="72"/>
      <c r="TG9" s="72"/>
      <c r="TH9" s="72"/>
      <c r="TI9" s="72"/>
      <c r="TJ9" s="72"/>
      <c r="TK9" s="71"/>
      <c r="TL9" s="71"/>
      <c r="TM9" s="72"/>
      <c r="TN9" s="72"/>
      <c r="TO9" s="72"/>
      <c r="TP9" s="72"/>
      <c r="TQ9" s="72"/>
      <c r="TR9" s="71"/>
      <c r="TS9" s="71"/>
      <c r="TT9" s="72"/>
      <c r="TU9" s="72"/>
      <c r="TV9" s="72"/>
      <c r="TW9" s="72"/>
      <c r="TX9" s="72"/>
      <c r="TY9" s="71"/>
      <c r="TZ9" s="71"/>
      <c r="UA9" s="72"/>
      <c r="UB9" s="72"/>
      <c r="UC9" s="72"/>
      <c r="UD9" s="72"/>
      <c r="UE9" s="72"/>
      <c r="UF9" s="71"/>
      <c r="UG9" s="71"/>
      <c r="UH9" s="72"/>
      <c r="UI9" s="72"/>
      <c r="UJ9" s="72"/>
      <c r="UK9" s="72"/>
      <c r="UL9" s="72"/>
      <c r="UM9" s="71"/>
      <c r="UN9" s="71"/>
      <c r="UO9" s="72"/>
      <c r="UP9" s="72"/>
      <c r="UQ9" s="72"/>
      <c r="UR9" s="72"/>
      <c r="US9" s="72"/>
      <c r="UT9" s="71"/>
      <c r="UU9" s="71"/>
      <c r="UV9" s="72"/>
      <c r="UW9" s="72"/>
      <c r="UX9" s="72"/>
      <c r="UY9" s="72"/>
      <c r="UZ9" s="72"/>
      <c r="VA9" s="71"/>
      <c r="VB9" s="71"/>
      <c r="VC9" s="72"/>
      <c r="VD9" s="72"/>
      <c r="VE9" s="72"/>
      <c r="VF9" s="72"/>
      <c r="VG9" s="72"/>
      <c r="VH9" s="71"/>
      <c r="VI9" s="71"/>
      <c r="VJ9" s="72"/>
      <c r="VK9" s="72"/>
      <c r="VL9" s="72"/>
      <c r="VM9" s="72"/>
      <c r="VN9" s="72"/>
      <c r="VO9" s="71"/>
      <c r="VP9" s="71"/>
      <c r="VQ9" s="72"/>
      <c r="VR9" s="72"/>
      <c r="VS9" s="72"/>
      <c r="VT9" s="72"/>
      <c r="VU9" s="72"/>
      <c r="VV9" s="71"/>
      <c r="VW9" s="71"/>
      <c r="VX9" s="72"/>
      <c r="VY9" s="72"/>
      <c r="VZ9" s="72"/>
      <c r="WA9" s="72"/>
      <c r="WB9" s="72"/>
      <c r="WC9" s="71"/>
      <c r="WD9" s="71"/>
      <c r="WE9" s="72"/>
      <c r="WF9" s="72"/>
      <c r="WG9" s="72"/>
      <c r="WH9" s="72"/>
      <c r="WI9" s="72"/>
      <c r="WJ9" s="71"/>
      <c r="WK9" s="71"/>
      <c r="WL9" s="72"/>
      <c r="WM9" s="72"/>
      <c r="WN9" s="72"/>
      <c r="WO9" s="72"/>
      <c r="WP9" s="72"/>
      <c r="WQ9" s="71"/>
      <c r="WR9" s="71"/>
      <c r="WS9" s="72"/>
      <c r="WT9" s="72"/>
      <c r="WU9" s="72"/>
      <c r="WV9" s="72"/>
      <c r="WW9" s="72"/>
      <c r="WX9" s="71"/>
      <c r="WY9" s="71"/>
      <c r="WZ9" s="72"/>
      <c r="XA9" s="72"/>
      <c r="XB9" s="72"/>
      <c r="XC9" s="72"/>
      <c r="XD9" s="72"/>
      <c r="XE9" s="71"/>
      <c r="XF9" s="71"/>
      <c r="XG9" s="72"/>
      <c r="XH9" s="72"/>
      <c r="XI9" s="72"/>
      <c r="XJ9" s="72"/>
      <c r="XK9" s="72"/>
      <c r="XL9" s="71"/>
      <c r="XM9" s="71"/>
      <c r="XN9" s="72"/>
      <c r="XO9" s="72"/>
      <c r="XP9" s="72"/>
      <c r="XQ9" s="72"/>
      <c r="XR9" s="72"/>
      <c r="XS9" s="71"/>
      <c r="XT9" s="71"/>
      <c r="XU9" s="72"/>
      <c r="XV9" s="72"/>
      <c r="XW9" s="72"/>
      <c r="XX9" s="72"/>
      <c r="XY9" s="72"/>
      <c r="XZ9" s="71"/>
      <c r="YA9" s="71"/>
      <c r="YB9" s="72"/>
      <c r="YC9" s="72"/>
      <c r="YD9" s="72"/>
      <c r="YE9" s="72"/>
      <c r="YF9" s="72"/>
      <c r="YG9" s="71"/>
      <c r="YH9" s="71"/>
      <c r="YI9" s="72"/>
      <c r="YJ9" s="72"/>
      <c r="YK9" s="72"/>
      <c r="YL9" s="72"/>
      <c r="YM9" s="72"/>
      <c r="YN9" s="71"/>
      <c r="YO9" s="71"/>
      <c r="YP9" s="72"/>
      <c r="YQ9" s="72"/>
      <c r="YR9" s="72"/>
      <c r="YS9" s="72"/>
      <c r="YT9" s="72"/>
      <c r="YU9" s="71"/>
      <c r="YV9" s="71"/>
      <c r="YW9" s="72"/>
      <c r="YX9" s="72"/>
      <c r="YY9" s="72"/>
      <c r="YZ9" s="72"/>
      <c r="ZA9" s="72"/>
      <c r="ZB9" s="71"/>
      <c r="ZC9" s="71"/>
      <c r="ZD9" s="72"/>
      <c r="ZE9" s="72"/>
      <c r="ZF9" s="72"/>
      <c r="ZG9" s="72"/>
      <c r="ZH9" s="72"/>
      <c r="ZI9" s="71"/>
      <c r="ZJ9" s="71"/>
      <c r="ZK9" s="72"/>
      <c r="ZL9" s="72"/>
      <c r="ZM9" s="72"/>
      <c r="ZN9" s="72"/>
      <c r="ZO9" s="72"/>
      <c r="ZP9" s="71"/>
      <c r="ZQ9" s="71"/>
      <c r="ZR9" s="72"/>
      <c r="ZS9" s="72"/>
      <c r="ZT9" s="72"/>
      <c r="ZU9" s="72"/>
      <c r="ZV9" s="72"/>
      <c r="ZW9" s="71"/>
      <c r="ZX9" s="71"/>
      <c r="ZY9" s="72"/>
      <c r="ZZ9" s="72"/>
      <c r="AAA9" s="72"/>
      <c r="AAB9" s="72"/>
      <c r="AAC9" s="72"/>
      <c r="AAD9" s="71"/>
      <c r="AAE9" s="71"/>
      <c r="AAF9" s="72"/>
      <c r="AAG9" s="72"/>
      <c r="AAH9" s="72"/>
      <c r="AAI9" s="72"/>
      <c r="AAJ9" s="72"/>
      <c r="AAK9" s="71"/>
      <c r="AAL9" s="71"/>
      <c r="AAM9" s="72"/>
      <c r="AAN9" s="72"/>
      <c r="AAO9" s="72"/>
      <c r="AAP9" s="72"/>
      <c r="AAQ9" s="72"/>
      <c r="AAR9" s="71"/>
      <c r="AAS9" s="71"/>
      <c r="AAT9" s="72"/>
      <c r="AAU9" s="72"/>
      <c r="AAV9" s="72"/>
      <c r="AAW9" s="72"/>
      <c r="AAX9" s="72"/>
      <c r="AAY9" s="71"/>
      <c r="AAZ9" s="71"/>
      <c r="ABA9" s="72"/>
      <c r="ABB9" s="72"/>
      <c r="ABC9" s="72"/>
      <c r="ABD9" s="72"/>
      <c r="ABE9" s="72"/>
      <c r="ABF9" s="71"/>
      <c r="ABG9" s="71"/>
      <c r="ABH9" s="72"/>
      <c r="ABI9" s="72"/>
      <c r="ABJ9" s="72"/>
      <c r="ABK9" s="72"/>
      <c r="ABL9" s="72"/>
      <c r="ABM9" s="71"/>
      <c r="ABN9" s="71"/>
      <c r="ABO9" s="72"/>
      <c r="ABP9" s="72"/>
      <c r="ABQ9" s="72"/>
      <c r="ABR9" s="72"/>
      <c r="ABS9" s="72"/>
      <c r="ABT9" s="71"/>
      <c r="ABU9" s="71"/>
      <c r="ABV9" s="72"/>
      <c r="ABW9" s="72"/>
      <c r="ABX9" s="72"/>
      <c r="ABY9" s="72"/>
      <c r="ABZ9" s="72"/>
      <c r="ACA9" s="71"/>
      <c r="ACB9" s="71"/>
      <c r="ACC9" s="72"/>
      <c r="ACD9" s="72"/>
      <c r="ACE9" s="72"/>
      <c r="ACF9" s="72"/>
      <c r="ACG9" s="72"/>
      <c r="ACH9" s="71"/>
      <c r="ACI9" s="71"/>
      <c r="ACJ9" s="72"/>
      <c r="ACK9" s="72"/>
      <c r="ACL9" s="72"/>
      <c r="ACM9" s="72"/>
      <c r="ACN9" s="72"/>
      <c r="ACO9" s="71"/>
      <c r="ACP9" s="71"/>
      <c r="ACQ9" s="72"/>
      <c r="ACR9" s="72"/>
      <c r="ACS9" s="72"/>
      <c r="ACT9" s="72"/>
      <c r="ACU9" s="72"/>
      <c r="ACV9" s="71"/>
      <c r="ACW9" s="71"/>
      <c r="ACX9" s="72"/>
      <c r="ACY9" s="72"/>
      <c r="ACZ9" s="72"/>
      <c r="ADA9" s="72"/>
      <c r="ADB9" s="72"/>
      <c r="ADC9" s="71"/>
      <c r="ADD9" s="71"/>
      <c r="ADE9" s="72"/>
      <c r="ADF9" s="72"/>
      <c r="ADG9" s="72"/>
      <c r="ADH9" s="72"/>
      <c r="ADI9" s="72"/>
      <c r="ADJ9" s="71"/>
      <c r="ADK9" s="71"/>
      <c r="ADL9" s="72"/>
      <c r="ADM9" s="72"/>
      <c r="ADN9" s="72"/>
      <c r="ADO9" s="72"/>
      <c r="ADP9" s="72"/>
      <c r="ADQ9" s="71"/>
      <c r="ADR9" s="71"/>
      <c r="ADS9" s="72"/>
      <c r="ADT9" s="72"/>
      <c r="ADU9" s="72"/>
      <c r="ADV9" s="72"/>
      <c r="ADW9" s="72"/>
      <c r="ADX9" s="71"/>
      <c r="ADY9" s="71"/>
      <c r="ADZ9" s="72"/>
      <c r="AEA9" s="72"/>
      <c r="AEB9" s="72"/>
      <c r="AEC9" s="72"/>
      <c r="AED9" s="72"/>
      <c r="AEE9" s="71"/>
      <c r="AEF9" s="71"/>
      <c r="AEG9" s="72"/>
      <c r="AEH9" s="72"/>
      <c r="AEI9" s="72"/>
      <c r="AEJ9" s="72"/>
      <c r="AEK9" s="72"/>
      <c r="AEL9" s="71"/>
      <c r="AEM9" s="71"/>
      <c r="AEN9" s="72"/>
      <c r="AEO9" s="72"/>
      <c r="AEP9" s="72"/>
      <c r="AEQ9" s="72"/>
      <c r="AER9" s="72"/>
      <c r="AES9" s="71"/>
      <c r="AET9" s="71"/>
      <c r="AEU9" s="72"/>
      <c r="AEV9" s="72"/>
      <c r="AEW9" s="72"/>
      <c r="AEX9" s="72"/>
      <c r="AEY9" s="72"/>
      <c r="AEZ9" s="71"/>
      <c r="AFA9" s="71"/>
      <c r="AFB9" s="72"/>
      <c r="AFC9" s="72"/>
      <c r="AFD9" s="72"/>
      <c r="AFE9" s="72"/>
      <c r="AFF9" s="72"/>
      <c r="AFG9" s="71"/>
      <c r="AFH9" s="71"/>
      <c r="AFI9" s="72"/>
      <c r="AFJ9" s="72"/>
      <c r="AFK9" s="72"/>
      <c r="AFL9" s="72"/>
      <c r="AFM9" s="72"/>
      <c r="AFN9" s="71"/>
      <c r="AFO9" s="71"/>
      <c r="AFP9" s="72"/>
      <c r="AFQ9" s="72"/>
      <c r="AFR9" s="72"/>
      <c r="AFS9" s="72"/>
      <c r="AFT9" s="72"/>
      <c r="AFU9" s="71"/>
      <c r="AFV9" s="71"/>
      <c r="AFW9" s="72"/>
      <c r="AFX9" s="72"/>
      <c r="AFY9" s="72"/>
      <c r="AFZ9" s="72"/>
      <c r="AGA9" s="72"/>
      <c r="AGB9" s="71"/>
      <c r="AGC9" s="71"/>
      <c r="AGD9" s="72"/>
      <c r="AGE9" s="72"/>
      <c r="AGF9" s="72"/>
      <c r="AGG9" s="72"/>
      <c r="AGH9" s="72"/>
      <c r="AGI9" s="71"/>
      <c r="AGJ9" s="71"/>
      <c r="AGK9" s="72"/>
      <c r="AGL9" s="72"/>
      <c r="AGM9" s="72"/>
      <c r="AGN9" s="72"/>
      <c r="AGO9" s="72"/>
      <c r="AGP9" s="71"/>
      <c r="AGQ9" s="71"/>
      <c r="AGR9" s="72"/>
      <c r="AGS9" s="72"/>
      <c r="AGT9" s="72"/>
      <c r="AGU9" s="72"/>
      <c r="AGV9" s="72"/>
      <c r="AGW9" s="71"/>
      <c r="AGX9" s="71"/>
      <c r="AGY9" s="72"/>
      <c r="AGZ9" s="72"/>
      <c r="AHA9" s="72"/>
      <c r="AHB9" s="72"/>
      <c r="AHC9" s="72"/>
      <c r="AHD9" s="71"/>
      <c r="AHE9" s="71"/>
      <c r="AHF9" s="72"/>
      <c r="AHG9" s="72"/>
      <c r="AHH9" s="72"/>
      <c r="AHI9" s="72"/>
      <c r="AHJ9" s="72"/>
      <c r="AHK9" s="71"/>
      <c r="AHL9" s="71"/>
      <c r="AHM9" s="72"/>
      <c r="AHN9" s="72"/>
      <c r="AHO9" s="72"/>
      <c r="AHP9" s="72"/>
      <c r="AHQ9" s="72"/>
      <c r="AHR9" s="71"/>
      <c r="AHS9" s="71"/>
      <c r="AHT9" s="72"/>
      <c r="AHU9" s="72"/>
      <c r="AHV9" s="72"/>
      <c r="AHW9" s="72"/>
      <c r="AHX9" s="72"/>
      <c r="AHY9" s="71"/>
      <c r="AHZ9" s="71"/>
      <c r="AIA9" s="72"/>
      <c r="AIB9" s="72"/>
      <c r="AIC9" s="72"/>
      <c r="AID9" s="72"/>
      <c r="AIE9" s="72"/>
      <c r="AIF9" s="71"/>
      <c r="AIG9" s="71"/>
      <c r="AIH9" s="72"/>
      <c r="AII9" s="72"/>
      <c r="AIJ9" s="72"/>
      <c r="AIK9" s="72"/>
      <c r="AIL9" s="72"/>
      <c r="AIM9" s="71"/>
      <c r="AIN9" s="71"/>
      <c r="AIO9" s="72"/>
      <c r="AIP9" s="72"/>
      <c r="AIQ9" s="72"/>
      <c r="AIR9" s="72"/>
      <c r="AIS9" s="72"/>
      <c r="AIT9" s="71"/>
      <c r="AIU9" s="71"/>
      <c r="AIV9" s="72"/>
      <c r="AIW9" s="72"/>
      <c r="AIX9" s="72"/>
      <c r="AIY9" s="72"/>
      <c r="AIZ9" s="72"/>
      <c r="AJA9" s="71"/>
      <c r="AJB9" s="71"/>
      <c r="AJC9" s="72"/>
      <c r="AJD9" s="72"/>
      <c r="AJE9" s="72"/>
      <c r="AJF9" s="72"/>
      <c r="AJG9" s="72"/>
      <c r="AJH9" s="71"/>
      <c r="AJI9" s="71"/>
      <c r="AJJ9" s="72"/>
      <c r="AJK9" s="72"/>
      <c r="AJL9" s="72"/>
      <c r="AJM9" s="72"/>
      <c r="AJN9" s="72"/>
      <c r="AJO9" s="71"/>
      <c r="AJP9" s="71"/>
      <c r="AJQ9" s="72"/>
      <c r="AJR9" s="72"/>
      <c r="AJS9" s="72"/>
      <c r="AJT9" s="72"/>
      <c r="AJU9" s="72"/>
      <c r="AJV9" s="71"/>
      <c r="AJW9" s="71"/>
      <c r="AJX9" s="72"/>
      <c r="AJY9" s="72"/>
      <c r="AJZ9" s="72"/>
      <c r="AKA9" s="72"/>
      <c r="AKB9" s="72"/>
      <c r="AKC9" s="71"/>
      <c r="AKD9" s="71"/>
      <c r="AKE9" s="72"/>
      <c r="AKF9" s="72"/>
      <c r="AKG9" s="72"/>
      <c r="AKH9" s="72"/>
      <c r="AKI9" s="72"/>
      <c r="AKJ9" s="71"/>
      <c r="AKK9" s="71"/>
      <c r="AKL9" s="72"/>
      <c r="AKM9" s="72"/>
      <c r="AKN9" s="72"/>
      <c r="AKO9" s="72"/>
      <c r="AKP9" s="72"/>
      <c r="AKQ9" s="71"/>
      <c r="AKR9" s="71"/>
      <c r="AKS9" s="72"/>
      <c r="AKT9" s="72"/>
      <c r="AKU9" s="72"/>
      <c r="AKV9" s="72"/>
      <c r="AKW9" s="72"/>
      <c r="AKX9" s="71"/>
      <c r="AKY9" s="71"/>
      <c r="AKZ9" s="72"/>
      <c r="ALA9" s="72"/>
      <c r="ALB9" s="72"/>
      <c r="ALC9" s="72"/>
      <c r="ALD9" s="72"/>
      <c r="ALE9" s="71"/>
      <c r="ALF9" s="71"/>
      <c r="ALG9" s="72"/>
      <c r="ALH9" s="72"/>
      <c r="ALI9" s="72"/>
      <c r="ALJ9" s="72"/>
      <c r="ALK9" s="72"/>
      <c r="ALL9" s="71"/>
      <c r="ALM9" s="71"/>
      <c r="ALN9" s="72"/>
      <c r="ALO9" s="72"/>
      <c r="ALP9" s="72"/>
      <c r="ALQ9" s="72"/>
      <c r="ALR9" s="72"/>
      <c r="ALS9" s="71"/>
      <c r="ALT9" s="71"/>
      <c r="ALU9" s="72"/>
      <c r="ALV9" s="72"/>
      <c r="ALW9" s="72"/>
      <c r="ALX9" s="72"/>
      <c r="ALY9" s="72"/>
      <c r="ALZ9" s="71"/>
      <c r="AMA9" s="71"/>
      <c r="AMB9" s="72"/>
      <c r="AMC9" s="72"/>
      <c r="AMD9" s="72"/>
      <c r="AME9" s="72"/>
      <c r="AMF9" s="72"/>
      <c r="AMG9" s="71"/>
      <c r="AMH9" s="71"/>
      <c r="AMI9" s="72"/>
      <c r="AMJ9" s="72"/>
      <c r="AMK9" s="72"/>
      <c r="AML9" s="72"/>
      <c r="AMM9" s="72"/>
      <c r="AMN9" s="71"/>
      <c r="AMO9" s="71"/>
      <c r="AMP9" s="72"/>
      <c r="AMQ9" s="72"/>
      <c r="AMR9" s="72"/>
      <c r="AMS9" s="72"/>
      <c r="AMT9" s="72"/>
      <c r="AMU9" s="71"/>
      <c r="AMV9" s="71"/>
      <c r="AMW9" s="72"/>
      <c r="AMX9" s="72"/>
      <c r="AMY9" s="72"/>
      <c r="AMZ9" s="72"/>
      <c r="ANA9" s="72"/>
      <c r="ANB9" s="71"/>
      <c r="ANC9" s="71"/>
      <c r="AND9" s="72"/>
      <c r="ANE9" s="72"/>
      <c r="ANF9" s="72"/>
      <c r="ANG9" s="72"/>
      <c r="ANH9" s="72"/>
      <c r="ANI9" s="71"/>
      <c r="ANJ9" s="71"/>
      <c r="ANK9" s="72"/>
      <c r="ANL9" s="72"/>
      <c r="ANM9" s="72"/>
      <c r="ANN9" s="72"/>
      <c r="ANO9" s="72"/>
      <c r="ANP9" s="71"/>
      <c r="ANQ9" s="71"/>
      <c r="ANR9" s="72"/>
      <c r="ANS9" s="72"/>
      <c r="ANT9" s="72"/>
      <c r="ANU9" s="72"/>
      <c r="ANV9" s="72"/>
      <c r="ANW9" s="71"/>
      <c r="ANX9" s="71"/>
      <c r="ANY9" s="72"/>
      <c r="ANZ9" s="72"/>
      <c r="AOA9" s="72"/>
      <c r="AOB9" s="72"/>
      <c r="AOC9" s="72"/>
      <c r="AOD9" s="71"/>
      <c r="AOE9" s="71"/>
      <c r="AOF9" s="72"/>
      <c r="AOG9" s="72"/>
      <c r="AOH9" s="72"/>
      <c r="AOI9" s="72"/>
      <c r="AOJ9" s="72"/>
      <c r="AOK9" s="71"/>
      <c r="AOL9" s="71"/>
      <c r="AOM9" s="72"/>
      <c r="AON9" s="72"/>
      <c r="AOO9" s="72"/>
      <c r="AOP9" s="72"/>
      <c r="AOQ9" s="72"/>
      <c r="AOR9" s="71"/>
      <c r="AOS9" s="71"/>
      <c r="AOT9" s="72"/>
      <c r="AOU9" s="72"/>
      <c r="AOV9" s="72"/>
      <c r="AOW9" s="72"/>
      <c r="AOX9" s="72"/>
      <c r="AOY9" s="71"/>
      <c r="AOZ9" s="71"/>
      <c r="APA9" s="72"/>
      <c r="APB9" s="72"/>
      <c r="APC9" s="72"/>
      <c r="APD9" s="72"/>
      <c r="APE9" s="72"/>
      <c r="APF9" s="71"/>
      <c r="APG9" s="71"/>
      <c r="APH9" s="72"/>
      <c r="API9" s="72"/>
      <c r="APJ9" s="72"/>
      <c r="APK9" s="72"/>
      <c r="APL9" s="72"/>
      <c r="APM9" s="71"/>
      <c r="APN9" s="71"/>
      <c r="APO9" s="72"/>
      <c r="APP9" s="72"/>
      <c r="APQ9" s="72"/>
      <c r="APR9" s="72"/>
      <c r="APS9" s="72"/>
      <c r="APT9" s="71"/>
      <c r="APU9" s="71"/>
      <c r="APV9" s="72"/>
      <c r="APW9" s="72"/>
      <c r="APX9" s="72"/>
      <c r="APY9" s="72"/>
      <c r="APZ9" s="72"/>
      <c r="AQA9" s="71"/>
      <c r="AQB9" s="71"/>
      <c r="AQC9" s="72"/>
      <c r="AQD9" s="72"/>
      <c r="AQE9" s="72"/>
      <c r="AQF9" s="72"/>
      <c r="AQG9" s="72"/>
      <c r="AQH9" s="71"/>
      <c r="AQI9" s="71"/>
      <c r="AQJ9" s="72"/>
      <c r="AQK9" s="72"/>
      <c r="AQL9" s="72"/>
      <c r="AQM9" s="72"/>
      <c r="AQN9" s="72"/>
      <c r="AQO9" s="71"/>
      <c r="AQP9" s="71"/>
      <c r="AQQ9" s="72"/>
      <c r="AQR9" s="72"/>
      <c r="AQS9" s="72"/>
      <c r="AQT9" s="72"/>
      <c r="AQU9" s="72"/>
      <c r="AQV9" s="71"/>
      <c r="AQW9" s="71"/>
      <c r="AQX9" s="72"/>
      <c r="AQY9" s="72"/>
      <c r="AQZ9" s="72"/>
      <c r="ARA9" s="72"/>
      <c r="ARB9" s="72"/>
      <c r="ARC9" s="71"/>
      <c r="ARD9" s="71"/>
      <c r="ARE9" s="72"/>
      <c r="ARF9" s="72"/>
      <c r="ARG9" s="72"/>
      <c r="ARH9" s="72"/>
      <c r="ARI9" s="72"/>
      <c r="ARJ9" s="71"/>
      <c r="ARK9" s="71"/>
      <c r="ARL9" s="72"/>
      <c r="ARM9" s="72"/>
      <c r="ARN9" s="72"/>
      <c r="ARO9" s="72"/>
      <c r="ARP9" s="72"/>
      <c r="ARQ9" s="71"/>
      <c r="ARR9" s="71"/>
      <c r="ARS9" s="72"/>
      <c r="ART9" s="72"/>
      <c r="ARU9" s="72"/>
      <c r="ARV9" s="72"/>
      <c r="ARW9" s="72"/>
      <c r="ARX9" s="71"/>
      <c r="ARY9" s="71"/>
      <c r="ARZ9" s="72"/>
      <c r="ASA9" s="72"/>
      <c r="ASB9" s="72"/>
      <c r="ASC9" s="72"/>
      <c r="ASD9" s="72"/>
      <c r="ASE9" s="71"/>
      <c r="ASF9" s="71"/>
      <c r="ASG9" s="72"/>
      <c r="ASH9" s="72"/>
      <c r="ASI9" s="72"/>
      <c r="ASJ9" s="72"/>
      <c r="ASK9" s="72"/>
      <c r="ASL9" s="71"/>
      <c r="ASM9" s="71"/>
      <c r="ASN9" s="72"/>
      <c r="ASO9" s="72"/>
      <c r="ASP9" s="72"/>
      <c r="ASQ9" s="72"/>
      <c r="ASR9" s="72"/>
      <c r="ASS9" s="71"/>
      <c r="AST9" s="71"/>
      <c r="ASU9" s="72"/>
      <c r="ASV9" s="72"/>
      <c r="ASW9" s="72"/>
      <c r="ASX9" s="72"/>
      <c r="ASY9" s="72"/>
      <c r="ASZ9" s="71"/>
      <c r="ATA9" s="71"/>
      <c r="ATB9" s="72"/>
      <c r="ATC9" s="72"/>
      <c r="ATD9" s="72"/>
      <c r="ATE9" s="72"/>
      <c r="ATF9" s="72"/>
      <c r="ATG9" s="71"/>
      <c r="ATH9" s="71"/>
      <c r="ATI9" s="72"/>
      <c r="ATJ9" s="72"/>
      <c r="ATK9" s="72"/>
      <c r="ATL9" s="72"/>
      <c r="ATM9" s="72"/>
      <c r="ATN9" s="71"/>
      <c r="ATO9" s="71"/>
      <c r="ATP9" s="72"/>
      <c r="ATQ9" s="72"/>
      <c r="ATR9" s="72"/>
      <c r="ATS9" s="72"/>
      <c r="ATT9" s="72"/>
      <c r="ATU9" s="71"/>
      <c r="ATV9" s="71"/>
      <c r="ATW9" s="72"/>
      <c r="ATX9" s="72"/>
      <c r="ATY9" s="72"/>
      <c r="ATZ9" s="72"/>
      <c r="AUA9" s="72"/>
      <c r="AUB9" s="71"/>
      <c r="AUC9" s="71"/>
      <c r="AUD9" s="72"/>
      <c r="AUE9" s="72"/>
      <c r="AUF9" s="72"/>
      <c r="AUG9" s="72"/>
      <c r="AUH9" s="72"/>
      <c r="AUI9" s="71"/>
      <c r="AUJ9" s="71"/>
      <c r="AUK9" s="72"/>
      <c r="AUL9" s="72"/>
      <c r="AUM9" s="72"/>
      <c r="AUN9" s="72"/>
      <c r="AUO9" s="72"/>
      <c r="AUP9" s="71"/>
      <c r="AUQ9" s="71"/>
      <c r="AUR9" s="72"/>
      <c r="AUS9" s="72"/>
      <c r="AUT9" s="72"/>
      <c r="AUU9" s="72"/>
      <c r="AUV9" s="72"/>
      <c r="AUW9" s="71"/>
      <c r="AUX9" s="71"/>
      <c r="AUY9" s="72"/>
      <c r="AUZ9" s="72"/>
      <c r="AVA9" s="72"/>
      <c r="AVB9" s="72"/>
      <c r="AVC9" s="72"/>
      <c r="AVD9" s="71"/>
      <c r="AVE9" s="71"/>
      <c r="AVF9" s="72"/>
      <c r="AVG9" s="72"/>
      <c r="AVH9" s="72"/>
      <c r="AVI9" s="72"/>
      <c r="AVJ9" s="72"/>
      <c r="AVK9" s="71"/>
      <c r="AVL9" s="71"/>
      <c r="AVM9" s="72"/>
      <c r="AVN9" s="72"/>
      <c r="AVO9" s="72"/>
      <c r="AVP9" s="72"/>
      <c r="AVQ9" s="72"/>
      <c r="AVR9" s="71"/>
      <c r="AVS9" s="71"/>
      <c r="AVT9" s="72"/>
      <c r="AVU9" s="72"/>
      <c r="AVV9" s="72"/>
      <c r="AVW9" s="72"/>
      <c r="AVX9" s="72"/>
      <c r="AVY9" s="71"/>
      <c r="AVZ9" s="71"/>
      <c r="AWA9" s="72"/>
      <c r="AWB9" s="72"/>
      <c r="AWC9" s="72"/>
      <c r="AWD9" s="72"/>
      <c r="AWE9" s="72"/>
      <c r="AWF9" s="71"/>
      <c r="AWG9" s="71"/>
      <c r="AWH9" s="72"/>
      <c r="AWI9" s="72"/>
      <c r="AWJ9" s="72"/>
      <c r="AWK9" s="72"/>
      <c r="AWL9" s="72"/>
      <c r="AWM9" s="71"/>
      <c r="AWN9" s="71"/>
      <c r="AWO9" s="72"/>
      <c r="AWP9" s="72"/>
      <c r="AWQ9" s="72"/>
      <c r="AWR9" s="72"/>
      <c r="AWS9" s="72"/>
      <c r="AWT9" s="71"/>
      <c r="AWU9" s="71"/>
      <c r="AWV9" s="72"/>
      <c r="AWW9" s="72"/>
      <c r="AWX9" s="72"/>
      <c r="AWY9" s="72"/>
      <c r="AWZ9" s="72"/>
      <c r="AXA9" s="71"/>
      <c r="AXB9" s="71"/>
      <c r="AXC9" s="72"/>
      <c r="AXD9" s="72"/>
      <c r="AXE9" s="72"/>
      <c r="AXF9" s="72"/>
      <c r="AXG9" s="72"/>
      <c r="AXH9" s="71"/>
      <c r="AXI9" s="71"/>
      <c r="AXJ9" s="72"/>
      <c r="AXK9" s="72"/>
      <c r="AXL9" s="72"/>
      <c r="AXM9" s="72"/>
      <c r="AXN9" s="72"/>
      <c r="AXO9" s="71"/>
      <c r="AXP9" s="71"/>
      <c r="AXQ9" s="72"/>
      <c r="AXR9" s="72"/>
      <c r="AXS9" s="72"/>
      <c r="AXT9" s="72"/>
      <c r="AXU9" s="72"/>
      <c r="AXV9" s="71"/>
      <c r="AXW9" s="71"/>
      <c r="AXX9" s="72"/>
      <c r="AXY9" s="72"/>
      <c r="AXZ9" s="72"/>
      <c r="AYA9" s="72"/>
      <c r="AYB9" s="72"/>
      <c r="AYC9" s="71"/>
      <c r="AYD9" s="71"/>
      <c r="AYE9" s="72"/>
      <c r="AYF9" s="72"/>
      <c r="AYG9" s="72"/>
      <c r="AYH9" s="72"/>
      <c r="AYI9" s="72"/>
      <c r="AYJ9" s="71"/>
      <c r="AYK9" s="71"/>
      <c r="AYL9" s="72"/>
      <c r="AYM9" s="72"/>
      <c r="AYN9" s="72"/>
      <c r="AYO9" s="72"/>
      <c r="AYP9" s="72"/>
      <c r="AYQ9" s="71"/>
      <c r="AYR9" s="71"/>
      <c r="AYS9" s="72"/>
      <c r="AYT9" s="72"/>
      <c r="AYU9" s="72"/>
      <c r="AYV9" s="72"/>
      <c r="AYW9" s="72"/>
      <c r="AYX9" s="71"/>
      <c r="AYY9" s="71"/>
      <c r="AYZ9" s="72"/>
      <c r="AZA9" s="72"/>
      <c r="AZB9" s="72"/>
      <c r="AZC9" s="72"/>
      <c r="AZD9" s="72"/>
      <c r="AZE9" s="71"/>
      <c r="AZF9" s="71"/>
      <c r="AZG9" s="72"/>
      <c r="AZH9" s="72"/>
      <c r="AZI9" s="72"/>
      <c r="AZJ9" s="72"/>
      <c r="AZK9" s="72"/>
      <c r="AZL9" s="71"/>
      <c r="AZM9" s="71"/>
      <c r="AZN9" s="72"/>
      <c r="AZO9" s="72"/>
      <c r="AZP9" s="72"/>
      <c r="AZQ9" s="72"/>
      <c r="AZR9" s="72"/>
      <c r="AZS9" s="71"/>
      <c r="AZT9" s="71"/>
      <c r="AZU9" s="72"/>
      <c r="AZV9" s="72"/>
      <c r="AZW9" s="72"/>
      <c r="AZX9" s="72"/>
      <c r="AZY9" s="72"/>
      <c r="AZZ9" s="71"/>
      <c r="BAA9" s="71"/>
      <c r="BAB9" s="72"/>
      <c r="BAC9" s="72"/>
      <c r="BAD9" s="72"/>
      <c r="BAE9" s="72"/>
      <c r="BAF9" s="72"/>
      <c r="BAG9" s="71"/>
      <c r="BAH9" s="71"/>
      <c r="BAI9" s="72"/>
      <c r="BAJ9" s="72"/>
      <c r="BAK9" s="72"/>
      <c r="BAL9" s="72"/>
      <c r="BAM9" s="72"/>
      <c r="BAN9" s="71"/>
      <c r="BAO9" s="71"/>
      <c r="BAP9" s="72"/>
      <c r="BAQ9" s="72"/>
      <c r="BAR9" s="72"/>
      <c r="BAS9" s="72"/>
      <c r="BAT9" s="72"/>
      <c r="BAU9" s="71"/>
      <c r="BAV9" s="71"/>
      <c r="BAW9" s="72"/>
      <c r="BAX9" s="72"/>
      <c r="BAY9" s="72"/>
      <c r="BAZ9" s="72"/>
      <c r="BBA9" s="72"/>
      <c r="BBB9" s="71"/>
      <c r="BBC9" s="71"/>
      <c r="BBD9" s="72"/>
      <c r="BBE9" s="72"/>
      <c r="BBF9" s="72"/>
      <c r="BBG9" s="72"/>
      <c r="BBH9" s="72"/>
      <c r="BBI9" s="71"/>
      <c r="BBJ9" s="71"/>
      <c r="BBK9" s="72"/>
      <c r="BBL9" s="72"/>
      <c r="BBM9" s="72"/>
      <c r="BBN9" s="72"/>
      <c r="BBO9" s="72"/>
      <c r="BBP9" s="71"/>
      <c r="BBQ9" s="71"/>
      <c r="BBR9" s="72"/>
      <c r="BBS9" s="72"/>
      <c r="BBT9" s="72"/>
      <c r="BBU9" s="72"/>
      <c r="BBV9" s="72"/>
      <c r="BBW9" s="71"/>
      <c r="BBX9" s="71"/>
      <c r="BBY9" s="72"/>
      <c r="BBZ9" s="72"/>
      <c r="BCA9" s="72"/>
      <c r="BCB9" s="72"/>
      <c r="BCC9" s="72"/>
      <c r="BCD9" s="71"/>
      <c r="BCE9" s="71"/>
      <c r="BCF9" s="72"/>
      <c r="BCG9" s="72"/>
      <c r="BCH9" s="72"/>
      <c r="BCI9" s="72"/>
      <c r="BCJ9" s="72"/>
      <c r="BCK9" s="71"/>
      <c r="BCL9" s="71"/>
      <c r="BCM9" s="72"/>
      <c r="BCN9" s="72"/>
      <c r="BCO9" s="72"/>
      <c r="BCP9" s="72"/>
      <c r="BCQ9" s="72"/>
      <c r="BCR9" s="71"/>
      <c r="BCS9" s="71"/>
      <c r="BCT9" s="72"/>
      <c r="BCU9" s="72"/>
      <c r="BCV9" s="72"/>
      <c r="BCW9" s="72"/>
      <c r="BCX9" s="72"/>
      <c r="BCY9" s="71"/>
      <c r="BCZ9" s="71"/>
      <c r="BDA9" s="72"/>
      <c r="BDB9" s="72"/>
      <c r="BDC9" s="72"/>
      <c r="BDD9" s="72"/>
      <c r="BDE9" s="72"/>
      <c r="BDF9" s="71"/>
      <c r="BDG9" s="71"/>
      <c r="BDH9" s="72"/>
      <c r="BDI9" s="72"/>
      <c r="BDJ9" s="72"/>
      <c r="BDK9" s="72"/>
      <c r="BDL9" s="72"/>
      <c r="BDM9" s="71"/>
      <c r="BDN9" s="71"/>
      <c r="BDO9" s="72"/>
      <c r="BDP9" s="72"/>
      <c r="BDQ9" s="72"/>
      <c r="BDR9" s="72"/>
      <c r="BDS9" s="72"/>
      <c r="BDT9" s="71"/>
      <c r="BDU9" s="71"/>
      <c r="BDV9" s="72"/>
      <c r="BDW9" s="72"/>
      <c r="BDX9" s="72"/>
      <c r="BDY9" s="72"/>
      <c r="BDZ9" s="72"/>
      <c r="BEA9" s="71"/>
      <c r="BEB9" s="71"/>
      <c r="BEC9" s="72"/>
      <c r="BED9" s="72"/>
      <c r="BEE9" s="72"/>
      <c r="BEF9" s="72"/>
      <c r="BEG9" s="72"/>
      <c r="BEH9" s="71"/>
      <c r="BEI9" s="71"/>
      <c r="BEJ9" s="72"/>
      <c r="BEK9" s="72"/>
      <c r="BEL9" s="72"/>
      <c r="BEM9" s="72"/>
      <c r="BEN9" s="72"/>
      <c r="BEO9" s="71"/>
      <c r="BEP9" s="71"/>
      <c r="BEQ9" s="72"/>
      <c r="BER9" s="72"/>
      <c r="BES9" s="72"/>
      <c r="BET9" s="72"/>
      <c r="BEU9" s="72"/>
      <c r="BEV9" s="71"/>
      <c r="BEW9" s="71"/>
      <c r="BEX9" s="72"/>
      <c r="BEY9" s="72"/>
      <c r="BEZ9" s="72"/>
      <c r="BFA9" s="72"/>
      <c r="BFB9" s="72"/>
      <c r="BFC9" s="71"/>
      <c r="BFD9" s="71"/>
      <c r="BFE9" s="72"/>
      <c r="BFF9" s="72"/>
      <c r="BFG9" s="72"/>
      <c r="BFH9" s="72"/>
      <c r="BFI9" s="72"/>
      <c r="BFJ9" s="71"/>
      <c r="BFK9" s="71"/>
      <c r="BFL9" s="72"/>
      <c r="BFM9" s="72"/>
      <c r="BFN9" s="72"/>
      <c r="BFO9" s="72"/>
      <c r="BFP9" s="72"/>
      <c r="BFQ9" s="71"/>
      <c r="BFR9" s="71"/>
      <c r="BFS9" s="72"/>
      <c r="BFT9" s="72"/>
      <c r="BFU9" s="72"/>
      <c r="BFV9" s="72"/>
      <c r="BFW9" s="72"/>
      <c r="BFX9" s="71"/>
      <c r="BFY9" s="71"/>
      <c r="BFZ9" s="72"/>
      <c r="BGA9" s="72"/>
      <c r="BGB9" s="72"/>
      <c r="BGC9" s="72"/>
      <c r="BGD9" s="72"/>
      <c r="BGE9" s="71"/>
      <c r="BGF9" s="71"/>
      <c r="BGG9" s="72"/>
      <c r="BGH9" s="72"/>
      <c r="BGI9" s="72"/>
      <c r="BGJ9" s="72"/>
      <c r="BGK9" s="72"/>
      <c r="BGL9" s="71"/>
      <c r="BGM9" s="71"/>
      <c r="BGN9" s="72"/>
      <c r="BGO9" s="72"/>
      <c r="BGP9" s="72"/>
      <c r="BGQ9" s="72"/>
      <c r="BGR9" s="72"/>
      <c r="BGS9" s="71"/>
      <c r="BGT9" s="71"/>
      <c r="BGU9" s="72"/>
      <c r="BGV9" s="72"/>
      <c r="BGW9" s="72"/>
      <c r="BGX9" s="72"/>
      <c r="BGY9" s="72"/>
      <c r="BGZ9" s="71"/>
      <c r="BHA9" s="71"/>
      <c r="BHB9" s="72"/>
      <c r="BHC9" s="72"/>
      <c r="BHD9" s="72"/>
      <c r="BHE9" s="72"/>
      <c r="BHF9" s="72"/>
      <c r="BHG9" s="71"/>
      <c r="BHH9" s="71"/>
      <c r="BHI9" s="72"/>
      <c r="BHJ9" s="72"/>
      <c r="BHK9" s="72"/>
      <c r="BHL9" s="72"/>
      <c r="BHM9" s="72"/>
      <c r="BHN9" s="71"/>
      <c r="BHO9" s="71"/>
      <c r="BHP9" s="72"/>
      <c r="BHQ9" s="72"/>
      <c r="BHR9" s="72"/>
      <c r="BHS9" s="72"/>
      <c r="BHT9" s="72"/>
      <c r="BHU9" s="71"/>
      <c r="BHV9" s="71"/>
      <c r="BHW9" s="72"/>
      <c r="BHX9" s="72"/>
      <c r="BHY9" s="72"/>
      <c r="BHZ9" s="72"/>
      <c r="BIA9" s="72"/>
      <c r="BIB9" s="71"/>
      <c r="BIC9" s="71"/>
      <c r="BID9" s="72"/>
      <c r="BIE9" s="72"/>
      <c r="BIF9" s="72"/>
      <c r="BIG9" s="72"/>
      <c r="BIH9" s="72"/>
      <c r="BII9" s="71"/>
      <c r="BIJ9" s="71"/>
      <c r="BIK9" s="72"/>
      <c r="BIL9" s="72"/>
      <c r="BIM9" s="72"/>
      <c r="BIN9" s="72"/>
      <c r="BIO9" s="72"/>
      <c r="BIP9" s="71"/>
      <c r="BIQ9" s="71"/>
      <c r="BIR9" s="72"/>
      <c r="BIS9" s="72"/>
      <c r="BIT9" s="72"/>
      <c r="BIU9" s="72"/>
      <c r="BIV9" s="72"/>
      <c r="BIW9" s="71"/>
      <c r="BIX9" s="71"/>
      <c r="BIY9" s="72"/>
      <c r="BIZ9" s="72"/>
      <c r="BJA9" s="72"/>
      <c r="BJB9" s="72"/>
      <c r="BJC9" s="72"/>
      <c r="BJD9" s="71"/>
      <c r="BJE9" s="71"/>
      <c r="BJF9" s="72"/>
      <c r="BJG9" s="72"/>
      <c r="BJH9" s="72"/>
      <c r="BJI9" s="72"/>
      <c r="BJJ9" s="72"/>
      <c r="BJK9" s="71"/>
      <c r="BJL9" s="71"/>
      <c r="BJM9" s="72"/>
      <c r="BJN9" s="72"/>
      <c r="BJO9" s="72"/>
      <c r="BJP9" s="72"/>
      <c r="BJQ9" s="72"/>
      <c r="BJR9" s="71"/>
      <c r="BJS9" s="71"/>
      <c r="BJT9" s="72"/>
      <c r="BJU9" s="72"/>
      <c r="BJV9" s="72"/>
      <c r="BJW9" s="72"/>
      <c r="BJX9" s="72"/>
      <c r="BJY9" s="71"/>
      <c r="BJZ9" s="71"/>
      <c r="BKA9" s="72"/>
      <c r="BKB9" s="72"/>
      <c r="BKC9" s="72"/>
      <c r="BKD9" s="72"/>
      <c r="BKE9" s="72"/>
      <c r="BKF9" s="71"/>
      <c r="BKG9" s="71"/>
      <c r="BKH9" s="72"/>
      <c r="BKI9" s="72"/>
      <c r="BKJ9" s="72"/>
      <c r="BKK9" s="72"/>
      <c r="BKL9" s="72"/>
      <c r="BKM9" s="71"/>
      <c r="BKN9" s="71"/>
      <c r="BKO9" s="72"/>
      <c r="BKP9" s="72"/>
      <c r="BKQ9" s="72"/>
      <c r="BKR9" s="72"/>
      <c r="BKS9" s="72"/>
      <c r="BKT9" s="71"/>
      <c r="BKU9" s="71"/>
      <c r="BKV9" s="72"/>
      <c r="BKW9" s="72"/>
      <c r="BKX9" s="72"/>
      <c r="BKY9" s="72"/>
      <c r="BKZ9" s="72"/>
      <c r="BLA9" s="71"/>
      <c r="BLB9" s="71"/>
      <c r="BLC9" s="72"/>
      <c r="BLD9" s="72"/>
      <c r="BLE9" s="72"/>
      <c r="BLF9" s="72"/>
      <c r="BLG9" s="72"/>
      <c r="BLH9" s="71"/>
      <c r="BLI9" s="71"/>
      <c r="BLJ9" s="72"/>
      <c r="BLK9" s="72"/>
      <c r="BLL9" s="72"/>
      <c r="BLM9" s="72"/>
      <c r="BLN9" s="72"/>
      <c r="BLO9" s="71"/>
      <c r="BLP9" s="71"/>
      <c r="BLQ9" s="72"/>
      <c r="BLR9" s="72"/>
      <c r="BLS9" s="72"/>
      <c r="BLT9" s="72"/>
      <c r="BLU9" s="72"/>
      <c r="BLV9" s="71"/>
      <c r="BLW9" s="71"/>
      <c r="BLX9" s="72"/>
      <c r="BLY9" s="72"/>
      <c r="BLZ9" s="72"/>
      <c r="BMA9" s="72"/>
      <c r="BMB9" s="72"/>
      <c r="BMC9" s="71"/>
      <c r="BMD9" s="71"/>
      <c r="BME9" s="72"/>
      <c r="BMF9" s="72"/>
      <c r="BMG9" s="72"/>
      <c r="BMH9" s="72"/>
      <c r="BMI9" s="72"/>
      <c r="BMJ9" s="71"/>
      <c r="BMK9" s="71"/>
      <c r="BML9" s="72"/>
      <c r="BMM9" s="72"/>
      <c r="BMN9" s="72"/>
      <c r="BMO9" s="72"/>
      <c r="BMP9" s="72"/>
      <c r="BMQ9" s="71"/>
      <c r="BMR9" s="71"/>
      <c r="BMS9" s="72"/>
      <c r="BMT9" s="72"/>
      <c r="BMU9" s="72"/>
      <c r="BMV9" s="72"/>
      <c r="BMW9" s="72"/>
      <c r="BMX9" s="71"/>
      <c r="BMY9" s="71"/>
      <c r="BMZ9" s="72"/>
      <c r="BNA9" s="72"/>
      <c r="BNB9" s="72"/>
      <c r="BNC9" s="72"/>
      <c r="BND9" s="72"/>
      <c r="BNE9" s="71"/>
      <c r="BNF9" s="71"/>
      <c r="BNG9" s="72"/>
      <c r="BNH9" s="72"/>
      <c r="BNI9" s="72"/>
      <c r="BNJ9" s="72"/>
      <c r="BNK9" s="72"/>
      <c r="BNL9" s="71"/>
      <c r="BNM9" s="71"/>
      <c r="BNN9" s="72"/>
      <c r="BNO9" s="72"/>
      <c r="BNP9" s="72"/>
      <c r="BNQ9" s="72"/>
      <c r="BNR9" s="72"/>
      <c r="BNS9" s="71"/>
      <c r="BNT9" s="71"/>
      <c r="BNU9" s="72"/>
      <c r="BNV9" s="72"/>
      <c r="BNW9" s="72"/>
      <c r="BNX9" s="72"/>
      <c r="BNY9" s="72"/>
      <c r="BNZ9" s="71"/>
      <c r="BOA9" s="71"/>
      <c r="BOB9" s="72"/>
      <c r="BOC9" s="72"/>
      <c r="BOD9" s="72"/>
      <c r="BOE9" s="72"/>
      <c r="BOF9" s="72"/>
      <c r="BOG9" s="71"/>
      <c r="BOH9" s="71"/>
      <c r="BOI9" s="72"/>
      <c r="BOJ9" s="72"/>
      <c r="BOK9" s="72"/>
      <c r="BOL9" s="72"/>
      <c r="BOM9" s="72"/>
      <c r="BON9" s="71"/>
      <c r="BOO9" s="71"/>
      <c r="BOP9" s="72"/>
      <c r="BOQ9" s="72"/>
      <c r="BOR9" s="72"/>
      <c r="BOS9" s="72"/>
      <c r="BOT9" s="72"/>
      <c r="BOU9" s="71"/>
      <c r="BOV9" s="71"/>
      <c r="BOW9" s="72"/>
      <c r="BOX9" s="72"/>
      <c r="BOY9" s="72"/>
      <c r="BOZ9" s="72"/>
      <c r="BPA9" s="72"/>
      <c r="BPB9" s="71"/>
      <c r="BPC9" s="71"/>
      <c r="BPD9" s="72"/>
      <c r="BPE9" s="72"/>
      <c r="BPF9" s="72"/>
      <c r="BPG9" s="72"/>
      <c r="BPH9" s="72"/>
      <c r="BPI9" s="71"/>
      <c r="BPJ9" s="71"/>
      <c r="BPK9" s="72"/>
      <c r="BPL9" s="72"/>
      <c r="BPM9" s="72"/>
      <c r="BPN9" s="72"/>
      <c r="BPO9" s="72"/>
      <c r="BPP9" s="71"/>
      <c r="BPQ9" s="71"/>
      <c r="BPR9" s="72"/>
      <c r="BPS9" s="72"/>
      <c r="BPT9" s="72"/>
      <c r="BPU9" s="72"/>
      <c r="BPV9" s="72"/>
      <c r="BPW9" s="71"/>
      <c r="BPX9" s="71"/>
      <c r="BPY9" s="72"/>
      <c r="BPZ9" s="72"/>
      <c r="BQA9" s="72"/>
      <c r="BQB9" s="72"/>
      <c r="BQC9" s="72"/>
      <c r="BQD9" s="71"/>
      <c r="BQE9" s="71"/>
      <c r="BQF9" s="72"/>
      <c r="BQG9" s="72"/>
      <c r="BQH9" s="72"/>
      <c r="BQI9" s="72"/>
      <c r="BQJ9" s="72"/>
      <c r="BQK9" s="71"/>
      <c r="BQL9" s="71"/>
      <c r="BQM9" s="72"/>
      <c r="BQN9" s="72"/>
      <c r="BQO9" s="72"/>
      <c r="BQP9" s="72"/>
      <c r="BQQ9" s="72"/>
      <c r="BQR9" s="71"/>
      <c r="BQS9" s="71"/>
      <c r="BQT9" s="72"/>
      <c r="BQU9" s="72"/>
      <c r="BQV9" s="72"/>
      <c r="BQW9" s="72"/>
      <c r="BQX9" s="72"/>
      <c r="BQY9" s="71"/>
      <c r="BQZ9" s="71"/>
      <c r="BRA9" s="72"/>
      <c r="BRB9" s="72"/>
      <c r="BRC9" s="72"/>
      <c r="BRD9" s="72"/>
      <c r="BRE9" s="72"/>
      <c r="BRF9" s="71"/>
      <c r="BRG9" s="71"/>
      <c r="BRH9" s="72"/>
      <c r="BRI9" s="72"/>
      <c r="BRJ9" s="72"/>
      <c r="BRK9" s="72"/>
      <c r="BRL9" s="72"/>
      <c r="BRM9" s="71"/>
      <c r="BRN9" s="71"/>
      <c r="BRO9" s="72"/>
      <c r="BRP9" s="72"/>
      <c r="BRQ9" s="72"/>
      <c r="BRR9" s="72"/>
      <c r="BRS9" s="72"/>
      <c r="BRT9" s="71"/>
      <c r="BRU9" s="71"/>
      <c r="BRV9" s="72"/>
      <c r="BRW9" s="72"/>
      <c r="BRX9" s="72"/>
      <c r="BRY9" s="72"/>
      <c r="BRZ9" s="72"/>
      <c r="BSA9" s="71"/>
      <c r="BSB9" s="71"/>
      <c r="BSC9" s="72"/>
      <c r="BSD9" s="72"/>
      <c r="BSE9" s="72"/>
      <c r="BSF9" s="72"/>
      <c r="BSG9" s="72"/>
      <c r="BSH9" s="71"/>
      <c r="BSI9" s="71"/>
      <c r="BSJ9" s="72"/>
      <c r="BSK9" s="72"/>
      <c r="BSL9" s="72"/>
      <c r="BSM9" s="72"/>
      <c r="BSN9" s="72"/>
      <c r="BSO9" s="71"/>
      <c r="BSP9" s="71"/>
      <c r="BSQ9" s="72"/>
      <c r="BSR9" s="72"/>
      <c r="BSS9" s="72"/>
      <c r="BST9" s="72"/>
      <c r="BSU9" s="72"/>
      <c r="BSV9" s="71"/>
      <c r="BSW9" s="71"/>
      <c r="BSX9" s="72"/>
      <c r="BSY9" s="72"/>
      <c r="BSZ9" s="72"/>
      <c r="BTA9" s="72"/>
      <c r="BTB9" s="72"/>
      <c r="BTC9" s="71"/>
      <c r="BTD9" s="71"/>
      <c r="BTE9" s="72"/>
      <c r="BTF9" s="72"/>
      <c r="BTG9" s="72"/>
      <c r="BTH9" s="72"/>
      <c r="BTI9" s="72"/>
      <c r="BTJ9" s="71"/>
      <c r="BTK9" s="71"/>
      <c r="BTL9" s="72"/>
      <c r="BTM9" s="72"/>
      <c r="BTN9" s="72"/>
      <c r="BTO9" s="72"/>
      <c r="BTP9" s="72"/>
      <c r="BTQ9" s="71"/>
      <c r="BTR9" s="71"/>
      <c r="BTS9" s="72"/>
      <c r="BTT9" s="72"/>
      <c r="BTU9" s="72"/>
      <c r="BTV9" s="72"/>
      <c r="BTW9" s="72"/>
      <c r="BTX9" s="71"/>
      <c r="BTY9" s="71"/>
      <c r="BTZ9" s="72"/>
      <c r="BUA9" s="72"/>
      <c r="BUB9" s="72"/>
      <c r="BUC9" s="72"/>
      <c r="BUD9" s="72"/>
      <c r="BUE9" s="71"/>
      <c r="BUF9" s="71"/>
      <c r="BUG9" s="72"/>
      <c r="BUH9" s="72"/>
      <c r="BUI9" s="72"/>
      <c r="BUJ9" s="72"/>
      <c r="BUK9" s="72"/>
      <c r="BUL9" s="71"/>
      <c r="BUM9" s="71"/>
      <c r="BUN9" s="72"/>
      <c r="BUO9" s="72"/>
      <c r="BUP9" s="72"/>
      <c r="BUQ9" s="72"/>
      <c r="BUR9" s="72"/>
      <c r="BUS9" s="71"/>
      <c r="BUT9" s="71"/>
      <c r="BUU9" s="72"/>
      <c r="BUV9" s="72"/>
      <c r="BUW9" s="72"/>
      <c r="BUX9" s="72"/>
      <c r="BUY9" s="72"/>
      <c r="BUZ9" s="71"/>
      <c r="BVA9" s="71"/>
      <c r="BVB9" s="72"/>
      <c r="BVC9" s="72"/>
      <c r="BVD9" s="72"/>
      <c r="BVE9" s="72"/>
      <c r="BVF9" s="72"/>
      <c r="BVG9" s="71"/>
      <c r="BVH9" s="71"/>
      <c r="BVI9" s="72"/>
      <c r="BVJ9" s="72"/>
      <c r="BVK9" s="72"/>
      <c r="BVL9" s="72"/>
      <c r="BVM9" s="72"/>
      <c r="BVN9" s="71"/>
      <c r="BVO9" s="71"/>
      <c r="BVP9" s="72"/>
      <c r="BVQ9" s="72"/>
      <c r="BVR9" s="72"/>
      <c r="BVS9" s="72"/>
      <c r="BVT9" s="72"/>
      <c r="BVU9" s="71"/>
      <c r="BVV9" s="71"/>
      <c r="BVW9" s="72"/>
      <c r="BVX9" s="72"/>
      <c r="BVY9" s="72"/>
      <c r="BVZ9" s="72"/>
      <c r="BWA9" s="72"/>
      <c r="BWB9" s="71"/>
      <c r="BWC9" s="71"/>
      <c r="BWD9" s="72"/>
      <c r="BWE9" s="72"/>
      <c r="BWF9" s="72"/>
      <c r="BWG9" s="72"/>
      <c r="BWH9" s="72"/>
      <c r="BWI9" s="71"/>
      <c r="BWJ9" s="71"/>
      <c r="BWK9" s="72"/>
      <c r="BWL9" s="72"/>
      <c r="BWM9" s="72"/>
      <c r="BWN9" s="72"/>
      <c r="BWO9" s="72"/>
      <c r="BWP9" s="71"/>
      <c r="BWQ9" s="71"/>
      <c r="BWR9" s="72"/>
      <c r="BWS9" s="72"/>
      <c r="BWT9" s="72"/>
      <c r="BWU9" s="72"/>
      <c r="BWV9" s="72"/>
      <c r="BWW9" s="71"/>
      <c r="BWX9" s="71"/>
      <c r="BWY9" s="72"/>
      <c r="BWZ9" s="72"/>
      <c r="BXA9" s="72"/>
      <c r="BXB9" s="72"/>
      <c r="BXC9" s="72"/>
      <c r="BXD9" s="71"/>
      <c r="BXE9" s="71"/>
      <c r="BXF9" s="72"/>
      <c r="BXG9" s="72"/>
      <c r="BXH9" s="72"/>
      <c r="BXI9" s="72"/>
      <c r="BXJ9" s="72"/>
      <c r="BXK9" s="71"/>
      <c r="BXL9" s="71"/>
      <c r="BXM9" s="72"/>
      <c r="BXN9" s="72"/>
      <c r="BXO9" s="72"/>
      <c r="BXP9" s="72"/>
      <c r="BXQ9" s="72"/>
      <c r="BXR9" s="71"/>
      <c r="BXS9" s="71"/>
      <c r="BXT9" s="72"/>
      <c r="BXU9" s="72"/>
      <c r="BXV9" s="72"/>
      <c r="BXW9" s="72"/>
      <c r="BXX9" s="72"/>
      <c r="BXY9" s="71"/>
      <c r="BXZ9" s="71"/>
      <c r="BYA9" s="72"/>
      <c r="BYB9" s="72"/>
      <c r="BYC9" s="72"/>
      <c r="BYD9" s="72"/>
      <c r="BYE9" s="72"/>
      <c r="BYF9" s="71"/>
      <c r="BYG9" s="71"/>
      <c r="BYH9" s="72"/>
      <c r="BYI9" s="72"/>
      <c r="BYJ9" s="72"/>
      <c r="BYK9" s="72"/>
      <c r="BYL9" s="72"/>
      <c r="BYM9" s="71"/>
      <c r="BYN9" s="71"/>
      <c r="BYO9" s="72"/>
      <c r="BYP9" s="72"/>
      <c r="BYQ9" s="72"/>
      <c r="BYR9" s="72"/>
      <c r="BYS9" s="72"/>
      <c r="BYT9" s="71"/>
      <c r="BYU9" s="71"/>
      <c r="BYV9" s="72"/>
      <c r="BYW9" s="72"/>
      <c r="BYX9" s="72"/>
      <c r="BYY9" s="72"/>
      <c r="BYZ9" s="72"/>
      <c r="BZA9" s="71"/>
      <c r="BZB9" s="71"/>
      <c r="BZC9" s="72"/>
      <c r="BZD9" s="72"/>
      <c r="BZE9" s="72"/>
      <c r="BZF9" s="72"/>
      <c r="BZG9" s="72"/>
      <c r="BZH9" s="71"/>
      <c r="BZI9" s="71"/>
      <c r="BZJ9" s="72"/>
      <c r="BZK9" s="72"/>
      <c r="BZL9" s="72"/>
      <c r="BZM9" s="72"/>
      <c r="BZN9" s="72"/>
      <c r="BZO9" s="71"/>
      <c r="BZP9" s="71"/>
      <c r="BZQ9" s="72"/>
      <c r="BZR9" s="72"/>
      <c r="BZS9" s="72"/>
      <c r="BZT9" s="72"/>
      <c r="BZU9" s="72"/>
      <c r="BZV9" s="71"/>
      <c r="BZW9" s="71"/>
      <c r="BZX9" s="72"/>
      <c r="BZY9" s="72"/>
      <c r="BZZ9" s="72"/>
      <c r="CAA9" s="72"/>
      <c r="CAB9" s="72"/>
      <c r="CAC9" s="71"/>
      <c r="CAD9" s="71"/>
      <c r="CAE9" s="72"/>
      <c r="CAF9" s="72"/>
      <c r="CAG9" s="72"/>
      <c r="CAH9" s="72"/>
      <c r="CAI9" s="72"/>
      <c r="CAJ9" s="71"/>
      <c r="CAK9" s="71"/>
      <c r="CAL9" s="72"/>
      <c r="CAM9" s="72"/>
      <c r="CAN9" s="72"/>
      <c r="CAO9" s="72"/>
      <c r="CAP9" s="72"/>
      <c r="CAQ9" s="71"/>
      <c r="CAR9" s="71"/>
      <c r="CAS9" s="72"/>
      <c r="CAT9" s="72"/>
      <c r="CAU9" s="72"/>
      <c r="CAV9" s="72"/>
      <c r="CAW9" s="72"/>
      <c r="CAX9" s="71"/>
      <c r="CAY9" s="71"/>
      <c r="CAZ9" s="72"/>
      <c r="CBA9" s="72"/>
      <c r="CBB9" s="72"/>
      <c r="CBC9" s="72"/>
      <c r="CBD9" s="72"/>
      <c r="CBE9" s="71"/>
      <c r="CBF9" s="71"/>
      <c r="CBG9" s="72"/>
      <c r="CBH9" s="72"/>
      <c r="CBI9" s="72"/>
      <c r="CBJ9" s="72"/>
      <c r="CBK9" s="72"/>
      <c r="CBL9" s="71"/>
      <c r="CBM9" s="71"/>
      <c r="CBN9" s="72"/>
      <c r="CBO9" s="72"/>
      <c r="CBP9" s="72"/>
      <c r="CBQ9" s="72"/>
      <c r="CBR9" s="72"/>
      <c r="CBS9" s="71"/>
      <c r="CBT9" s="71"/>
      <c r="CBU9" s="72"/>
      <c r="CBV9" s="72"/>
      <c r="CBW9" s="72"/>
      <c r="CBX9" s="72"/>
      <c r="CBY9" s="72"/>
      <c r="CBZ9" s="71"/>
      <c r="CCA9" s="71"/>
      <c r="CCB9" s="72"/>
      <c r="CCC9" s="72"/>
      <c r="CCD9" s="72"/>
      <c r="CCE9" s="72"/>
      <c r="CCF9" s="72"/>
      <c r="CCG9" s="71"/>
      <c r="CCH9" s="71"/>
      <c r="CCI9" s="72"/>
      <c r="CCJ9" s="72"/>
      <c r="CCK9" s="72"/>
      <c r="CCL9" s="72"/>
      <c r="CCM9" s="72"/>
      <c r="CCN9" s="71"/>
      <c r="CCO9" s="71"/>
      <c r="CCP9" s="72"/>
      <c r="CCQ9" s="72"/>
      <c r="CCR9" s="72"/>
      <c r="CCS9" s="72"/>
      <c r="CCT9" s="72"/>
      <c r="CCU9" s="71"/>
      <c r="CCV9" s="71"/>
      <c r="VST9" s="45"/>
      <c r="VTB9" s="45"/>
    </row>
    <row r="10" spans="1:2129 15008:15070 15386:15394" customFormat="1" ht="16.149999999999999" customHeight="1" x14ac:dyDescent="0.25">
      <c r="A10" t="s">
        <v>51</v>
      </c>
      <c r="B10">
        <v>1</v>
      </c>
      <c r="G10" s="52">
        <v>1</v>
      </c>
      <c r="H10" s="67" t="s">
        <v>50</v>
      </c>
      <c r="I10" s="67"/>
      <c r="J10" s="160"/>
      <c r="K10" s="66"/>
      <c r="L10" s="65"/>
      <c r="M10" s="64"/>
      <c r="N10" s="65">
        <v>42393</v>
      </c>
      <c r="O10" s="65">
        <v>42394</v>
      </c>
      <c r="P10" s="64">
        <v>1</v>
      </c>
      <c r="Q10" s="149">
        <v>0</v>
      </c>
      <c r="R10" s="65"/>
      <c r="S10" s="65"/>
      <c r="T10" s="64"/>
      <c r="U10" s="158"/>
      <c r="V10" s="158"/>
      <c r="W10" s="158"/>
      <c r="X10" s="58"/>
      <c r="Y10" s="135"/>
      <c r="Z10" s="136"/>
      <c r="AA10" s="137"/>
      <c r="AB10" s="138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MV10" s="69"/>
      <c r="VST10" s="45"/>
      <c r="VTB10" s="45"/>
    </row>
    <row r="11" spans="1:2129 15008:15070 15386:15394" ht="16.149999999999999" customHeight="1" x14ac:dyDescent="0.25">
      <c r="A11"/>
      <c r="B11"/>
      <c r="C11"/>
      <c r="D11"/>
      <c r="E11"/>
      <c r="F11"/>
      <c r="H11" s="68" t="s">
        <v>49</v>
      </c>
      <c r="I11" s="67"/>
      <c r="J11" s="160"/>
      <c r="K11" s="66"/>
      <c r="L11" s="65"/>
      <c r="M11" s="64"/>
      <c r="N11" s="65"/>
      <c r="O11" s="65"/>
      <c r="P11" s="64"/>
      <c r="Q11" s="149"/>
      <c r="R11" s="65"/>
      <c r="S11" s="65"/>
      <c r="T11" s="64"/>
      <c r="U11" s="158"/>
      <c r="V11" s="158"/>
      <c r="W11" s="158"/>
      <c r="X11" s="58"/>
      <c r="Y11" s="58"/>
      <c r="Z11" s="58"/>
      <c r="AA11" s="58"/>
      <c r="AB11" s="58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</row>
    <row r="12" spans="1:2129 15008:15070 15386:15394" ht="16.149999999999999" customHeight="1" x14ac:dyDescent="0.25">
      <c r="A12"/>
      <c r="B12"/>
      <c r="C12"/>
      <c r="D12"/>
      <c r="E12"/>
      <c r="F12"/>
      <c r="H12" s="67"/>
      <c r="I12" s="67"/>
      <c r="J12" s="160"/>
      <c r="K12" s="66"/>
      <c r="L12" s="65"/>
      <c r="M12" s="64"/>
      <c r="N12" s="65"/>
      <c r="O12" s="65"/>
      <c r="P12" s="64"/>
      <c r="Q12" s="150"/>
      <c r="R12" s="65"/>
      <c r="S12" s="65"/>
      <c r="T12" s="64"/>
      <c r="U12" s="158"/>
      <c r="V12" s="158"/>
      <c r="W12" s="158"/>
      <c r="X12" s="58"/>
      <c r="Y12" s="58"/>
      <c r="Z12" s="58"/>
      <c r="AA12" s="58"/>
      <c r="AB12" s="58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</row>
    <row r="13" spans="1:2129 15008:15070 15386:15394" ht="16.149999999999999" customHeight="1" x14ac:dyDescent="0.25">
      <c r="A13"/>
      <c r="B13"/>
      <c r="C13"/>
      <c r="D13"/>
      <c r="E13"/>
      <c r="F13"/>
      <c r="H13" s="67"/>
      <c r="I13" s="67"/>
      <c r="J13" s="160"/>
      <c r="K13" s="66"/>
      <c r="L13" s="65"/>
      <c r="M13" s="64"/>
      <c r="N13" s="65"/>
      <c r="O13" s="65"/>
      <c r="P13" s="64"/>
      <c r="Q13" s="149"/>
      <c r="R13" s="65"/>
      <c r="S13" s="65"/>
      <c r="T13" s="64"/>
      <c r="U13" s="158"/>
      <c r="V13" s="158"/>
      <c r="W13" s="158"/>
      <c r="X13" s="58"/>
      <c r="Y13" s="58"/>
      <c r="Z13" s="58"/>
      <c r="AA13" s="58"/>
      <c r="AB13" s="58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</row>
    <row r="14" spans="1:2129 15008:15070 15386:15394" ht="16.149999999999999" customHeight="1" x14ac:dyDescent="0.2">
      <c r="A14" s="63"/>
      <c r="B14" s="63"/>
      <c r="C14" s="63"/>
      <c r="D14" s="63"/>
      <c r="E14" s="63"/>
      <c r="F14" s="63"/>
      <c r="H14" s="55"/>
      <c r="I14" s="62"/>
      <c r="J14" s="161"/>
      <c r="K14" s="61"/>
      <c r="L14" s="60"/>
      <c r="M14" s="59"/>
      <c r="N14" s="142"/>
      <c r="O14" s="142"/>
      <c r="P14" s="64"/>
      <c r="Q14" s="149"/>
      <c r="R14" s="60"/>
      <c r="S14" s="60"/>
      <c r="T14" s="59"/>
      <c r="U14" s="158"/>
      <c r="V14" s="158"/>
      <c r="W14" s="158"/>
      <c r="X14" s="58"/>
      <c r="Y14" s="58"/>
      <c r="Z14" s="58"/>
      <c r="AA14" s="58"/>
      <c r="AB14" s="58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</row>
    <row r="15" spans="1:2129 15008:15070 15386:15394" ht="16.149999999999999" customHeight="1" x14ac:dyDescent="0.2">
      <c r="H15" s="55"/>
    </row>
    <row r="16" spans="1:2129 15008:15070 15386:15394" ht="16.149999999999999" customHeight="1" x14ac:dyDescent="0.2">
      <c r="H16" s="55"/>
      <c r="AE16" s="56"/>
    </row>
    <row r="17" spans="1:85" ht="16.149999999999999" customHeight="1" x14ac:dyDescent="0.2">
      <c r="H17" s="55"/>
    </row>
    <row r="18" spans="1:85" s="53" customFormat="1" ht="16.149999999999999" customHeight="1" x14ac:dyDescent="0.2">
      <c r="A18" s="45"/>
      <c r="B18" s="45"/>
      <c r="C18" s="45"/>
      <c r="D18" s="45"/>
      <c r="E18" s="45"/>
      <c r="F18" s="45"/>
      <c r="G18" s="52"/>
      <c r="H18" s="55"/>
      <c r="I18" s="51"/>
      <c r="J18" s="162"/>
      <c r="K18" s="50"/>
      <c r="L18" s="50"/>
      <c r="M18" s="49"/>
      <c r="N18" s="143"/>
      <c r="O18" s="143"/>
      <c r="P18" s="156"/>
      <c r="Q18" s="151"/>
      <c r="R18" s="50"/>
      <c r="S18" s="50"/>
      <c r="T18" s="49"/>
      <c r="U18" s="159"/>
      <c r="V18" s="159"/>
      <c r="W18" s="159"/>
      <c r="X18" s="48"/>
      <c r="Y18" s="48"/>
      <c r="Z18" s="48"/>
      <c r="AA18" s="48"/>
      <c r="AB18" s="48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6"/>
    </row>
    <row r="19" spans="1:85" s="53" customFormat="1" ht="16.149999999999999" customHeight="1" x14ac:dyDescent="0.2">
      <c r="A19" s="45"/>
      <c r="B19" s="45"/>
      <c r="C19" s="45"/>
      <c r="D19" s="45"/>
      <c r="E19" s="45"/>
      <c r="F19" s="45"/>
      <c r="G19" s="52"/>
      <c r="H19" s="55"/>
      <c r="I19" s="51"/>
      <c r="J19" s="162"/>
      <c r="K19" s="50"/>
      <c r="L19" s="50"/>
      <c r="M19" s="49"/>
      <c r="N19" s="143"/>
      <c r="O19" s="143"/>
      <c r="P19" s="156"/>
      <c r="Q19" s="151"/>
      <c r="R19" s="50"/>
      <c r="S19" s="50"/>
      <c r="T19" s="49"/>
      <c r="U19" s="159"/>
      <c r="V19" s="159"/>
      <c r="W19" s="159"/>
      <c r="X19" s="48"/>
      <c r="Y19" s="48"/>
      <c r="Z19" s="48"/>
      <c r="AA19" s="48"/>
      <c r="AB19" s="48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6"/>
    </row>
    <row r="20" spans="1:85" s="53" customFormat="1" ht="16.149999999999999" customHeight="1" x14ac:dyDescent="0.2">
      <c r="A20" s="45"/>
      <c r="B20" s="45"/>
      <c r="C20" s="45"/>
      <c r="D20" s="45"/>
      <c r="E20" s="45"/>
      <c r="F20" s="45"/>
      <c r="G20" s="52"/>
      <c r="H20" s="55"/>
      <c r="I20" s="51"/>
      <c r="J20" s="162"/>
      <c r="K20" s="50"/>
      <c r="L20" s="50"/>
      <c r="M20" s="49"/>
      <c r="N20" s="143"/>
      <c r="O20" s="143"/>
      <c r="P20" s="156"/>
      <c r="Q20" s="151"/>
      <c r="R20" s="50"/>
      <c r="S20" s="50"/>
      <c r="T20" s="49"/>
      <c r="U20" s="159"/>
      <c r="V20" s="159"/>
      <c r="W20" s="159"/>
      <c r="X20" s="48"/>
      <c r="Y20" s="48"/>
      <c r="Z20" s="48"/>
      <c r="AA20" s="48"/>
      <c r="AB20" s="48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6"/>
    </row>
    <row r="21" spans="1:85" s="53" customFormat="1" ht="16.149999999999999" customHeight="1" x14ac:dyDescent="0.2">
      <c r="A21" s="45"/>
      <c r="B21" s="45"/>
      <c r="C21" s="45"/>
      <c r="D21" s="45"/>
      <c r="E21" s="45"/>
      <c r="F21" s="45"/>
      <c r="G21" s="52"/>
      <c r="H21" s="55"/>
      <c r="I21" s="51"/>
      <c r="J21" s="162"/>
      <c r="K21" s="50"/>
      <c r="L21" s="50"/>
      <c r="M21" s="49"/>
      <c r="N21" s="143"/>
      <c r="O21" s="143"/>
      <c r="P21" s="156"/>
      <c r="Q21" s="151"/>
      <c r="R21" s="50"/>
      <c r="S21" s="50"/>
      <c r="T21" s="49"/>
      <c r="U21" s="159"/>
      <c r="V21" s="159"/>
      <c r="W21" s="159"/>
      <c r="X21" s="48"/>
      <c r="Y21" s="48"/>
      <c r="Z21" s="48"/>
      <c r="AA21" s="48"/>
      <c r="AB21" s="48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6"/>
    </row>
    <row r="22" spans="1:85" s="53" customFormat="1" ht="16.149999999999999" customHeight="1" x14ac:dyDescent="0.2">
      <c r="A22" s="45"/>
      <c r="B22" s="45"/>
      <c r="C22" s="45"/>
      <c r="D22" s="45"/>
      <c r="E22" s="45"/>
      <c r="F22" s="45"/>
      <c r="G22" s="52"/>
      <c r="H22" s="55"/>
      <c r="I22" s="51"/>
      <c r="J22" s="162"/>
      <c r="K22" s="50"/>
      <c r="L22" s="50"/>
      <c r="M22" s="49"/>
      <c r="N22" s="143"/>
      <c r="O22" s="143"/>
      <c r="P22" s="156"/>
      <c r="Q22" s="151"/>
      <c r="R22" s="50"/>
      <c r="S22" s="50"/>
      <c r="T22" s="49"/>
      <c r="U22" s="159"/>
      <c r="V22" s="159"/>
      <c r="W22" s="159"/>
      <c r="X22" s="48"/>
      <c r="Y22" s="48"/>
      <c r="Z22" s="48"/>
      <c r="AA22" s="48"/>
      <c r="AB22" s="48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47"/>
      <c r="BR22" s="47"/>
      <c r="BS22" s="47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6"/>
    </row>
    <row r="23" spans="1:85" s="53" customFormat="1" ht="16.149999999999999" customHeight="1" x14ac:dyDescent="0.2">
      <c r="A23" s="45"/>
      <c r="B23" s="45"/>
      <c r="C23" s="45"/>
      <c r="D23" s="45"/>
      <c r="E23" s="45"/>
      <c r="F23" s="45"/>
      <c r="G23" s="52"/>
      <c r="H23" s="55"/>
      <c r="I23" s="51"/>
      <c r="J23" s="162"/>
      <c r="K23" s="50"/>
      <c r="L23" s="50"/>
      <c r="M23" s="49"/>
      <c r="N23" s="143"/>
      <c r="O23" s="143"/>
      <c r="P23" s="156"/>
      <c r="Q23" s="151"/>
      <c r="R23" s="50"/>
      <c r="S23" s="50"/>
      <c r="T23" s="49"/>
      <c r="U23" s="159"/>
      <c r="V23" s="159"/>
      <c r="W23" s="159"/>
      <c r="X23" s="48"/>
      <c r="Y23" s="48"/>
      <c r="Z23" s="48"/>
      <c r="AA23" s="48"/>
      <c r="AB23" s="48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6"/>
    </row>
    <row r="24" spans="1:85" s="53" customFormat="1" ht="16.149999999999999" customHeight="1" x14ac:dyDescent="0.2">
      <c r="A24" s="45"/>
      <c r="B24" s="45"/>
      <c r="C24" s="45"/>
      <c r="D24" s="45"/>
      <c r="E24" s="45"/>
      <c r="F24" s="45"/>
      <c r="G24" s="52"/>
      <c r="H24" s="55"/>
      <c r="I24" s="51"/>
      <c r="J24" s="162"/>
      <c r="K24" s="50"/>
      <c r="L24" s="50"/>
      <c r="M24" s="49"/>
      <c r="N24" s="143"/>
      <c r="O24" s="143"/>
      <c r="P24" s="156"/>
      <c r="Q24" s="151"/>
      <c r="R24" s="50"/>
      <c r="S24" s="50"/>
      <c r="T24" s="49"/>
      <c r="U24" s="159"/>
      <c r="V24" s="159"/>
      <c r="W24" s="159"/>
      <c r="X24" s="48"/>
      <c r="Y24" s="48"/>
      <c r="Z24" s="48"/>
      <c r="AA24" s="48"/>
      <c r="AB24" s="48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6"/>
    </row>
    <row r="25" spans="1:85" ht="16.149999999999999" customHeight="1" x14ac:dyDescent="0.2">
      <c r="H25" s="54"/>
    </row>
    <row r="28" spans="1:85" ht="16.149999999999999" customHeight="1" x14ac:dyDescent="0.2">
      <c r="A28" s="53"/>
      <c r="B28" s="53"/>
      <c r="C28" s="53"/>
      <c r="D28" s="53"/>
      <c r="E28" s="53"/>
      <c r="F28" s="53"/>
    </row>
    <row r="29" spans="1:85" ht="16.149999999999999" customHeight="1" x14ac:dyDescent="0.2">
      <c r="A29" s="53"/>
      <c r="B29" s="53"/>
      <c r="C29" s="53"/>
      <c r="D29" s="53"/>
      <c r="E29" s="53"/>
      <c r="F29" s="53"/>
    </row>
    <row r="30" spans="1:85" ht="16.149999999999999" customHeight="1" x14ac:dyDescent="0.2">
      <c r="A30" s="53"/>
      <c r="B30" s="53"/>
      <c r="C30" s="53"/>
      <c r="D30" s="53"/>
      <c r="E30" s="53"/>
      <c r="F30" s="53"/>
    </row>
    <row r="31" spans="1:85" ht="16.149999999999999" customHeight="1" x14ac:dyDescent="0.2">
      <c r="A31" s="53"/>
      <c r="B31" s="53"/>
      <c r="C31" s="53"/>
      <c r="D31" s="53"/>
      <c r="E31" s="53"/>
      <c r="F31" s="53"/>
    </row>
    <row r="32" spans="1:85" ht="16.149999999999999" customHeight="1" x14ac:dyDescent="0.2">
      <c r="A32" s="53"/>
      <c r="B32" s="53"/>
      <c r="C32" s="53"/>
      <c r="D32" s="53"/>
      <c r="E32" s="53"/>
      <c r="F32" s="53"/>
    </row>
    <row r="33" spans="1:6" ht="16.149999999999999" customHeight="1" x14ac:dyDescent="0.2">
      <c r="A33" s="53"/>
      <c r="B33" s="53"/>
      <c r="C33" s="53"/>
      <c r="D33" s="53"/>
      <c r="E33" s="53"/>
      <c r="F33" s="53"/>
    </row>
    <row r="34" spans="1:6" ht="16.149999999999999" customHeight="1" x14ac:dyDescent="0.2">
      <c r="A34" s="53"/>
      <c r="B34" s="53"/>
      <c r="C34" s="53"/>
      <c r="D34" s="53"/>
      <c r="E34" s="53"/>
      <c r="F34" s="53"/>
    </row>
  </sheetData>
  <sheetProtection algorithmName="SHA-512" hashValue="z6RBmOmzz5uFEJ9oBfxcL4yvF3PApokQgBJNjkMxTalkVyH+iUpykW5cYlqT2/St6bul3KpvSrqs+ruepxs3jQ==" saltValue="+zX7uvaxx5PomknqR2vSqQ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28575</xdr:colOff>
                    <xdr:row>5</xdr:row>
                    <xdr:rowOff>28575</xdr:rowOff>
                  </from>
                  <to>
                    <xdr:col>32</xdr:col>
                    <xdr:colOff>28575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MoreViews64.png" Type="http://schemas.openxmlformats.org/officeDocument/2006/relationships/image" Target="images/MoreViews64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QuarterlyView64.png" Type="http://schemas.openxmlformats.org/officeDocument/2006/relationships/image" Target="images/QuarterlyView64.png"/><Relationship Id="DailyView64.png" Type="http://schemas.openxmlformats.org/officeDocument/2006/relationships/image" Target="images/daily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HalfYearlyView64.png" Type="http://schemas.openxmlformats.org/officeDocument/2006/relationships/image" Target="images/HalfYearlyView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 getVisible="GetVisible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 getVisible="GetVisible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 getVisible="GetVisible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 getVisible="GetVisible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 getVisible="GetVisible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  <tab idMso="TabReview">
        <group id="grpSpellCheck" label="Proofing" insertBeforeMso="GroupProofing" getVisible="HideProofingGroups">
          <button id="btnSpellCheck" size="large" label="Resources" imageMso="GroupBlogProofing" onAction="SpellChecking" getEnabled="GetEnabled"/>
        </group>
        <group idMso="GroupProofing" getVisible="HideProofingGroups"/>
      </tab>
      <tab idMso="TabData">
        <group id="grpFilter" label="Filter" getVisible="HideFilterGroups" insertBeforeMso="GroupSortFilter">
          <button id="btnFilterAdd" size="large" label="Filter" imageMso="Filters" onAction="AddFilterToTasks" getEnabled="GetEnabled"/>
          <button id="btnFilterClear" size="large" label="Clear" imageMso="FilterClear" onAction="ClearFilterToTasks" getEnabled="GetEnabled"/>
        </group>
        <group idMso="GroupSortFilter" getVisible="HideFilterGroups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4</vt:i4>
      </vt:variant>
    </vt:vector>
  </HeadingPairs>
  <TitlesOfParts>
    <vt:vector size="6" baseType="lpstr">
      <vt:lpstr>Projektplan</vt:lpstr>
      <vt:lpstr>Project Dashboard</vt:lpstr>
      <vt:lpstr>DashboardTemplate!Druckbereich</vt:lpstr>
      <vt:lpstr>'Project Dashboard'!Druckbereich</vt:lpstr>
      <vt:lpstr>DashboardTemplate!Drucktitel</vt:lpstr>
      <vt:lpstr>'Project Dashboard'!Drucktitel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Dany Zimmermann</cp:lastModifiedBy>
  <cp:revision>0</cp:revision>
  <cp:lastPrinted>2017-09-28T06:07:20Z</cp:lastPrinted>
  <dcterms:created xsi:type="dcterms:W3CDTF">2016-09-10T13:03:48Z</dcterms:created>
  <dcterms:modified xsi:type="dcterms:W3CDTF">2017-09-28T06:26:27Z</dcterms:modified>
  <cp:category>Excel Template</cp:category>
  <cp:version>2.49.9</cp:version>
</cp:coreProperties>
</file>